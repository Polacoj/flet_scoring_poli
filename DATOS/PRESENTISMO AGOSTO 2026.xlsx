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commentsmeta6"/>
  <Override ContentType="application/binary" PartName="/xl/commentsmeta7"/>
  <Override ContentType="application/binary" PartName="/xl/commentsmeta4"/>
  <Override ContentType="application/binary" PartName="/xl/commentsmeta5"/>
  <Override ContentType="application/binary" PartName="/xl/commentsmeta2"/>
  <Override ContentType="application/binary" PartName="/xl/metadata"/>
  <Override ContentType="application/binary" PartName="/xl/commentsmeta3"/>
  <Override ContentType="application/binary" PartName="/xl/commentsmeta0"/>
  <Override ContentType="application/binary" PartName="/xl/commentsmeta1"/>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8.xml"/>
  <Override ContentType="application/vnd.openxmlformats-officedocument.spreadsheetml.comments+xml" PartName="/xl/comments7.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1236  1260" sheetId="1" r:id="rId4"/>
    <sheet state="visible" name="TURNO MAÑANA 06 A 14 HS" sheetId="2" r:id="rId5"/>
    <sheet state="visible" name="TURNO TARDE DE 14 A 22 HS" sheetId="3" r:id="rId6"/>
    <sheet state="visible" name="TURNO NOCHE 22 A 06 HS " sheetId="4" r:id="rId7"/>
    <sheet state="visible" name="CMU PUERTO MADERO" sheetId="5" r:id="rId8"/>
    <sheet state="visible" name="CMU VILLA LUGANO" sheetId="6" r:id="rId9"/>
    <sheet state="visible" name="FISCALIA" sheetId="7" r:id="rId10"/>
    <sheet state="visible" name="DESPACHO DE MOVILES" sheetId="8" r:id="rId11"/>
  </sheets>
  <definedNames/>
  <calcPr/>
  <extLst>
    <ext uri="GoogleSheetsCustomDataVersion2">
      <go:sheetsCustomData xmlns:go="http://customooxmlschemas.google.com/" r:id="rId12" roundtripDataChecksum="+Tw30pbZeRqPwU+EabIiayM0YlNHTj4MOuGe3thpF4M="/>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K132">
      <text>
        <t xml:space="preserve">======
ID#AAACGJ8w-zk
Ayudantes De Guardia    (2026-08-28 15:24:59)
CUBRE A PC SAYUS AUTORIZADO POR SUBCOMISARIO LOBOS.
JS: ALCOBA
AY: SAYUS</t>
      </text>
    </comment>
    <comment authorId="0" ref="AH33">
      <text>
        <t xml:space="preserve">======
ID#AAACGJ8w-q4
Ayudantes De Guardia    (2026-08-28 06:55:43)
03:5Hs. Se comunica PC GOMEZ Ramiro informando que no se hara presente a la guardia debido a fiebre y dolor de garganta. enviara certificado.
AY CUELLAR
JS LANGE
------
ID#AAACGNYqgRY
Ayudantes De Guardia    (2026-08-29 07:14:54)
Se recibe certificado medico indicando reposo por 72hs</t>
      </text>
    </comment>
    <comment authorId="0" ref="L166">
      <text>
        <t xml:space="preserve">======
ID#AAACFlXutto
División Centros de Monitoreo Urbano    (2026-08-14 15:40:45)
18:05 HS.-</t>
      </text>
    </comment>
    <comment authorId="0" ref="H34">
      <text>
        <t xml:space="preserve">======
ID#AAACFj6DpxY
Ayudantes De Guardia    (2026-08-13 16:46:07)
ENTRADA 6:06</t>
      </text>
    </comment>
    <comment authorId="0" ref="M199">
      <text>
        <t xml:space="preserve">======
ID#AAACE0sgUoQ
Ayudantes De Guardia    (2026-08-05 08:28:34)
FRANCO POR PRESENTISMO AUTORIZADO POR PPAL ARGUELLO.-
JS BENITEZ
AYU TIRAVANTI</t>
      </text>
    </comment>
    <comment authorId="0" ref="K67">
      <text>
        <t xml:space="preserve">======
ID#AAACE0sgUqY
Ayudantes De Guardia    (2026-08-05 09:35:19)
TECNICATURA ISSP</t>
      </text>
    </comment>
    <comment authorId="0" ref="L67">
      <text>
        <t xml:space="preserve">======
ID#AAACE3uAM44
Ayudantes De Guardia    (2026-08-05 19:05:17)
Se hará presente al servicio de 06 a 18hs y el día viernes posee franco. Favor de plasmar en el presentismo.
CISNEROS 
QUIROGA</t>
      </text>
    </comment>
    <comment authorId="0" ref="M67">
      <text>
        <t xml:space="preserve">======
ID#AAACE9d4HBo
Ayudantes De Guardia    (2026-08-07 12:13:38)
N° 6580/26. CONCENTRACIÓN</t>
      </text>
    </comment>
    <comment authorId="0" ref="Q100">
      <text>
        <t xml:space="preserve">======
ID#AAACFdFK2Rk
Ayudantes De Guardia    (2026-08-11 10:59:59)
Siendo las 6:39 hs se comunica la mujer de PC Palavecino a mi teléfono particular, informando que el mismo no se hará presente ya que esta "volando de fiebre".
CISNEROS
QUIROGA</t>
      </text>
    </comment>
    <comment authorId="0" ref="W232">
      <text>
        <t xml:space="preserve">======
ID#AAACFlxOXrw
Ayudantes De Guardia    (2026-08-14 22:42:35)
OS 6818 CONSTITUCION  - 17 A 22Hs.</t>
      </text>
    </comment>
    <comment authorId="0" ref="S100">
      <text>
        <t xml:space="preserve">======
ID#AAACFj6DpU4
Ayudantes De Guardia    (2026-08-13 09:19:36)
EL DIA DE AYER TUVO UN ACCIDENTE CON SU MOTOVEHICULO , ENVIARA CERTIFICADO MEDICO.
CISNEROS 
SEBASTIA
------
ID#AAACFzatttA
Ayudantes De Guardia    (2026-08-21 11:47:37)
Se recibe certificado medico de PC Palavecino Damian indicando reposo del 12/08 hasta el 20/08 inclusive.
CISNEROS 
QUIROGA</t>
      </text>
    </comment>
    <comment authorId="0" ref="U166">
      <text>
        <t xml:space="preserve">======
ID#AAACEM1uM7o
Ayudantes De Guardia    (2026-07-29 03:25:27)
ORDEN INTERNA NRO. 128/2026 FRANCOS POR PROCEDIMIENTOS - RECONOCIMIENTO POR PRODUCTIVIDAD AUTORIZADO PPAL MONTEROS
AY FERNANDEZ
JS MARTINEZ</t>
      </text>
    </comment>
    <comment authorId="0" ref="X232">
      <text>
        <t xml:space="preserve">======
ID#AAACFlxOXsA
Ayudantes De Guardia    (2026-08-14 22:43:29)
OS 6817 ONCE - 17 A 22Hs.</t>
      </text>
    </comment>
    <comment authorId="0" ref="Y232">
      <text>
        <t xml:space="preserve">======
ID#AAACFlxOXsI
Ayudantes De Guardia    (2026-08-14 22:44:26)
OS 6818 CONSTITUCION - 17 A 22Hs.</t>
      </text>
    </comment>
    <comment authorId="0" ref="Z232">
      <text>
        <t xml:space="preserve">======
ID#AAACFlxOXsQ
Ayudantes De Guardia    (2026-08-14 22:45:08)
OS 6817 ONCE- 15 A 20Hs.</t>
      </text>
    </comment>
    <comment authorId="0" ref="AA232">
      <text>
        <t xml:space="preserve">======
ID#AAACFlxOXsY
Ayudantes De Guardia    (2026-08-14 22:45:57)
OS 6818 CONSTITUCION - 19 A 00Hs.</t>
      </text>
    </comment>
    <comment authorId="0" ref="W100">
      <text>
        <t xml:space="preserve">======
ID#AAACFvJ8rx0
Ayudantes De Guardia    (2026-08-17 09:01:18)
EN CONSULTA</t>
      </text>
    </comment>
    <comment authorId="0" ref="W67">
      <text>
        <t xml:space="preserve">======
ID#AAACFvHI4Xc
Ayudantes De Guardia    (2026-08-17 07:47:13)
Siendo las 04:30hs se comunica Oficial Portillo Sergio informando que acaba de fallecer su abuela, por lo que tanto el como su esposa la Aux. Cabral Carolina no se haran presentes al servicio el dia de hoy.-
JS BENITEZ
AYU TIRAVANTI</t>
      </text>
    </comment>
    <comment authorId="0" ref="V34">
      <text>
        <t xml:space="preserve">======
ID#AAACFulMBTI
Ayudantes De Guardia    (2026-08-16 09:39:28)
06:09</t>
      </text>
    </comment>
    <comment authorId="0" ref="AB232">
      <text>
        <t xml:space="preserve">======
ID#AAACFlxOXsk
Ayudantes De Guardia    (2026-08-14 22:46:48)
OS 6817 ONCE- 18 A 23Hs.</t>
      </text>
    </comment>
    <comment authorId="0" ref="AC232">
      <text>
        <t xml:space="preserve">======
ID#AAACF29xfZ0
Ayudantes De Guardia    (2026-08-22 20:51:30)
Franco autorizado .-</t>
      </text>
    </comment>
    <comment authorId="0" ref="Y100">
      <text>
        <t xml:space="preserve">======
ID#AAACFxgwt0E
Ayudantes De Guardia    (2026-08-19 09:20:59)
EN CONSULTA</t>
      </text>
    </comment>
    <comment authorId="0" ref="AA166">
      <text>
        <t xml:space="preserve">======
ID#AAACE8ouuoQ
Ayudantes De Guardia    (2026-08-07 07:48:49)
FRANCO POR PRESENTISMO AUTORIZADO POR PPAL MONTEROS
AY FERNANDEZ
JS MARTINEZ</t>
      </text>
    </comment>
    <comment authorId="0" ref="Y67">
      <text>
        <t xml:space="preserve">======
ID#AAACFxgwt0I
Ayudantes De Guardia    (2026-08-19 09:21:58)
ISSP</t>
      </text>
    </comment>
    <comment authorId="0" ref="Z67">
      <text>
        <t xml:space="preserve">======
ID#AAACFwt2RTE
Ayudantes De Guardia    (2026-08-18 13:22:46)
Afectada a la OS 6796.- 
Barros.-</t>
      </text>
    </comment>
    <comment authorId="0" ref="AF232">
      <text>
        <t xml:space="preserve">======
ID#AAACFEf4rbM
Ayudantes De Guardia    (2026-08-26 21:10:27)
OI 18 Y 19 IMPLEMENTACION RECORRIDAS DE BARRIOS CRITICOS DE CABA. BARRIO 1-11-14</t>
      </text>
    </comment>
    <comment authorId="0" ref="AB67">
      <text>
        <t xml:space="preserve">======
ID#AAACFzattt4
Ayudantes De Guardia    (2026-08-21 13:09:08)
ISPP</t>
      </text>
    </comment>
    <comment authorId="0" ref="AG166">
      <text>
        <t xml:space="preserve">======
ID#AAACFaAFVdk
Ayudantes De Guardia    (2026-08-10 05:32:20)
Franco por SISEP autorizado por Ppal. Kelly.
Ayud. Aguilar
JS. Martinez.-</t>
      </text>
    </comment>
    <comment authorId="0" ref="AI232">
      <text>
        <t xml:space="preserve">======
ID#AAACFzattTg
Ayudantes De Guardia    (2026-08-20 21:58:37)
Franco por productividad correspondiente al mes de Julio. Autorizado por Ppal. Kelly.-
JS. LANGE
AY. PEREYRA</t>
      </text>
    </comment>
    <comment authorId="0" ref="AD34">
      <text>
        <t xml:space="preserve">======
ID#AAACF4UxMKU
Ayudantes De Guardia    (2026-08-24 07:18:02)
04:06Hs. Se comunica manifestando que no se hará presente al servicio debido a que se encuentra descompuesta. Enviará certificado médico.-
JS LEDESMA
AY PEREYRA</t>
      </text>
    </comment>
    <comment authorId="0" ref="AE67">
      <text>
        <t xml:space="preserve">======
ID#AAACF6albms
Ayudantes De Guardia    (2026-08-24 23:16:04)
Orden de Servicio Nro. 7065 - SERVICIOS PREVENCIONALES - OPERACIÓN MURO - ZONA NORTE - SUPERINTENDENCIA PACIFICACIÓN DE BARRIOS
De 17:30hs a finalizar:</t>
      </text>
    </comment>
    <comment authorId="0" ref="AG100">
      <text>
        <t xml:space="preserve">======
ID#AAACFEf4sOw
Ayudantes De Guardia    (2026-08-27 09:53:09)
06.44</t>
      </text>
    </comment>
    <comment authorId="0" ref="AK199">
      <text>
        <t xml:space="preserve">======
ID#AAACFIonEXc
Ayudantes De Guardia    (2026-08-31 22:40:24)
18:11</t>
      </text>
    </comment>
    <comment authorId="0" ref="AJ34">
      <text>
        <t xml:space="preserve">======
ID#AAACE9d4I7k
Ayudantes De Guardia    (2026-08-07 19:01:44)
Franco por Presentismo autorizado por Subcomisario Lobos.-</t>
      </text>
    </comment>
    <comment authorId="0" ref="L167">
      <text>
        <t xml:space="preserve">======
ID#AAACFlXuttw
División Centros de Monitoreo Urbano    (2026-08-14 15:42:08)
18:12 HS.-</t>
      </text>
    </comment>
    <comment authorId="0" ref="H35">
      <text>
        <t xml:space="preserve">======
ID#AAACFj6DpxU
Ayudantes De Guardia    (2026-08-13 16:44:42)
ENTRADA 6:06</t>
      </text>
    </comment>
    <comment authorId="0" ref="N167">
      <text>
        <t xml:space="preserve">======
ID#AAACFlXutt4
División Centros de Monitoreo Urbano    (2026-08-14 15:42:40)
18:35 HS.-</t>
      </text>
    </comment>
    <comment authorId="0" ref="K68">
      <text>
        <t xml:space="preserve">======
ID#AAACE0sgUp0
Ayudantes De Guardia    (2026-08-05 09:12:12)
OS N° 6485 (COMANDO UNIFICADO) 13HS</t>
      </text>
    </comment>
    <comment authorId="0" ref="R167">
      <text>
        <t xml:space="preserve">======
ID#AAACFlXutt8
División Centros de Monitoreo Urbano    (2026-08-14 15:43:02)
18:24 HS.-</t>
      </text>
    </comment>
    <comment authorId="0" ref="O68">
      <text>
        <t xml:space="preserve">======
ID#AAACEvfB2mg
Ayudantes De Guardia    (2026-08-03 11:58:23)
FRANCO AUTORIZADO POR LAS HORAS ADEUDADAS. AUTORIZADO POR PPAL ROMERO
CISNEROS 
QUIROGA</t>
      </text>
    </comment>
    <comment authorId="0" ref="U167">
      <text>
        <t xml:space="preserve">======
ID#AAACFuSxM7Y
Ayudantes De Guardia    (2026-08-15 21:56:45)
18:07</t>
      </text>
    </comment>
    <comment authorId="0" ref="V200">
      <text>
        <t xml:space="preserve">======
ID#AAACEvG7nfs
Ayudantes De Guardia    (2026-08-02 00:28:38)
FRANCO POR PROCEDIMIENTO AUTORIZADO POR EL PPAL BERDUN.
AY CUELLO 
JS BENITEZ</t>
      </text>
    </comment>
    <comment authorId="0" ref="X167">
      <text>
        <t xml:space="preserve">======
ID#AAACFaAFVd0
Ayudantes De Guardia    (2026-08-10 05:35:25)
Franco por SISEP del mes de Julio
autorizado por Ppal. Kelly.
Ayud. Aguilar
JS. Martinez</t>
      </text>
    </comment>
    <comment authorId="0" ref="V35">
      <text>
        <t xml:space="preserve">======
ID#AAACFulMBTM
Ayudantes De Guardia    (2026-08-16 09:39:42)
06:09</t>
      </text>
    </comment>
    <comment authorId="0" ref="G234">
      <text>
        <t xml:space="preserve">======
ID#AAACEj5Rjxk
Ayudantes De Guardia    (2026-08-01 03:05:14)
00:03 Hs Se comunica Oficial LP 190412 ABEL Paula informando no se hara presente al servicio debido a dolor corporal y vomitos. Envia certificado valida en CML Banfield. 
AY FERNANDEZ
JS MARTINEZ
------
ID#AAACElkzVaA
Ayudantes De Guardia    (2026-08-01 12:05:04)
Se recibe constancia de atencion medica del Oficial Abel Paula con fecha 01/08 indicando reposo por 24 Hs.-
JS. LANGE
AY. ARCE</t>
      </text>
    </comment>
    <comment authorId="0" ref="G201">
      <text>
        <t xml:space="preserve">======
ID#AAACDnOPOds
Ayudantes De Guardia    (2026-07-21 04:34:23)
FRANCO POR PRESENTISMO DE JUNIO AUTORIZADO POR PPAL BERDUN.-
JS ALCARAZ
AYU TIRAVANTI</t>
      </text>
    </comment>
    <comment authorId="0" ref="AJ35">
      <text>
        <t xml:space="preserve">======
ID#AAACGNYqgXU
Ayudantes De Guardia    (2026-08-30 03:39:55)
00:30Hs. Se comunica PC GONZALEZ, Carolina manifestando que no se hará presente al servicio debido a que tuvo un accidente con su motovehículo en PBA. Entablada conversación con la misma se encuentra bien solo dolorida por el golpe ya que se dirigió a la guardia médica donde le realizaron placas y todas salieron bien. Enviará constancia médica.-
JS. LEDESMA
AY. ARCE</t>
      </text>
    </comment>
    <comment authorId="0" ref="K234">
      <text>
        <t xml:space="preserve">======
ID#AAACE3uAMsk
Ayudantes De Guardia    (2026-08-05 16:03:54)
Se genera MEMO a Oficial Abel con fecha 05/08. Reposo 30 días.
CISNEROS 
QUIROGA</t>
      </text>
    </comment>
    <comment authorId="0" ref="J201">
      <text>
        <t xml:space="preserve">======
ID#AAACEzanHGs
Ayudantes De Guardia    (2026-08-04 22:56:55)
18:31</t>
      </text>
    </comment>
    <comment authorId="0" ref="M201">
      <text>
        <t xml:space="preserve">======
ID#AAACE9d4JE4
Ayudantes De Guardia    (2026-08-07 22:32:20)
18:14</t>
      </text>
    </comment>
    <comment authorId="0" ref="H36">
      <text>
        <t xml:space="preserve">======
ID#AAACEHk0iHI
Ayudantes De Guardia    (2026-07-27 10:34:53)
FRANCO POR PRESENTISMO.-
AUX. GARCÍA</t>
      </text>
    </comment>
    <comment authorId="0" ref="J36">
      <text>
        <t xml:space="preserve">======
ID#AAACEzXFTqE
Ayudantes De Guardia    (2026-08-04 09:21:57)
06:01hs.-</t>
      </text>
    </comment>
    <comment authorId="0" ref="P201">
      <text>
        <t xml:space="preserve">======
ID#AAACFaAFXXs
Ayudantes De Guardia    (2026-08-10 22:06:09)
18:13</t>
      </text>
    </comment>
    <comment authorId="0" ref="S201">
      <text>
        <t xml:space="preserve">======
ID#AAACFk1d3n4
Ayudantes De Guardia    (2026-08-13 22:13:42)
18:18</t>
      </text>
    </comment>
    <comment authorId="0" ref="U201">
      <text>
        <t xml:space="preserve">======
ID#AAACFuBgTkQ
Ayudantes De Guardia    (2026-08-15 09:49:13)
6:20HS</t>
      </text>
    </comment>
    <comment authorId="0" ref="T36">
      <text>
        <t xml:space="preserve">======
ID#AAACFlNGCwo
Ayudantes De Guardia    (2026-08-14 09:50:37)
06:09HS.-</t>
      </text>
    </comment>
    <comment authorId="0" ref="X168">
      <text>
        <t xml:space="preserve">======
ID#AAACE8ouuoo
Ayudantes De Guardia    (2026-08-07 07:50:56)
FRANCO POR SISEP AUTORIZADO POR PPAL MONTEROS
AY FERNANDEZ
JS MARTINEZ</t>
      </text>
    </comment>
    <comment authorId="0" ref="V36">
      <text>
        <t xml:space="preserve">======
ID#AAACFaAFXKs
Ayudantes De Guardia    (2026-08-10 20:15:06)
Franco por Presentismo autorizado por Subcomisario Lobos.-</t>
      </text>
    </comment>
    <comment authorId="0" ref="AB201">
      <text>
        <t xml:space="preserve">======
ID#AAACF29xfdo
Ayudantes De Guardia    (2026-08-23 01:17:17)
SE RETIRA 23:30HS DEBIDO A HORAS COMPENSATORIAS POR HABER CUMPLIDO SERVICIO EL DIA 19/07.-
------
ID#AAACF29xfds
Ayudantes De Guardia    (2026-08-23 01:17:23)
18:20</t>
      </text>
    </comment>
    <comment authorId="0" ref="Y69">
      <text>
        <t xml:space="preserve">======
ID#AAACFxgwt0Q
Ayudantes De Guardia    (2026-08-19 09:23:06)
en consulta</t>
      </text>
    </comment>
    <comment authorId="0" ref="AG168">
      <text>
        <t xml:space="preserve">======
ID#AAACGJ8w-wE
División Centros de Monitoreo Urbano    (2026-08-28 12:00:49)
18:11 HS.-</t>
      </text>
    </comment>
    <comment authorId="0" ref="I70">
      <text>
        <t xml:space="preserve">======
ID#AAACEHk0iI0
Ayudantes De Guardia    (2026-07-27 11:46:24)
compensación del día 19/07.-
Aux. Garcia.-</t>
      </text>
    </comment>
    <comment authorId="0" ref="J37">
      <text>
        <t xml:space="preserve">======
ID#AAACEzXFTqg
Ayudantes De Guardia    (2026-08-04 09:26:16)
CUBRE VIDEO.-</t>
      </text>
    </comment>
    <comment authorId="0" ref="Q70">
      <text>
        <t xml:space="preserve">======
ID#AAACFdFK2NA
Ayudantes De Guardia    (2026-08-11 09:21:28)
06:20</t>
      </text>
    </comment>
    <comment authorId="0" ref="S70">
      <text>
        <t xml:space="preserve">======
ID#AAACFj6DpUk
Ayudantes De Guardia    (2026-08-13 09:06:00)
06:05</t>
      </text>
    </comment>
    <comment authorId="0" ref="AB202">
      <text>
        <t xml:space="preserve">======
ID#AAACE0sgUoU
Ayudantes De Guardia    (2026-08-05 08:28:49)
FRANCO POR PRESENTISMO AUTORIZADO POR PPAL ARGUELLO.-
JS BENITEZ
AYU TIRAVANTI</t>
      </text>
    </comment>
    <comment authorId="0" ref="Y70">
      <text>
        <t xml:space="preserve">======
ID#AAACFxgwt0M
Ayudantes De Guardia    (2026-08-19 09:22:31)
comando</t>
      </text>
    </comment>
    <comment authorId="0" ref="G236">
      <text>
        <t xml:space="preserve">======
ID#AAACElkzVFk
Ayudantes De Guardia    (2026-08-01 09:43:52)
OS 6229 ONCE 17 A 22HS.</t>
      </text>
    </comment>
    <comment authorId="0" ref="G203">
      <text>
        <t xml:space="preserve">======
ID#AAACElkzWGI
Ayudantes De Guardia    (2026-08-01 22:03:43)
18:25</t>
      </text>
    </comment>
    <comment authorId="0" ref="AJ37">
      <text>
        <t xml:space="preserve">======
ID#AAACGNYqgYA
Ayudantes De Guardia    (2026-08-30 08:02:28)
04:59Hs. Se comunica PC UZCATEGUI, Floranyely manifestando que no se hará presente al servicio debido a dolores de cervical, mareos y nauseas. Enviará certificado médico.-
JS. LEDESMA
AY. ARCE</t>
      </text>
    </comment>
    <comment authorId="0" ref="AK70">
      <text>
        <t xml:space="preserve">======
ID#AAACGNTAehA
Ayudantes De Guardia    (2026-08-29 02:38:12)
Cosnticion N°7223 de 17 a 22hs</t>
      </text>
    </comment>
    <comment authorId="0" ref="I170">
      <text>
        <t xml:space="preserve">======
ID#AAACExfrUvc
Ayudantes De Guardia    (2026-08-03 21:16:34)
CUBRE MADERO</t>
      </text>
    </comment>
    <comment authorId="0" ref="N236">
      <text>
        <t xml:space="preserve">======
ID#AAACFX5668U
Ayudantes De Guardia    (2026-08-08 21:03:09)
Franco autorizado por la superioridad.-
JS. LANGE
AY. ARCE</t>
      </text>
    </comment>
    <comment authorId="0" ref="M203">
      <text>
        <t xml:space="preserve">======
ID#AAACE9d4JE8
Ayudantes De Guardia    (2026-08-07 22:32:32)
18:24</t>
      </text>
    </comment>
    <comment authorId="0" ref="V38">
      <text>
        <t xml:space="preserve">======
ID#AAACFg3VP0g
Ayudantes De Guardia    (2026-08-12 11:51:58)
FRANCO POR PROCEDIMIENTO AUTORIZADO POR EL PPAL BERDUN.
AY CUELLO
JS BENITEZ</t>
      </text>
    </comment>
    <comment authorId="0" ref="AD5">
      <text>
        <t xml:space="preserve">======
ID#AAACFy0qoLg
Ayudantes De Guardia    (2026-08-20 19:20:32)
Franco por scoring autorizado. 
Cubre Inspector Lahitte Hector.-
Garcia.</t>
      </text>
    </comment>
    <comment authorId="0" ref="S204">
      <text>
        <t xml:space="preserve">======
ID#AAACFk1d3ns
Ayudantes De Guardia    (2026-08-13 22:13:12)
18:03</t>
      </text>
    </comment>
    <comment authorId="0" ref="V204">
      <text>
        <t xml:space="preserve">======
ID#AAACE0sgUoY
Ayudantes De Guardia    (2026-08-05 08:29:05)
FRANCO POR PRESENTISMO AUTORIZADO POR PPAL ARGUELLO.-
JS BENITEZ
AYU TIRAVANTI</t>
      </text>
    </comment>
    <comment authorId="0" ref="AG39">
      <text>
        <t xml:space="preserve">======
ID#AAACFEf4sUo
Ayudantes De Guardia    (2026-08-27 16:35:58)
devolucion de guardia por el dia 06/08</t>
      </text>
    </comment>
    <comment authorId="0" ref="G205">
      <text>
        <t xml:space="preserve">======
ID#AAACElkzWAU
Ayudantes De Guardia    (2026-08-01 18:45:29)
15:38Hs. Se comunica PC SUAREZ, Sabrina manifestando que no se hará presente al servicio debido a que se encuentra sin suministro eléctrico y con filtraciones de agua debido a la tormenta. Se le consulta si necesita algo desde la sala a lo cual responde que no. Se le informa que de ser necesario no dude en comunicarse. Así mismo su jefe de servicio se encuentra en conocimiento.-
JS. LANGE
AY. ARCE</t>
      </text>
    </comment>
    <comment authorId="0" ref="H205">
      <text>
        <t xml:space="preserve">======
ID#AAACEvICPIU
Ayudantes De Guardia    (2026-08-02 04:50:52)
Con autorización del Jefe de Servicio, se hace devolucion de guardia al PC Sabrina Suárez por ausencia del 01/08, debido a filtraciones en su domicilio ocasionadas por la tormenta. Para el dia 02/08
Ay Cuello 
Js: Benitez</t>
      </text>
    </comment>
    <comment authorId="0" ref="L205">
      <text>
        <t xml:space="preserve">======
ID#AAACE3uAP6A
Ayudantes De Guardia    (2026-08-06 20:54:02)
Se recibe de PC Suárez Sabrina certificado familiar a cargo con fecha 6/8 por 48hs
JS:,AGUIRRE
AY: PAZ</t>
      </text>
    </comment>
    <comment authorId="0" ref="P205">
      <text>
        <t xml:space="preserve">======
ID#AAACFc3GVqU
Ayudantes De Guardia    (2026-08-11 00:39:23)
21:22</t>
      </text>
    </comment>
    <comment authorId="0" ref="S205">
      <text>
        <t xml:space="preserve">======
ID#AAACFk1d3n8
Ayudantes De Guardia    (2026-08-13 22:13:57)
18:56</t>
      </text>
    </comment>
    <comment authorId="0" ref="U205">
      <text>
        <t xml:space="preserve">======
ID#AAACFuBgTkY
Ayudantes De Guardia    (2026-08-15 09:51:42)
6:06</t>
      </text>
    </comment>
    <comment authorId="0" ref="V205">
      <text>
        <t xml:space="preserve">======
ID#AAACFwuLW44
División Centros de Monitoreo Urbano    (2026-08-18 13:39:57)
18:28 HS.-</t>
      </text>
    </comment>
    <comment authorId="0" ref="H239">
      <text>
        <t xml:space="preserve">======
ID#AAACEvnePbo
Ayudantes De Guardia    (2026-08-02 18:48:06)
Siendo las 15:30hs se comunica Aux. Larrea Yesica indicando que no se hará presente al servicio debido a dolor e inflamación de oído. Enviara certificado medico.
JS AGUIRRE
AY LEIVAS
------
ID#AAACEvfB2jo
Ayudantes De Guardia    (2026-08-03 11:15:42)
Se recibe certificado médico de Aux Larrea con fecha 02/08. Reposo 24hs.-
CISNEROS
QUIROGA</t>
      </text>
    </comment>
    <comment authorId="0" ref="M206">
      <text>
        <t xml:space="preserve">======
ID#AAACE9d4JEk
Ayudantes De Guardia    (2026-08-07 22:31:17)
18:08</t>
      </text>
    </comment>
    <comment authorId="0" ref="L173">
      <text>
        <t xml:space="preserve">======
ID#AAACE8ah7PY
Ayudantes De Guardia    (2026-08-07 02:00:36)
CUBRE MADERO</t>
      </text>
    </comment>
    <comment authorId="0" ref="Q239">
      <text>
        <t xml:space="preserve">======
ID#AAACFYv0mqA
Ayudantes De Guardia    (2026-08-09 02:54:02)
Franco por scoring administrativo. Autorizado por el Ppal. Berdun.-
JS. LANGE
AY. ARCE</t>
      </text>
    </comment>
    <comment authorId="0" ref="J8">
      <text>
        <t xml:space="preserve">======
ID#AAACEzXFTro
Ayudantes De Guardia    (2026-08-04 09:36:52)
OS 6422-17 HS.-</t>
      </text>
    </comment>
    <comment authorId="0" ref="L8">
      <text>
        <t xml:space="preserve">======
ID#AAACE3uAN94
Ayudantes De Guardia    (2026-08-06 09:07:20)
OS 6422- ONCE 15A  20 HS</t>
      </text>
    </comment>
    <comment authorId="0" ref="R173">
      <text>
        <t xml:space="preserve">======
ID#AAACFaAFXJE
Ayudantes De Guardia    (2026-08-10 19:57:56)
FRANCO AUTORIZADO POR LA SUPERIORIDAD.-
JS: AGUIRRE
AY: PAZ</t>
      </text>
    </comment>
    <comment authorId="0" ref="T239">
      <text>
        <t xml:space="preserve">======
ID#AAACE9d4LjA
Ayudantes De Guardia    (2026-08-08 00:59:30)
ORDEN DE SERVICIO CONSTITUCION 6627</t>
      </text>
    </comment>
    <comment authorId="0" ref="M8">
      <text>
        <t xml:space="preserve">======
ID#AAACE9d4ISQ
Ayudantes De Guardia    (2026-08-07 15:21:14)
cumple servicio de 12:00 hs. a 00:00 hs.</t>
      </text>
    </comment>
    <comment authorId="0" ref="N8">
      <text>
        <t xml:space="preserve">======
ID#AAACFX566sE
Ayudantes De Guardia    (2026-08-08 16:44:56)
Se recibe certificado medico por familiar a cargo Of Mayor Tolaba desde el 08/08 al 12/08. Se deja constancia que solo solicita el dia de la fecha.-
AY FERNANDEZ
JS MARTINEZ</t>
      </text>
    </comment>
    <comment authorId="0" ref="U173">
      <text>
        <t xml:space="preserve">======
ID#AAACFg3VR2Q
Ayudantes De Guardia    (2026-08-13 04:34:53)
Cubre turno noche of. Beñacar autorizado por la superioridad.
Ay. Barrios.
Js. Martinez.-</t>
      </text>
    </comment>
    <comment authorId="0" ref="AF239">
      <text>
        <t xml:space="preserve">======
ID#AAACF4Hn3Mk
Ayudantes De Guardia    (2026-08-23 21:23:51)
OS 7027 CONSTITUCION - 18 a 23Hs.</t>
      </text>
    </comment>
    <comment authorId="0" ref="AE74">
      <text>
        <t xml:space="preserve">======
ID#AAACF6albp8
Ayudantes De Guardia    (2026-08-25 09:22:02)
06:16</t>
      </text>
    </comment>
    <comment authorId="0" ref="G240">
      <text>
        <t xml:space="preserve">======
ID#AAACDqhuHTY
Ayudantes De Guardia    (2026-07-23 06:39:33)
Franco por scoring administrativo (mayo). Autorizado por el Ppal. Berdun.-
JS. LEDESMA
AY. ARCE</t>
      </text>
    </comment>
    <comment authorId="0" ref="H240">
      <text>
        <t xml:space="preserve">======
ID#AAACEjCap5g
Ayudantes De Guardia    (2026-07-31 05:23:35)
Cubre sección Villa Lugano.-
JS. LANGE
AY. ARCE</t>
      </text>
    </comment>
    <comment authorId="0" ref="AK74">
      <text>
        <t xml:space="preserve">======
ID#AAACFEf4sVU
Ayudantes De Guardia    (2026-08-27 17:20:15)
curso de ascenso</t>
      </text>
    </comment>
    <comment authorId="0" ref="AL41">
      <text>
        <t xml:space="preserve">======
ID#AAACE3uAOVw
Ayudantes De Guardia    (2026-08-06 15:16:18)
04/09/2026.-
Barros.-</t>
      </text>
    </comment>
    <comment authorId="0" ref="J108">
      <text>
        <t xml:space="preserve">======
ID#AAACFxehLUI
Ayudantes De Guardia    (2026-08-20 13:41:30)
9:06</t>
      </text>
    </comment>
    <comment authorId="0" ref="N240">
      <text>
        <t xml:space="preserve">======
ID#AAACFX5668w
Ayudantes De Guardia    (2026-08-08 21:30:09)
18:02</t>
      </text>
    </comment>
    <comment authorId="0" ref="M207">
      <text>
        <t xml:space="preserve">======
ID#AAACE9d4JEg
Ayudantes De Guardia    (2026-08-07 22:30:57)
18:03</t>
      </text>
    </comment>
    <comment authorId="0" ref="L108">
      <text>
        <t xml:space="preserve">======
ID#AAACFxehLUM
Ayudantes De Guardia    (2026-08-20 13:43:12)
9:04</t>
      </text>
    </comment>
    <comment authorId="0" ref="Q108">
      <text>
        <t xml:space="preserve">======
ID#AAACFxehLUU
Ayudantes De Guardia    (2026-08-20 13:43:35)
9:26</t>
      </text>
    </comment>
    <comment authorId="0" ref="S108">
      <text>
        <t xml:space="preserve">======
ID#AAACFxehLUg
Ayudantes De Guardia    (2026-08-20 13:44:20)
9:18</t>
      </text>
    </comment>
    <comment authorId="0" ref="Z240">
      <text>
        <t xml:space="preserve">======
ID#AAACFzatthg
Ayudantes De Guardia    (2026-08-21 06:04:50)
Ingresa 18:04Hs.-</t>
      </text>
    </comment>
    <comment authorId="0" ref="T9">
      <text>
        <t xml:space="preserve">======
ID#AAACFlHx29k
Ayudantes De Guardia    (2026-08-14 06:30:45)
Siendo las 21:57hs se comunica el Oficial Mayor Rodriguez Cristian, el mismo informando que no se hará presente al servicio del dia de hoy debido a que posee un turno con su hijo, informa que dio aviso al POC de administracion y desde esta sala se le dio aviso en tiempo y forma a su JS.-
JS BENITEZ
AYU TIRAVANTI</t>
      </text>
    </comment>
    <comment authorId="0" ref="Y108">
      <text>
        <t xml:space="preserve">======
ID#AAACFxgwuVE
Ayudantes De Guardia    (2026-08-19 12:20:37)
9:20</t>
      </text>
    </comment>
    <comment authorId="0" ref="Y9">
      <text>
        <t xml:space="preserve">======
ID#AAACFwboRbA
Ayudantes De Guardia    (2026-08-18 09:58:46)
Cubre en el Grupo 2.- 
Barros.-</t>
      </text>
    </comment>
    <comment authorId="0" ref="AD108">
      <text>
        <t xml:space="preserve">======
ID#AAACF4UxMOg
Ayudantes De Guardia    (2026-08-24 12:08:12)
9:07</t>
      </text>
    </comment>
    <comment authorId="0" ref="AI240">
      <text>
        <t xml:space="preserve">======
ID#AAACFEf4r34
Ayudantes De Guardia    (2026-08-27 02:37:32)
Cubre Lugano.-</t>
      </text>
    </comment>
    <comment authorId="0" ref="AF108">
      <text>
        <t xml:space="preserve">======
ID#AAACFEf4rJg
Ayudantes De Guardia    (2026-08-26 16:13:44)
9:15</t>
      </text>
    </comment>
    <comment authorId="0" ref="AD9">
      <text>
        <t xml:space="preserve">======
ID#AAACF4UxMSs
Ayudantes De Guardia    (2026-08-24 14:19:08)
AUSENTE CON AVISO 
JS LAHITTE 
AY KRAKOVSKY</t>
      </text>
    </comment>
    <comment authorId="0" ref="AE9">
      <text>
        <t xml:space="preserve">======
ID#AAACF6albog
Ayudantes De Guardia    (2026-08-25 06:17:12)
03:14 Hs Se comunica Oficial Mayor LP 46641 Rodríguez Cristian informando no se hara presente debido a 72 hs de reposo por posible gripe A. Envia certificado valida Av Varela.- 
AY FERNANDEZ
JS LANGE</t>
      </text>
    </comment>
    <comment authorId="0" ref="AK108">
      <text>
        <t xml:space="preserve">======
ID#AAACGTcXL0I
Ayudantes De Guardia    (2026-09-01 11:57:21)
09:12 HS</t>
      </text>
    </comment>
    <comment authorId="0" ref="AH9">
      <text>
        <t xml:space="preserve">======
ID#AAACFEf4rXM
Ayudantes De Guardia    (2026-08-26 18:52:57)
Charla -  cud 9 otea 11</t>
      </text>
    </comment>
    <comment authorId="0" ref="G142">
      <text>
        <t xml:space="preserve">======
ID#AAACEH_GGE8
Ayudantes De Guardia    (2026-07-27 07:01:20)
CUBRE A OFICIAL BEÑACAR SILVINA.-
JS BENITEZ
AYU TIRAVANTI</t>
      </text>
    </comment>
    <comment authorId="0" ref="J208">
      <text>
        <t xml:space="preserve">======
ID#AAACEvG7nfo
Ayudantes De Guardia    (2026-08-02 00:28:07)
FRANCO POR PROCEDIMIENTO AUTORIZADO POR EL PPAL BERDUN.
AY CUELLO 
JS BENITEZ</t>
      </text>
    </comment>
    <comment authorId="0" ref="I142">
      <text>
        <t xml:space="preserve">======
ID#AAACFk1d3hs
Ayudantes De Guardia    (2026-08-13 20:27:32)
ENTRADA 18:28</t>
      </text>
    </comment>
    <comment authorId="0" ref="H43">
      <text>
        <t xml:space="preserve">======
ID#AAACEM4-8r8
Ayudantes De Guardia    (2026-07-29 20:18:21)
Franco Autorizado por el Ppal. ARGUELLO.
Evento relevante.-
Barros.-</t>
      </text>
    </comment>
    <comment authorId="0" ref="L142">
      <text>
        <t xml:space="preserve">======
ID#AAACE3uAP54
Ayudantes De Guardia    (2026-08-06 20:50:15)
CUBRE LUGANO</t>
      </text>
    </comment>
    <comment authorId="0" ref="J43">
      <text>
        <t xml:space="preserve">======
ID#AAACEzXFTq4
Ayudantes De Guardia    (2026-08-04 09:33:50)
06:23HS.-</t>
      </text>
    </comment>
    <comment authorId="0" ref="L43">
      <text>
        <t xml:space="preserve">======
ID#AAACE3uAN-I
Ayudantes De Guardia    (2026-08-06 09:13:48)
06:13HS.-</t>
      </text>
    </comment>
    <comment authorId="0" ref="R142">
      <text>
        <t xml:space="preserve">======
ID#AAACFg3VRHw
Ayudantes De Guardia    (2026-08-12 23:19:39)
INGRESA A LAS 22HS.</t>
      </text>
    </comment>
    <comment authorId="0" ref="P43">
      <text>
        <t xml:space="preserve">======
ID#AAACFaAFV40
Ayudantes De Guardia    (2026-08-10 12:00:38)
Cubre Villa Lugano- 
Barros.-</t>
      </text>
    </comment>
    <comment authorId="0" ref="P10">
      <text>
        <t xml:space="preserve">======
ID#AAACD5kVz50
Ayudantes De Guardia    (2026-07-23 20:56:44)
Franco Autorizado por Evento relevante.
Autorizó el Subcrio LOBOS.- 
Barros.-</t>
      </text>
    </comment>
    <comment authorId="0" ref="R43">
      <text>
        <t xml:space="preserve">======
ID#AAACFg3VPJw
Ayudantes De Guardia    (2026-08-12 09:42:21)
06:11HS.-</t>
      </text>
    </comment>
    <comment authorId="0" ref="Z241">
      <text>
        <t xml:space="preserve">======
ID#AAACFADrvhk
Ayudantes De Guardia    (2026-08-20 20:14:56)
Se recibe certificado médico de Aux. Galarza Celeste con fecha 20/8 hasta el 18/09.-
JS Aguirre
Garcia</t>
      </text>
    </comment>
    <comment authorId="0" ref="T43">
      <text>
        <t xml:space="preserve">======
ID#AAACFlNGCw0
Ayudantes De Guardia    (2026-08-14 10:15:22)
07:07HS-</t>
      </text>
    </comment>
    <comment authorId="0" ref="W76">
      <text>
        <t xml:space="preserve">======
ID#AAACE0sgUxM
Ayudantes De Guardia    (2026-08-05 11:09:05)
Franco por Estimulo autorizado por Ppal Romero.- 
Cisneros
Couso</t>
      </text>
    </comment>
    <comment authorId="0" ref="AA175">
      <text>
        <t xml:space="preserve">======
ID#AAACE8ouuog
Ayudantes De Guardia    (2026-08-07 07:49:33)
FRANCO POR DESEMPEÑO AUTORIZADO POR PPAL MONTEROS
AY FERNANDEZ
JS MARTINEZ</t>
      </text>
    </comment>
    <comment authorId="0" ref="X43">
      <text>
        <t xml:space="preserve">======
ID#AAACFwboRbQ
Ayudantes De Guardia    (2026-08-18 10:05:14)
06:21</t>
      </text>
    </comment>
    <comment authorId="0" ref="AD43">
      <text>
        <t xml:space="preserve">======
ID#AAACFEf4rBE
Ayudantes De Guardia    (2026-08-26 09:11:12)
6:56HS</t>
      </text>
    </comment>
    <comment authorId="0" ref="AF43">
      <text>
        <t xml:space="preserve">======
ID#AAACFEf4rBM
Ayudantes De Guardia    (2026-08-26 09:18:23)
6:15HS</t>
      </text>
    </comment>
    <comment authorId="0" ref="AF10">
      <text>
        <t xml:space="preserve">======
ID#AAACF6BwAd0
Ayudantes De Guardia    (2026-08-24 20:45:50)
Audiencia a las 09:30 hs 
js Lahitte 
Ay Krakovsky</t>
      </text>
    </comment>
    <comment authorId="0" ref="G209">
      <text>
        <t xml:space="preserve">======
ID#AAACElkzWGM
Ayudantes De Guardia    (2026-08-01 22:05:13)
18:26</t>
      </text>
    </comment>
    <comment authorId="0" ref="J209">
      <text>
        <t xml:space="preserve">======
ID#AAACEzanHGo
Ayudantes De Guardia    (2026-08-04 22:56:45)
18:23</t>
      </text>
    </comment>
    <comment authorId="0" ref="I77">
      <text>
        <t xml:space="preserve">======
ID#AAACFkrQ8Ek
Ayudantes De Guardia    (2026-08-13 17:44:12)
ENTRADA 6:01</t>
      </text>
    </comment>
    <comment authorId="0" ref="M209">
      <text>
        <t xml:space="preserve">======
ID#AAACE9d4IvQ
Ayudantes De Guardia    (2026-08-07 16:24:07)
Se comunica PC Coronel Garassino (G4) informando que no asistira a la guardia debido a estado febril. Envia certificado
CISNEROS 
QUIROGA
------
ID#AAACE9d4I9A
Ayudantes De Guardia    (2026-08-07 19:19:52)
Se recibe constancia de atención de PC Coronel Gabriel con fecha 06/08 por 24 hs.</t>
      </text>
    </comment>
    <comment authorId="0" ref="P110">
      <text>
        <t xml:space="preserve">======
ID#AAACFaAFV4o
Ayudantes De Guardia    (2026-08-10 11:45:34)
08:28 horas</t>
      </text>
    </comment>
    <comment authorId="0" ref="R143">
      <text>
        <t xml:space="preserve">======
ID#AAACFg3VRHs
Ayudantes De Guardia    (2026-08-12 23:19:28)
CUBRE MADERO</t>
      </text>
    </comment>
    <comment authorId="0" ref="U209">
      <text>
        <t xml:space="preserve">======
ID#AAACFuBgTkc
Ayudantes De Guardia    (2026-08-15 09:54:52)
6:06</t>
      </text>
    </comment>
    <comment authorId="0" ref="T110">
      <text>
        <t xml:space="preserve">======
ID#AAACE3uAQaQ
Ayudantes De Guardia    (2026-08-06 23:08:02)
Franco por Scoring autorizado por Subcomisario Alejandra LOBOS.-
JS. ALCOBA
AY. DIDIER</t>
      </text>
    </comment>
    <comment authorId="0" ref="X143">
      <text>
        <t xml:space="preserve">======
ID#AAACFxBL2C0
Ayudantes De Guardia    (2026-08-19 06:00:01)
SERVICIO COMANDO</t>
      </text>
    </comment>
    <comment authorId="0" ref="W110">
      <text>
        <t xml:space="preserve">======
ID#AAACFvWt1dA
Ayudantes De Guardia    (2026-08-17 12:32:42)
Siendo las 04:30hs se comunica Oficial Portillo Sergio informando que acaba de fallecer su abuela, por lo que tanto el como su esposa la Aux. Cabral Carolina no se haran presentes al servicio el dia de hoy.-
Cisneros
Couso</t>
      </text>
    </comment>
    <comment authorId="0" ref="AB209">
      <text>
        <t xml:space="preserve">======
ID#AAACF4UxMQE
División Centros de Monitoreo Urbano    (2026-08-24 13:20:41)
18:28 HS.-</t>
      </text>
    </comment>
    <comment authorId="0" ref="Y110">
      <text>
        <t xml:space="preserve">======
ID#AAACFxgwuUw
Ayudantes De Guardia    (2026-08-19 12:18:00)
8:27</t>
      </text>
    </comment>
    <comment authorId="0" ref="AA110">
      <text>
        <t xml:space="preserve">======
ID#AAACFzatttQ
Ayudantes De Guardia    (2026-08-21 12:29:43)
8:15</t>
      </text>
    </comment>
    <comment authorId="0" ref="AE209">
      <text>
        <t xml:space="preserve">======
ID#AAACFDX_PkY
Ayudantes De Guardia    (2026-08-25 19:20:31)
Se recibe constancia de atención de PC Coronel Gabriel con fecha 25/08 por 24hs.</t>
      </text>
    </comment>
    <comment authorId="0" ref="AH209">
      <text>
        <t xml:space="preserve">======
ID#AAACGJ8w-3s
Ayudantes De Guardia    (2026-08-28 18:45:58)
Siendo las 15:31 horas informa el PC Gabriel CORONEL que no podrá asistir al servicio por fiebre. Enviará certificado médico.- 
Barros.-
------
ID#AAACGJ8w_DU
Ayudantes De Guardia    (2026-08-28 18:55:21)
Se recibe de PC Coronel Gabriel certificado médico de fecha 28/08 indicando reposo por 24 Hs.-
JS AGUIRRE
AY LEIVAS</t>
      </text>
    </comment>
    <comment authorId="0" ref="AF110">
      <text>
        <t xml:space="preserve">======
ID#AAACFEf4rJY
Ayudantes De Guardia    (2026-08-26 16:13:20)
8:38</t>
      </text>
    </comment>
    <comment authorId="0" ref="AG77">
      <text>
        <t xml:space="preserve">======
ID#AAACFEf4sDs
Ayudantes De Guardia    (2026-08-27 09:01:49)
06:01</t>
      </text>
    </comment>
    <comment authorId="0" ref="G243">
      <text>
        <t xml:space="preserve">======
ID#AAACEjCaq-s
Ayudantes De Guardia    (2026-07-31 19:46:55)
Informa, "Buenas tardes, informo que el día de mañana no me voy a hacer presente debido a que mí hija se encuentra enferma, envío certificado médico por familiar a cargo".
JS Aguirre.
Ayte. García
------
ID#AAACElkzVsk
Ayudantes De Guardia    (2026-08-01 13:51:08)
Se recibe constancia de atencion medica por familiar a cargo de PC Soria Laura justificando el dia 01/08.-
JS. LANGE
AY. ARCE</t>
      </text>
    </comment>
    <comment authorId="0" ref="AL143">
      <text>
        <t xml:space="preserve">======
ID#AAACFwuLW4s
Ayudantes De Guardia    (2026-08-18 13:35:17)
hasta el 02/09 inclusive .-
Barros.-</t>
      </text>
    </comment>
    <comment authorId="0" ref="AK77">
      <text>
        <t xml:space="preserve">======
ID#AAACE9d4JCM
Ayudantes De Guardia    (2026-08-07 21:05:05)
SCORING SAE 
CISNEROS 
SEBASTIA</t>
      </text>
    </comment>
    <comment authorId="0" ref="L111">
      <text>
        <t xml:space="preserve">======
ID#AAACFxehLUk
Ayudantes De Guardia    (2026-08-20 13:45:50)
9:16</t>
      </text>
    </comment>
    <comment authorId="0" ref="N144">
      <text>
        <t xml:space="preserve">======
ID#AAACE9d4NNk
Ayudantes De Guardia    (2026-08-08 08:56:42)
CUBRE LUGANO</t>
      </text>
    </comment>
    <comment authorId="0" ref="O144">
      <text>
        <t xml:space="preserve">======
ID#AAACFY8BCVo
Ayudantes De Guardia    (2026-08-09 20:56:36)
CUBRE LUGANO</t>
      </text>
    </comment>
    <comment authorId="0" ref="T243">
      <text>
        <t xml:space="preserve">======
ID#AAACFluLzzA
Ayudantes De Guardia    (2026-08-14 22:30:26)
Cumple servicio de 19 a 05 hs
------
ID#AAACFwuLW5I
División Centros de Monitoreo Urbano    (2026-08-18 13:46:42)
19:19 HS</t>
      </text>
    </comment>
    <comment authorId="0" ref="O78">
      <text>
        <t xml:space="preserve">======
ID#AAACE0sgUxU
Ayudantes De Guardia    (2026-08-05 11:09:18)
Franco por presentismo autorizado por Ppal Romero.- 
Cisneros
Couso</t>
      </text>
    </comment>
    <comment authorId="0" ref="Q111">
      <text>
        <t xml:space="preserve">======
ID#AAACFxehLUo
Ayudantes De Guardia    (2026-08-20 13:46:35)
8:28</t>
      </text>
    </comment>
    <comment authorId="0" ref="R144">
      <text>
        <t xml:space="preserve">======
ID#AAACFg3VQbs
Ayudantes De Guardia    (2026-08-12 21:00:50)
CUBRE LUGANO</t>
      </text>
    </comment>
    <comment authorId="0" ref="U144">
      <text>
        <t xml:space="preserve">======
ID#AAACFuRqv0M
Ayudantes De Guardia    (2026-08-15 21:02:28)
CUBRE LUGANO</t>
      </text>
    </comment>
    <comment authorId="0" ref="S78">
      <text>
        <t xml:space="preserve">======
ID#AAACFktWDus
Ayudantes De Guardia    (2026-08-13 18:55:53)
anillo</t>
      </text>
    </comment>
    <comment authorId="0" ref="R12">
      <text>
        <t xml:space="preserve">======
ID#AAACFaAFVzM
Ayudantes De Guardia    (2026-08-10 10:45:34)
de 06 a 11 hrs. 
Servicio Cuadrante
Barros.-</t>
      </text>
    </comment>
    <comment authorId="0" ref="X144">
      <text>
        <t xml:space="preserve">======
ID#AAACFw7ABB4
Ayudantes De Guardia    (2026-08-18 21:00:24)
CUBRE LUGANO</t>
      </text>
    </comment>
    <comment authorId="0" ref="T12">
      <text>
        <t xml:space="preserve">======
ID#AAACFlNGCwE
Ayudantes De Guardia    (2026-08-14 09:41:07)
cubre grupo 6</t>
      </text>
    </comment>
    <comment authorId="0" ref="AB243">
      <text>
        <t xml:space="preserve">======
ID#AAACF1fnqZU
Ayudantes De Guardia    (2026-08-22 06:37:39)
Ingresa a las 08Hs.-</t>
      </text>
    </comment>
    <comment authorId="0" ref="AC243">
      <text>
        <t xml:space="preserve">======
ID#AAACF4Hn3Mc
Ayudantes De Guardia    (2026-08-23 21:01:36)
Ingresa de 20 a 06Hs.</t>
      </text>
    </comment>
    <comment authorId="0" ref="Y78">
      <text>
        <t xml:space="preserve">======
ID#AAACFxgwuUo
Ayudantes De Guardia    (2026-08-19 11:32:06)
08:18</t>
      </text>
    </comment>
    <comment authorId="0" ref="AF243">
      <text>
        <t xml:space="preserve">======
ID#AAACFEf4rHU
Ayudantes De Guardia    (2026-08-26 14:28:05)
11:24 horas el PC Laura SORIA informa que no asistirá al servicio dado que su bebé está descompuesta. Enviará certificado médico por familiar a cargo. Asimismo su JS tomó conocimiento -
Barros.-</t>
      </text>
    </comment>
    <comment authorId="0" ref="Z12">
      <text>
        <t xml:space="preserve">======
ID#AAACFlpviYM
Ayudantes De Guardia    (2026-08-14 20:06:03)
Franco por Scoring - Autorizó el Subcrio LOBOS.- 
Barros.-</t>
      </text>
    </comment>
    <comment authorId="0" ref="AH243">
      <text>
        <t xml:space="preserve">======
ID#AAACGNTAeg0
Ayudantes De Guardia    (2026-08-29 02:28:21)
Siendo las 22:35hs, Se comunica el PC Soria Laura Grupo 5 (12x60) informando que no asistira al servicio debido a que su bebe sigue enferma, enviara el certificado por familiar a cargo.
AY CUELLO
JS BENITEZ
------
ID#AAACGNTAeg4
Ayudantes De Guardia    (2026-08-29 02:28:52)
Se recibe certificado por familiar a cargo por 48hs.
Ay cuello
JS Benitez</t>
      </text>
    </comment>
    <comment authorId="0" ref="AF111">
      <text>
        <t xml:space="preserve">======
ID#AAACE3uAP1Q
Ayudantes De Guardia    (2026-08-06 19:43:21)
Franco por Scoring autorizado por Subcomisario Alejandra LOBOS.-
JS. ALCOBA
AY. DIDIER</t>
      </text>
    </comment>
    <comment authorId="0" ref="AE45">
      <text>
        <t xml:space="preserve">======
ID#AAACF6albmo
Ayudantes De Guardia    (2026-08-24 23:15:46)
Orden de Servicio Nro. 7065 - SERVICIOS PREVENCIONALES - OPERACIÓN MURO - ZONA NORTE - SUPERINTENDENCIA PACIFICACIÓN DE BARRIOS
17:30 HS.</t>
      </text>
    </comment>
    <comment authorId="0" ref="AF45">
      <text>
        <t xml:space="preserve">======
ID#AAACFEf4rBw
Ayudantes De Guardia    (2026-08-26 09:34:02)
BÚSQUEDA DE UNIFORME.- 
BARROS.-</t>
      </text>
    </comment>
    <comment authorId="0" ref="AH111">
      <text>
        <t xml:space="preserve">======
ID#AAACE3uAP1Y
Ayudantes De Guardia    (2026-08-06 19:43:41)
Franco por Detenidos autorizado por Subcomisario Alejandra LOBOS.-
JS. ALCOBA
AY. DIDIER</t>
      </text>
    </comment>
    <comment authorId="0" ref="AF12">
      <text>
        <t xml:space="preserve">======
ID#AAACFEf4rBo
Ayudantes De Guardia    (2026-08-26 09:31:39)
BÚSQUEDA DEL UNIFORME.-
BARROS.-</t>
      </text>
    </comment>
    <comment authorId="0" ref="G211">
      <text>
        <t xml:space="preserve">======
ID#AAACElkzWGU
Ayudantes De Guardia    (2026-08-01 22:05:40)
18:06</t>
      </text>
    </comment>
    <comment authorId="0" ref="AH45">
      <text>
        <t xml:space="preserve">======
ID#AAACFEf4rXQ
Ayudantes De Guardia    (2026-08-26 18:53:24)
charla cud 11
------
ID#AAACFEf4sEI
Ayudantes De Guardia    (2026-08-27 09:26:05)
CUBRE GUZMAN</t>
      </text>
    </comment>
    <comment authorId="0" ref="G112">
      <text>
        <t xml:space="preserve">======
ID#AAACFj6Dpnk
Ayudantes De Guardia    (2026-08-13 14:29:44)
ENTRADA 9:02</t>
      </text>
    </comment>
    <comment authorId="0" ref="J211">
      <text>
        <t xml:space="preserve">======
ID#AAACEzanHGk
Ayudantes De Guardia    (2026-08-04 22:56:18)
18:13</t>
      </text>
    </comment>
    <comment authorId="0" ref="J112">
      <text>
        <t xml:space="preserve">======
ID#AAACFk1d3nk
Ayudantes De Guardia    (2026-08-13 22:10:10)
ENTRADA 9:07</t>
      </text>
    </comment>
    <comment authorId="0" ref="H13">
      <text>
        <t xml:space="preserve">======
ID#AAACEGwx8qk
Ayudantes De Guardia    (2026-07-27 13:33:25)
Franco por compensación de horas.- Autorizó el Ppal. ARGUELLO.- 
Barros.-</t>
      </text>
    </comment>
    <comment authorId="0" ref="L112">
      <text>
        <t xml:space="preserve">======
ID#AAACFlXutww
División Centros de Monitoreo Urbano    (2026-08-14 16:16:32)
09:09 HS.-</t>
      </text>
    </comment>
    <comment authorId="0" ref="L13">
      <text>
        <t xml:space="preserve">======
ID#AAACE3uAN98
Ayudantes De Guardia    (2026-08-06 09:07:51)
CUBRE CAMION</t>
      </text>
    </comment>
    <comment authorId="0" ref="O79">
      <text>
        <t xml:space="preserve">======
ID#AAACFY8BARE
Ayudantes De Guardia    (2026-08-09 09:21:51)
06:21</t>
      </text>
    </comment>
    <comment authorId="0" ref="Q79">
      <text>
        <t xml:space="preserve">======
ID#AAACFdFK2MQ
Ayudantes De Guardia    (2026-08-11 09:09:40)
06:07</t>
      </text>
    </comment>
    <comment authorId="0" ref="P46">
      <text>
        <t xml:space="preserve">======
ID#AAACE9d4I7s
Ayudantes De Guardia    (2026-08-07 19:02:16)
Franco por Presentismo autorizado por Subcomisario Lobos.-</t>
      </text>
    </comment>
    <comment authorId="0" ref="S112">
      <text>
        <t xml:space="preserve">======
ID#AAACFlXutw0
División Centros de Monitoreo Urbano    (2026-08-14 16:17:03)
09:07 HS.-</t>
      </text>
    </comment>
    <comment authorId="0" ref="P13">
      <text>
        <t xml:space="preserve">======
ID#AAACE9d4LiI
Ayudantes De Guardia    (2026-08-08 00:55:05)
ORDEN DE SERVICIO CONSTITUCION 6627</t>
      </text>
    </comment>
    <comment authorId="0" ref="Q13">
      <text>
        <t xml:space="preserve">======
ID#AAACE9d4LiQ
Ayudantes De Guardia    (2026-08-08 00:55:44)
ORDEN DE SERVICIO ONCE 6626</t>
      </text>
    </comment>
    <comment authorId="0" ref="R13">
      <text>
        <t xml:space="preserve">======
ID#AAACE9d4LiU
Ayudantes De Guardia    (2026-08-08 00:55:50)
ORDEN DE SERVICIO CONSTITUCION 6627</t>
      </text>
    </comment>
    <comment authorId="0" ref="U112">
      <text>
        <t xml:space="preserve">======
ID#AAACE3uAOSE
Ayudantes De Guardia    (2026-08-06 14:58:22)
Franco por presentismo autorizado por Subcomisario Alejandra LOBOS.-
JS. ALCOBA
AY. DIDIER</t>
      </text>
    </comment>
    <comment authorId="0" ref="S13">
      <text>
        <t xml:space="preserve">======
ID#AAACE9d4LiY
Ayudantes De Guardia    (2026-08-08 00:56:01)
ORDEN DE SERVICIO ONCE 6626</t>
      </text>
    </comment>
    <comment authorId="0" ref="T13">
      <text>
        <t xml:space="preserve">======
ID#AAACE9d4Lic
Ayudantes De Guardia    (2026-08-08 00:56:14)
ORDEN DE SERVICIO CONSTITUCION 6627</t>
      </text>
    </comment>
    <comment authorId="0" ref="W112">
      <text>
        <t xml:space="preserve">======
ID#AAACE3uAP1M
Ayudantes De Guardia    (2026-08-06 19:43:14)
Franco por Scoring autorizado por Subcomisario Alejandra LOBOS.-
JS. ALCOBA
AY. DIDIER</t>
      </text>
    </comment>
    <comment authorId="0" ref="U13">
      <text>
        <t xml:space="preserve">======
ID#AAACE9d4Lig
Ayudantes De Guardia    (2026-08-08 00:56:27)
ORDEN DE SERVICIO ONCE 6626</t>
      </text>
    </comment>
    <comment authorId="0" ref="Y112">
      <text>
        <t xml:space="preserve">======
ID#AAACFxgwuU0
Ayudantes De Guardia    (2026-08-19 12:18:20)
9:03</t>
      </text>
    </comment>
    <comment authorId="0" ref="V13">
      <text>
        <t xml:space="preserve">======
ID#AAACFupIDLM
Ayudantes De Guardia    (2026-08-16 11:53:12)
Reemplazo del Oficial CASAS.- 
Barros.-</t>
      </text>
    </comment>
    <comment authorId="0" ref="Y79">
      <text>
        <t xml:space="preserve">======
ID#AAACFxUTQ1M
Ayudantes De Guardia    (2026-08-19 09:19:58)
06.13</t>
      </text>
    </comment>
    <comment authorId="0" ref="X13">
      <text>
        <t xml:space="preserve">======
ID#AAACFwboRbE
Ayudantes De Guardia    (2026-08-18 10:00:21)
AFECTADA A OS 6796.- 
BARROS.-</t>
      </text>
    </comment>
    <comment authorId="0" ref="AA79">
      <text>
        <t xml:space="preserve">======
ID#AAACFzattj0
Ayudantes De Guardia    (2026-08-21 09:46:31)
06.38</t>
      </text>
    </comment>
    <comment authorId="0" ref="Z13">
      <text>
        <t xml:space="preserve">======
ID#AAACFyVCvbw
Ayudantes De Guardia    (2026-08-20 04:20:00)
AFECTADA A ORDEN DE SERVICIO 6936 13hs. herrera 2424</t>
      </text>
    </comment>
    <comment authorId="0" ref="AC79">
      <text>
        <t xml:space="preserve">======
ID#AAACF3VocoU
Ayudantes De Guardia    (2026-08-23 06:26:40)
03:16 horas el PC Nicole CASERES informa que no asistirá ya que posee dolor estomacal y vómitos. Adeuda certificado médico.- 
Barros.-
------
ID#AAACF4Hn3Mw
Ayudantes De Guardia    (2026-08-23 21:56:35)
Se recibe certificado de PC Caseres Nicole del 23/08 reposo por 48hs.-
JS LEDESMA
AY PEREYRA</t>
      </text>
    </comment>
    <comment authorId="0" ref="AF112">
      <text>
        <t xml:space="preserve">======
ID#AAACFEf4rJU
Ayudantes De Guardia    (2026-08-26 16:12:58)
9:05</t>
      </text>
    </comment>
    <comment authorId="0" ref="AE79">
      <text>
        <t xml:space="preserve">======
ID#AAACF6albtc
Ayudantes De Guardia    (2026-08-25 15:28:49)
6:16HS</t>
      </text>
    </comment>
    <comment authorId="0" ref="AD46">
      <text>
        <t xml:space="preserve">======
ID#AAACFj6DpT4
Ayudantes De Guardia    (2026-08-13 08:30:23)
Franco por Scoring/ Administrativo autorizado por Ppal Monteros
AY FERNANDEZ
JS MARTINEZ</t>
      </text>
    </comment>
    <comment authorId="0" ref="AH112">
      <text>
        <t xml:space="preserve">======
ID#AAACGJ8w-xA
Ayudantes De Guardia    (2026-08-28 12:49:49)
9:05</t>
      </text>
    </comment>
    <comment authorId="0" ref="AG79">
      <text>
        <t xml:space="preserve">======
ID#AAACFEf4sEE
Ayudantes De Guardia    (2026-08-27 09:20:47)
06:19</t>
      </text>
    </comment>
    <comment authorId="0" ref="G245">
      <text>
        <t xml:space="preserve">======
ID#AAACElkzVEw
Ayudantes De Guardia    (2026-08-01 09:40:46)
Ingreso 06:39Hs.</t>
      </text>
    </comment>
    <comment authorId="0" ref="H245">
      <text>
        <t xml:space="preserve">======
ID#AAACEvneP_c
Ayudantes De Guardia    (2026-08-02 21:21:02)
Ingreso 18:20Hs.</t>
      </text>
    </comment>
    <comment authorId="0" ref="AK112">
      <text>
        <t xml:space="preserve">======
ID#AAACE3uAP1c
Ayudantes De Guardia    (2026-08-06 19:43:44)
Franco por Detenidos autorizado por Subcomisario Alejandra LOBOS.-
JS. ALCOBA
AY. DIDIER</t>
      </text>
    </comment>
    <comment authorId="0" ref="K245">
      <text>
        <t xml:space="preserve">======
ID#AAACDqhuHTU
Ayudantes De Guardia    (2026-07-23 06:38:56)
Franco por presentismo (mayo). Autorizado por el Ppal. Berdun.-
JS. LEDESMA
AY. ARCE</t>
      </text>
    </comment>
    <comment authorId="0" ref="AJ13">
      <text>
        <t xml:space="preserve">======
ID#AAACFlpviYY
Ayudantes De Guardia    (2026-08-14 20:06:19)
Franco por Scoring - Autorizó el Subcrio LOBOS.- 
Barros.-</t>
      </text>
    </comment>
    <comment authorId="0" ref="H14">
      <text>
        <t xml:space="preserve">======
ID#AAACEM4-8m8
Ayudantes De Guardia    (2026-07-29 19:53:48)
CG por sí misma.- Autorizó el Ppal. ARGUELLO.- 
Barros.-</t>
      </text>
    </comment>
    <comment authorId="0" ref="J14">
      <text>
        <t xml:space="preserve">======
ID#AAACEzXFTp8
Ayudantes De Guardia    (2026-08-04 09:15:38)
06:07HS.-</t>
      </text>
    </comment>
    <comment authorId="0" ref="L14">
      <text>
        <t xml:space="preserve">======
ID#AAACE3uAN2g
Ayudantes De Guardia    (2026-08-06 07:22:07)
04:04Hs. Se comunica Oficial CRESPIN, Veronica manifestando que no se hará presente al servicio debido a que se golpeó mientras se aseaba. Se le consulta si acudirá al médico por el dolor provocado por la caída y la misma responde que sí. Al momento no informa donde validará.-
JS. LANGE
AY. ARCE
------
ID#AAACE3uAQRM
Ayudantes De Guardia    (2026-08-06 21:57:42)
Se recibe certificado médico de Oficial Crespin Veronica con fecha 06/08 indicando 24hs de reposo
AY FERNANDEZ
JS MARTINEZ</t>
      </text>
    </comment>
    <comment authorId="0" ref="Q80">
      <text>
        <t xml:space="preserve">======
ID#AAACFdFK2MM
Ayudantes De Guardia    (2026-08-11 09:09:31)
06:07</t>
      </text>
    </comment>
    <comment authorId="0" ref="O14">
      <text>
        <t xml:space="preserve">======
ID#AAACEM4-8nQ
Ayudantes De Guardia    (2026-07-29 19:56:43)
CG por sí misma. Autorizó el Ppal. ARGUELLO.- 
Barros.-
------
ID#AAACFY8BAQQ
Ayudantes De Guardia    (2026-08-09 09:15:18)
06:13</t>
      </text>
    </comment>
    <comment authorId="0" ref="W245">
      <text>
        <t xml:space="preserve">======
ID#AAACFvoH3Iw
Ayudantes De Guardia    (2026-08-17 19:53:15)
Se comunica PC Figueroa Salange informando que no se hara presente. Enviara certificado médico.</t>
      </text>
    </comment>
    <comment authorId="0" ref="P14">
      <text>
        <t xml:space="preserve">======
ID#AAACFaAFVuI
Ayudantes De Guardia    (2026-08-10 09:18:10)
06:15HS.-</t>
      </text>
    </comment>
    <comment authorId="0" ref="R14">
      <text>
        <t xml:space="preserve">======
ID#AAACFg3VPJU
Ayudantes De Guardia    (2026-08-12 09:37:31)
06:15HS.-</t>
      </text>
    </comment>
    <comment authorId="0" ref="Z245">
      <text>
        <t xml:space="preserve">======
ID#AAACFzattho
Ayudantes De Guardia    (2026-08-21 06:05:33)
Ingresa 18:01Hs</t>
      </text>
    </comment>
    <comment authorId="0" ref="T14">
      <text>
        <t xml:space="preserve">======
ID#AAACFlNGCwM
Ayudantes De Guardia    (2026-08-14 09:41:29)
06.09HS-</t>
      </text>
    </comment>
    <comment authorId="0" ref="AB245">
      <text>
        <t xml:space="preserve">======
ID#AAACF1fnqaM
Ayudantes De Guardia    (2026-08-22 09:28:22)
Ingreso 06:20Hs.</t>
      </text>
    </comment>
    <comment authorId="0" ref="W80">
      <text>
        <t xml:space="preserve">======
ID#AAACFktWDuo
Ayudantes De Guardia    (2026-08-13 18:55:39)
anillo</t>
      </text>
    </comment>
    <comment authorId="0" ref="V14">
      <text>
        <t xml:space="preserve">======
ID#AAACFulMBSo
Ayudantes De Guardia    (2026-08-16 09:33:30)
06:24 HRS.-</t>
      </text>
    </comment>
    <comment authorId="0" ref="Y80">
      <text>
        <t xml:space="preserve">======
ID#AAACFxUTQ1I
Ayudantes De Guardia    (2026-08-19 09:19:49)
06:13</t>
      </text>
    </comment>
    <comment authorId="0" ref="X14">
      <text>
        <t xml:space="preserve">======
ID#AAACFwgR7Zk
Ayudantes De Guardia    (2026-08-18 10:15:28)
06:25HS.-</t>
      </text>
    </comment>
    <comment authorId="0" ref="AC146">
      <text>
        <t xml:space="preserve">======
ID#AAACF4Hn3Mg
Ayudantes De Guardia    (2026-08-23 21:03:46)
Cubre a Oficial Mayor Ledesma, Natalia.-</t>
      </text>
    </comment>
    <comment authorId="0" ref="Z14">
      <text>
        <t xml:space="preserve">======
ID#AAACFxehKrM
Ayudantes De Guardia    (2026-08-20 09:27:06)
06:21</t>
      </text>
    </comment>
    <comment authorId="0" ref="AC80">
      <text>
        <t xml:space="preserve">======
ID#AAACF3VocpA
Ayudantes De Guardia    (2026-08-23 09:07:53)
06:07</t>
      </text>
    </comment>
    <comment authorId="0" ref="AI245">
      <text>
        <t xml:space="preserve">======
ID#AAACGNYqf80
Ayudantes De Guardia    (2026-08-29 03:18:02)
Cubre el PC Lopez Camila</t>
      </text>
    </comment>
    <comment authorId="0" ref="AH212">
      <text>
        <t xml:space="preserve">======
ID#AAACF3Vocok
Ayudantes De Guardia    (2026-08-23 08:29:54)
FRANCO POR PRESENTISMO AUTORIZADO POR EL PPAL MONTEROS. 
AY CUELLO
JS BENITEZ</t>
      </text>
    </comment>
    <comment authorId="0" ref="AK245">
      <text>
        <t xml:space="preserve">======
ID#AAACGNYqf84
Ayudantes De Guardia    (2026-08-29 03:18:23)
Cubre al PC Lopez Camila</t>
      </text>
    </comment>
    <comment authorId="0" ref="AF14">
      <text>
        <t xml:space="preserve">======
ID#AAACFEf4rBg
Ayudantes De Guardia    (2026-08-26 09:30:47)
6:14HS</t>
      </text>
    </comment>
    <comment authorId="0" ref="H246">
      <text>
        <t xml:space="preserve">======
ID#AAACEvnePaI
Ayudantes De Guardia    (2026-08-02 17:53:21)
Siendo las 14:26hs se comunica Pc Amaya Debora informando que no se hará presente al servicio debido a que su hija se encuentra con fiebre. Envia certificado medico.
JS Aguirre
AY Leivas</t>
      </text>
    </comment>
    <comment authorId="0" ref="AH14">
      <text>
        <t xml:space="preserve">======
ID#AAACGJ8w-so
Ayudantes De Guardia    (2026-08-28 09:34:53)
6:25HS</t>
      </text>
    </comment>
    <comment authorId="0" ref="H48">
      <text>
        <t xml:space="preserve">======
ID#AAACEvICPYM
Ayudantes De Guardia    (2026-08-02 09:34:49)
06:19</t>
      </text>
    </comment>
    <comment authorId="0" ref="N246">
      <text>
        <t xml:space="preserve">======
ID#AAACDqhuHTc
Ayudantes De Guardia    (2026-07-23 06:40:40)
Franco por presentismo (mayo). Autorizado por el Ppal. Berdun.-
JS. LEDESMA
AY. ARCE</t>
      </text>
    </comment>
    <comment authorId="0" ref="L114">
      <text>
        <t xml:space="preserve">======
ID#AAACFlXutw8
División Centros de Monitoreo Urbano    (2026-08-14 16:18:52)
09:05 HS.-</t>
      </text>
    </comment>
    <comment authorId="0" ref="Q246">
      <text>
        <t xml:space="preserve">======
ID#AAACFeh6Km0
Ayudantes De Guardia    (2026-08-11 21:29:37)
18:09</t>
      </text>
    </comment>
    <comment authorId="0" ref="N114">
      <text>
        <t xml:space="preserve">======
ID#AAACFlXutxA
División Centros de Monitoreo Urbano    (2026-08-14 16:19:11)
09:07 HS.-</t>
      </text>
    </comment>
    <comment authorId="0" ref="L48">
      <text>
        <t xml:space="preserve">======
ID#AAACE3uAN-E
Ayudantes De Guardia    (2026-08-06 09:13:08)
06:11HS.-</t>
      </text>
    </comment>
    <comment authorId="0" ref="S81">
      <text>
        <t xml:space="preserve">======
ID#AAACFj6DpUg
Ayudantes De Guardia    (2026-08-13 09:04:41)
06:02</t>
      </text>
    </comment>
    <comment authorId="0" ref="U114">
      <text>
        <t xml:space="preserve">======
ID#AAACE3uAOSA
Ayudantes De Guardia    (2026-08-06 14:58:17)
Franco por presentismo autorizado por Subcomisario Alejandra LOBOS.-
JS. ALCOBA
AY. DIDIER</t>
      </text>
    </comment>
    <comment authorId="0" ref="Z246">
      <text>
        <t xml:space="preserve">======
ID#AAACFzatths
Ayudantes De Guardia    (2026-08-21 06:58:56)
Ingresa 18:18Hs</t>
      </text>
    </comment>
    <comment authorId="0" ref="W114">
      <text>
        <t xml:space="preserve">======
ID#AAACE3uAP1I
Ayudantes De Guardia    (2026-08-06 19:43:12)
Franco por Scoring autorizado por Subcomisario Alejandra LOBOS.-
JS. ALCOBA
AY. DIDIER</t>
      </text>
    </comment>
    <comment authorId="0" ref="AB246">
      <text>
        <t xml:space="preserve">======
ID#AAACF1fnqak
Ayudantes De Guardia    (2026-08-22 09:40:58)
Ingreso 06:31Hs.</t>
      </text>
    </comment>
    <comment authorId="0" ref="V48">
      <text>
        <t xml:space="preserve">======
ID#AAACFulMBTQ
Ayudantes De Guardia    (2026-08-16 09:41:38)
06:09</t>
      </text>
    </comment>
    <comment authorId="0" ref="Y114">
      <text>
        <t xml:space="preserve">======
ID#AAACFxgwuU4
Ayudantes De Guardia    (2026-08-19 12:18:36)
9:03</t>
      </text>
    </comment>
    <comment authorId="0" ref="Z48">
      <text>
        <t xml:space="preserve">======
ID#AAACFyYNwO8
Ayudantes De Guardia    (2026-08-20 05:26:23)
Siendo las 02:15hs se comunica PC Gutierrez Facundo informando que no se hara presente al servicio debido a descompostura, enviara certificado medico.-
JS BENITEZ
AYU TIRAVANTI</t>
      </text>
    </comment>
    <comment authorId="0" ref="AF246">
      <text>
        <t xml:space="preserve">======
ID#AAACFzattbI
Ayudantes De Guardia    (2026-08-21 00:55:17)
Franco por presentismo .-
JS LANGE.-
Ayud. Soria.-</t>
      </text>
    </comment>
    <comment authorId="0" ref="Z15">
      <text>
        <t xml:space="preserve">======
ID#AAACFxehKrU
Ayudantes De Guardia    (2026-08-20 09:28:08)
Por cubrir el G2 el día 19/08/2026
Barros.-</t>
      </text>
    </comment>
    <comment authorId="0" ref="AC81">
      <text>
        <t xml:space="preserve">======
ID#AAACFY8BCPU
Ayudantes De Guardia    (2026-08-09 16:49:43)
Franco Autorizado por Ppal Romero.- 
Cisneros
Sebastia</t>
      </text>
    </comment>
    <comment authorId="0" ref="AI246">
      <text>
        <t xml:space="preserve">======
ID#AAACGNYqgWI
Ayudantes De Guardia    (2026-08-29 21:06:26)
18:03</t>
      </text>
    </comment>
    <comment authorId="0" ref="AD48">
      <text>
        <t xml:space="preserve">======
ID#AAACF4UxMMQ
Ayudantes De Guardia    (2026-08-24 09:19:56)
6:10HS</t>
      </text>
    </comment>
    <comment authorId="0" ref="AK114">
      <text>
        <t xml:space="preserve">======
ID#AAACE3uAP1k
Ayudantes De Guardia    (2026-08-06 19:43:48)
Franco por Detenidos autorizado por Subcomisario Alejandra LOBOS.-
JS. ALCOBA
AY. DIDIER</t>
      </text>
    </comment>
    <comment authorId="0" ref="AK81">
      <text>
        <t xml:space="preserve">======
ID#AAACFHzHStM
Ayudantes De Guardia    (2026-08-31 10:12:38)
07:12HS.-</t>
      </text>
    </comment>
    <comment authorId="0" ref="O148">
      <text>
        <t xml:space="preserve">======
ID#AAACFlXurec
División Centros de Monitoreo Urbano    (2026-08-14 15:20:22)
18:16 HS.-</t>
      </text>
    </comment>
    <comment authorId="0" ref="N115">
      <text>
        <t xml:space="preserve">======
ID#AAACE3uAOR4
Ayudantes De Guardia    (2026-08-06 14:57:32)
Franco por presentismo autorizado por Subcomisario Alejandra LOBOS.-
JS. ALCOBA
AY. DIDIER</t>
      </text>
    </comment>
    <comment authorId="0" ref="T247">
      <text>
        <t xml:space="preserve">======
ID#AAACFltFXb0
Ayudantes De Guardia    (2026-08-14 21:27:38)
Ingreso 18:24Hs.</t>
      </text>
    </comment>
    <comment authorId="0" ref="O82">
      <text>
        <t xml:space="preserve">======
ID#AAACD7i6txY
Ayudantes De Guardia    (2026-07-26 12:39:36)
Franco Autorizado por Ppal Romero.- 
Cisneros
Couso</t>
      </text>
    </comment>
    <comment authorId="0" ref="R148">
      <text>
        <t xml:space="preserve">======
ID#AAACFlXureg
División Centros de Monitoreo Urbano    (2026-08-14 15:21:20)
18:07 HS.-</t>
      </text>
    </comment>
    <comment authorId="0" ref="Q115">
      <text>
        <t xml:space="preserve">======
ID#AAACE3uAP1A
Ayudantes De Guardia    (2026-08-06 19:43:05)
Franco por Scoring autorizado por Subcomisario Alejandra LOBOS.-
JS. ALCOBA
AY. DIDIER</t>
      </text>
    </comment>
    <comment authorId="0" ref="S115">
      <text>
        <t xml:space="preserve">======
ID#AAACE3uAP1U
Ayudantes De Guardia    (2026-08-06 19:43:35)
Franco por Detenidos autorizado por Subcomisario Alejandra LOBOS.-
JS. ALCOBA
AY. DIDIER</t>
      </text>
    </comment>
    <comment authorId="0" ref="Y115">
      <text>
        <t xml:space="preserve">======
ID#AAACFxgwuU8
Ayudantes De Guardia    (2026-08-19 12:18:45)
9:03</t>
      </text>
    </comment>
    <comment authorId="0" ref="AC82">
      <text>
        <t xml:space="preserve">======
ID#AAACE0sgUxY
Ayudantes De Guardia    (2026-08-05 11:10:22)
Franco por presentismo autorizado por Ppal Romero.-
Cisneros
Couso</t>
      </text>
    </comment>
    <comment authorId="0" ref="AF16">
      <text>
        <t xml:space="preserve">======
ID#AAACFEf4rBs
Ayudantes De Guardia    (2026-08-26 09:33:20)
ISSP.- 
BARROS.-</t>
      </text>
    </comment>
    <comment authorId="0" ref="AK115">
      <text>
        <t xml:space="preserve">======
ID#AAACGJ8w-zc
Ayudantes De Guardia    (2026-08-28 15:23:15)
CAMBIO DE GUARDIA CON PC ACOSTA DAMARIS AUTORIZADO POR SUBCOMISARIO LOBOS.
JS: ALCOBA
AY: SAYUS</t>
      </text>
    </comment>
    <comment authorId="0" ref="AL148">
      <text>
        <t xml:space="preserve">======
ID#AAACFwuLW4w
Ayudantes De Guardia    (2026-08-18 13:35:46)
hasta el 02/09 inclusive .-
Barros.-</t>
      </text>
    </comment>
    <comment authorId="0" ref="J215">
      <text>
        <t xml:space="preserve">======
ID#AAACEzanHAA
Ayudantes De Guardia    (2026-08-04 22:31:37)
LUGANO</t>
      </text>
    </comment>
    <comment authorId="0" ref="M215">
      <text>
        <t xml:space="preserve">======
ID#AAACE9d4JEs
Ayudantes De Guardia    (2026-08-07 22:31:35)
CHACARITA
------
ID#AAACE9d4JEw
Ayudantes De Guardia    (2026-08-07 22:31:41)
18:09</t>
      </text>
    </comment>
    <comment authorId="0" ref="K83">
      <text>
        <t xml:space="preserve">======
ID#AAACE0sgUqc
Ayudantes De Guardia    (2026-08-05 09:35:38)
ENTYRA 7:30
------
ID#AAACE0sgUvU
Ayudantes De Guardia    (2026-08-05 10:32:28)
07:31</t>
      </text>
    </comment>
    <comment authorId="0" ref="N149">
      <text>
        <t xml:space="preserve">======
ID#AAACFlXureo
División Centros de Monitoreo Urbano    (2026-08-14 15:22:40)
18:42 HS.-</t>
      </text>
    </comment>
    <comment authorId="0" ref="P215">
      <text>
        <t xml:space="preserve">======
ID#AAACFaAFXR8
Ayudantes De Guardia    (2026-08-10 21:54:39)
CHACARITA</t>
      </text>
    </comment>
    <comment authorId="0" ref="J17">
      <text>
        <t xml:space="preserve">======
ID#AAACEzXFTrs
Ayudantes De Guardia    (2026-08-04 09:37:10)
ISSP</t>
      </text>
    </comment>
    <comment authorId="0" ref="L83">
      <text>
        <t xml:space="preserve">======
ID#AAACELPJjnc
Ayudantes De Guardia    (2026-07-28 14:51:13)
Cubre a PC Verdura, autorizado por Ppal Romero.-
Cisneros
Couso</t>
      </text>
    </comment>
    <comment authorId="0" ref="O83">
      <text>
        <t xml:space="preserve">======
ID#AAACFYv0mp4
Ayudantes De Guardia    (2026-08-09 02:27:24)
(08/08) 23:25Hs. Se comunica PC LEIS, Micaela manifestando que no se hará presente al servicio debido a fiebre y gripe. Enviará certficado médico.-
JS. LANGE
AY. ARCE
------
ID#AAACFkrQ8FQ
Ayudantes De Guardia    (2026-08-13 17:51:06)
si envio certificado con reposo por 24 Hs.-
CISNEROS 
QUIROGA</t>
      </text>
    </comment>
    <comment authorId="0" ref="R149">
      <text>
        <t xml:space="preserve">======
ID#AAACE8ouuos
Ayudantes De Guardia    (2026-08-07 07:50:59)
FRANCO POR SISEP AUTORIZADO POR PPAL MONTEROS
AY FERNANDEZ
JS MARTINEZ</t>
      </text>
    </comment>
    <comment authorId="0" ref="Q83">
      <text>
        <t xml:space="preserve">======
ID#AAACELPJjnM
Ayudantes De Guardia    (2026-07-28 14:50:45)
Cubre PC Verdura, autorizado por Ppal Romero.-
Cisneros
Couso</t>
      </text>
    </comment>
    <comment authorId="0" ref="P17">
      <text>
        <t xml:space="preserve">======
ID#AAACFaAFVuc
Ayudantes De Guardia    (2026-08-10 09:25:14)
06:25HS.-</t>
      </text>
    </comment>
    <comment authorId="0" ref="S83">
      <text>
        <t xml:space="preserve">======
ID#AAACFkrQ8Eg
Ayudantes De Guardia    (2026-08-13 17:42:31)
CON AVISO</t>
      </text>
    </comment>
    <comment authorId="0" ref="R17">
      <text>
        <t xml:space="preserve">======
ID#AAACFg3VPJY
Ayudantes De Guardia    (2026-08-12 09:37:57)
COMANDO UNIFICADO.-</t>
      </text>
    </comment>
    <comment authorId="0" ref="U116">
      <text>
        <t xml:space="preserve">======
ID#AAACE3uAQaI
Ayudantes De Guardia    (2026-08-06 23:06:58)
Franco por presentismo autorizado por Subcomisario Alejandra LOBOS.-
JS. ALCOBA
AY. DIDIER</t>
      </text>
    </comment>
    <comment authorId="0" ref="W116">
      <text>
        <t xml:space="preserve">======
ID#AAACE3uAQbA
Ayudantes De Guardia    (2026-08-06 23:12:00)
Franco por Scoring autorizado por Subcomisario Alejandra LOBOS.-
JS. ALCOBA
AY. DIDIER</t>
      </text>
    </comment>
    <comment authorId="0" ref="V17">
      <text>
        <t xml:space="preserve">======
ID#AAACFlXl2uI
Ayudantes De Guardia    (2026-08-14 12:16:59)
Orden de Servicio Nro. 6796/2026 - Visita Protocolar - 40° Conferencia Internacional para el Control de Drogas (IDEC), a implantarse el día domingo 16 de agosto del corriente a las 06:00 hs. en Av. Gral. Gelly y Obes 2289 4° Piso, Sede del Ministerio de Seguridad de la Nación
Barros.-</t>
      </text>
    </comment>
    <comment authorId="0" ref="AC215">
      <text>
        <t xml:space="preserve">======
ID#AAACFzattbU
Ayudantes De Guardia    (2026-08-21 00:57:39)
Cubre a Of. Mayor LEDESMA NATALIA autorizado por Ppal Berdun .- 
JS LANGE.-
Ayud. Soria.-</t>
      </text>
    </comment>
    <comment authorId="0" ref="X17">
      <text>
        <t xml:space="preserve">======
ID#AAACEzXFTu4
Ayudantes De Guardia    (2026-08-04 11:27:06)
ISSP</t>
      </text>
    </comment>
    <comment authorId="0" ref="Z17">
      <text>
        <t xml:space="preserve">======
ID#AAACFxehKrQ
Ayudantes De Guardia    (2026-08-20 09:27:20)
06:17</t>
      </text>
    </comment>
    <comment authorId="0" ref="AH215">
      <text>
        <t xml:space="preserve">======
ID#AAACFzattbY
Ayudantes De Guardia    (2026-08-21 00:58:09)
Cubre Of. Mayor LEDESMA, Natalia autorizado por Ppal Berdun .- 
JS LANGE.-
Ayud. Soria.-</t>
      </text>
    </comment>
    <comment authorId="0" ref="AF116">
      <text>
        <t xml:space="preserve">======
ID#AAACFDX_Pi0
Ayudantes De Guardia    (2026-08-25 16:49:27)
control de estres 10 hs
------
ID#AAACFEf4rJM
Ayudantes De Guardia    (2026-08-26 16:11:53)
8:09</t>
      </text>
    </comment>
    <comment authorId="0" ref="AD17">
      <text>
        <t xml:space="preserve">======
ID#AAACF4UxML4
Ayudantes De Guardia    (2026-08-24 09:02:32)
OS 7027</t>
      </text>
    </comment>
    <comment authorId="0" ref="G249">
      <text>
        <t xml:space="preserve">======
ID#AAACFj6Dpow
Ayudantes De Guardia    (2026-08-13 14:49:08)
ENTRADA 6:05</t>
      </text>
    </comment>
    <comment authorId="0" ref="AH116">
      <text>
        <t xml:space="preserve">======
ID#AAACE3uAQbE
Ayudantes De Guardia    (2026-08-06 23:12:07)
Franco por Detenidos autorizado por Subcomisario Alejandra LOBOS.-
JS. ALCOBA
AY. DIDIER</t>
      </text>
    </comment>
    <comment authorId="0" ref="I150">
      <text>
        <t xml:space="preserve">======
ID#AAACFk1d3iA
Ayudantes De Guardia    (2026-08-13 20:30:59)
ENTRADA 18:41</t>
      </text>
    </comment>
    <comment authorId="0" ref="N150">
      <text>
        <t xml:space="preserve">======
ID#AAACFlXure4
División Centros de Monitoreo Urbano    (2026-08-14 15:23:29)
07:03 HS.-</t>
      </text>
    </comment>
    <comment authorId="0" ref="N117">
      <text>
        <t xml:space="preserve">======
ID#AAACFX566aI
Ayudantes De Guardia    (2026-08-08 12:27:44)
09:15 Hs Se comunica PC LEGUIZAMON Karina informando no se hara presente al servicio dado que se cayo y se golpeo la rodilla. Envia certificado.-
ay fernandez
js martinez
------
ID#AAACFY8BBhI
Ayudantes De Guardia    (2026-08-09 15:40:41)
Se recibe certificado de PC Leguizamon Karina, con fecha 08-08, indica 24 hs de reposo</t>
      </text>
    </comment>
    <comment authorId="0" ref="M51">
      <text>
        <t xml:space="preserve">======
ID#AAACE3uAQMM
Ayudantes De Guardia    (2026-08-06 21:14:12)
Franco por  Productividad. Autorizó el Subcrio LOBOS.- 
Barros.-</t>
      </text>
    </comment>
    <comment authorId="0" ref="O84">
      <text>
        <t xml:space="preserve">======
ID#AAACFY8BAQM
Ayudantes De Guardia    (2026-08-09 09:14:50)
06:13</t>
      </text>
    </comment>
    <comment authorId="0" ref="R150">
      <text>
        <t xml:space="preserve">======
ID#AAACFX5668s
Ayudantes De Guardia    (2026-08-08 21:25:17)
FRANCO POR DESEMPEÑO AUTORIZADO POR PPAL MONTEROS
AY FERNANDEZ
JS HERRERA</t>
      </text>
    </comment>
    <comment authorId="0" ref="Q84">
      <text>
        <t xml:space="preserve">======
ID#AAACFlXurdk
División Centros de Monitoreo Urbano    (2026-08-14 15:04:27)
06:04 HS.-</t>
      </text>
    </comment>
    <comment authorId="0" ref="P51">
      <text>
        <t xml:space="preserve">======
ID#AAACFaAFVug
Ayudantes De Guardia    (2026-08-10 09:25:31)
06:23HS</t>
      </text>
    </comment>
    <comment authorId="0" ref="S117">
      <text>
        <t xml:space="preserve">======
ID#AAACFlXutxU
División Centros de Monitoreo Urbano    (2026-08-14 16:22:20)
09:08 HS.-</t>
      </text>
    </comment>
    <comment authorId="0" ref="V216">
      <text>
        <t xml:space="preserve">======
ID#AAACE9d4JFQ
Ayudantes De Guardia    (2026-08-07 22:34:19)
FRANCO POR PRESENTISMO AUTORIZADO POR PPAL ARGUELLO.-
JS BENITEZ
AYU TIRAVANTI</t>
      </text>
    </comment>
    <comment authorId="0" ref="U150">
      <text>
        <t xml:space="preserve">======
ID#AAACFuSxM7U
Ayudantes De Guardia    (2026-08-15 21:56:34)
18:13</t>
      </text>
    </comment>
    <comment authorId="0" ref="U117">
      <text>
        <t xml:space="preserve">======
ID#AAACFuEO5o0
Ayudantes De Guardia    (2026-08-15 12:22:16)
9:06</t>
      </text>
    </comment>
    <comment authorId="0" ref="S51">
      <text>
        <t xml:space="preserve">======
ID#AAACEzanG1I
Ayudantes De Guardia    (2026-08-04 19:40:23)
Se genera Licencia por hijo con discapacidad de fechas 13/08 Oficial Lis Bustamante.
JS: AGUIRRE
AY: PAZ</t>
      </text>
    </comment>
    <comment authorId="0" ref="Z249">
      <text>
        <t xml:space="preserve">======
ID#AAACE3uAN10
Ayudantes De Guardia    (2026-08-06 07:14:28)
Franco por presentismo. Autorizado por el Ppal. Kelly.-
JS. LANGE
AY. ARCE</t>
      </text>
    </comment>
    <comment authorId="0" ref="W117">
      <text>
        <t xml:space="preserve">======
ID#AAACFvWt1dE
Ayudantes De Guardia    (2026-08-17 12:39:32)
9:03</t>
      </text>
    </comment>
    <comment authorId="0" ref="AB249">
      <text>
        <t xml:space="preserve">======
ID#AAACF1fnqaE
Ayudantes De Guardia    (2026-08-22 09:18:47)
Ingreso 06:07Hs.</t>
      </text>
    </comment>
    <comment authorId="0" ref="W84">
      <text>
        <t xml:space="preserve">======
ID#AAACE0sgUxc
Ayudantes De Guardia    (2026-08-05 11:10:46)
Franco por presentismo autorizado por Ppal Romero.-
Cisneros
Couso</t>
      </text>
    </comment>
    <comment authorId="0" ref="Y117">
      <text>
        <t xml:space="preserve">======
ID#AAACFxgwuVA
Ayudantes De Guardia    (2026-08-19 12:19:09)
9:03</t>
      </text>
    </comment>
    <comment authorId="0" ref="AA150">
      <text>
        <t xml:space="preserve">======
ID#AAACF4UxMPk
División Centros de Monitoreo Urbano    (2026-08-24 13:01:33)
18:03 HS.-</t>
      </text>
    </comment>
    <comment authorId="0" ref="AA117">
      <text>
        <t xml:space="preserve">======
ID#AAACFzattsw
Ayudantes De Guardia    (2026-08-21 11:27:12)
Buenos días , di aviso a mi js que hoy no podré asistir a la guardia. Curso un cuadro de gripe desde el lunes y hoy amanecí con los ojos irritados e hinchados y dolor de cabeza por lo que solicité ausentarme el día de hoy ya que la luz me irrita la vista y me genera más dolor .
CISNEROS 
SEBASTIA
------
ID#AAACF1fnqYQ
Ayudantes De Guardia    (2026-08-22 00:36:35)
Se recibe constancia de atención de PC Leguizamon Karina con fecha 21/08 por 24hs.-</t>
      </text>
    </comment>
    <comment authorId="0" ref="Z51">
      <text>
        <t xml:space="preserve">======
ID#AAACFxehKqw
Ayudantes De Guardia    (2026-08-20 09:19:44)
06:08HS.-</t>
      </text>
    </comment>
    <comment authorId="0" ref="AA51">
      <text>
        <t xml:space="preserve">======
ID#AAACFzattsk
Ayudantes De Guardia    (2026-08-21 11:17:53)
LA MISMA POSEE UN SERVICO</t>
      </text>
    </comment>
    <comment authorId="0" ref="AD117">
      <text>
        <t xml:space="preserve">======
ID#AAACF4UxMPY
Ayudantes De Guardia    (2026-08-24 12:53:30)
9:21</t>
      </text>
    </comment>
    <comment authorId="0" ref="AD51">
      <text>
        <t xml:space="preserve">======
ID#AAACF4UxMMU
Ayudantes De Guardia    (2026-08-24 09:20:12)
6:08HS</t>
      </text>
    </comment>
    <comment authorId="0" ref="AF117">
      <text>
        <t xml:space="preserve">======
ID#AAACFDX_Piw
Ayudantes De Guardia    (2026-08-25 16:48:48)
control de estres 10 hs
------
ID#AAACFEf4rJQ
Ayudantes De Guardia    (2026-08-26 16:12:13)
9:30</t>
      </text>
    </comment>
    <comment authorId="0" ref="AH117">
      <text>
        <t xml:space="preserve">======
ID#AAACGJ8w-w8
Ayudantes De Guardia    (2026-08-28 12:49:42)
9:05</t>
      </text>
    </comment>
    <comment authorId="0" ref="AH51">
      <text>
        <t xml:space="preserve">======
ID#AAACFEf4rXU
Ayudantes De Guardia    (2026-08-26 18:53:36)
charla cud</t>
      </text>
    </comment>
    <comment authorId="0" ref="N250">
      <text>
        <t xml:space="preserve">======
ID#AAACE3uAN1o
Ayudantes De Guardia    (2026-08-06 07:14:12)
Franco por presentismo. Autorizado por el Ppal. Kelly.-
JS. LANGE
AY. ARCE</t>
      </text>
    </comment>
    <comment authorId="0" ref="H19">
      <text>
        <t xml:space="preserve">======
ID#AAACFj6Dpwo
Ayudantes De Guardia    (2026-08-13 16:38:29)
ENTRADA 6:05</t>
      </text>
    </comment>
    <comment authorId="0" ref="J19">
      <text>
        <t xml:space="preserve">======
ID#AAACEzXFTqU
Ayudantes De Guardia    (2026-08-04 09:24:39)
06:04</t>
      </text>
    </comment>
    <comment authorId="0" ref="L19">
      <text>
        <t xml:space="preserve">======
ID#AAACE3uAN-c
Ayudantes De Guardia    (2026-08-06 09:28:21)
Afectada a la OS 6528.-</t>
      </text>
    </comment>
    <comment authorId="0" ref="Z250">
      <text>
        <t xml:space="preserve">======
ID#AAACFzatthk
Ayudantes De Guardia    (2026-08-21 06:05:01)
Ingresa 18:01Hs</t>
      </text>
    </comment>
    <comment authorId="0" ref="AA151">
      <text>
        <t xml:space="preserve">======
ID#AAACFlxOXsg
Ayudantes De Guardia    (2026-08-14 22:46:14)
OS 6818 CONSTITUCION - 19 A 00Hs.</t>
      </text>
    </comment>
    <comment authorId="0" ref="AI151">
      <text>
        <t xml:space="preserve">======
ID#AAACGJ8w_Iw
Ayudantes De Guardia    (2026-08-28 23:30:16)
CAMION 911 DE 18 A 23HS-</t>
      </text>
    </comment>
    <comment authorId="0" ref="G251">
      <text>
        <t xml:space="preserve">======
ID#AAACEJy0Qc0
Ayudantes De Guardia    (2026-07-28 08:10:10)
Franco por OI N°128. Autorizado por el Ppal. Kelly.-
JS. GOMEZ
AY. ARCE</t>
      </text>
    </comment>
    <comment authorId="0" ref="G218">
      <text>
        <t xml:space="preserve">======
ID#AAACELPJko4
Ayudantes De Guardia    (2026-07-28 16:57:03)
Armamento.-</t>
      </text>
    </comment>
    <comment authorId="0" ref="H218">
      <text>
        <t xml:space="preserve">======
ID#AAACELPJko0
Ayudantes De Guardia    (2026-07-28 16:56:58)
Armamento.-</t>
      </text>
    </comment>
    <comment authorId="0" ref="AL151">
      <text>
        <t xml:space="preserve">======
ID#AAACFaAFVdo
Ayudantes De Guardia    (2026-08-10 05:33:30)
Franco por SISEP del mes de julio para el día 05/09. autorizado por ppal. kelly.
ayud aguilar
js martinez</t>
      </text>
    </comment>
    <comment authorId="0" ref="AH19">
      <text>
        <t xml:space="preserve">======
ID#AAACEM4-8qQ
Ayudantes De Guardia    (2026-07-29 20:16:18)
Franco Autorizado por el Ppal. ARGUELLO. 
Evento relevante.-
Barros.-</t>
      </text>
    </comment>
    <comment authorId="0" ref="I218">
      <text>
        <t xml:space="preserve">======
ID#AAACELPJkow
Ayudantes De Guardia    (2026-07-28 16:56:54)
Armamento.-</t>
      </text>
    </comment>
    <comment authorId="0" ref="J218">
      <text>
        <t xml:space="preserve">======
ID#AAACELPJkpQ
Ayudantes De Guardia    (2026-07-28 16:57:39)
Franco autorizado por la Superioridad.-
Cisneros
Couso</t>
      </text>
    </comment>
    <comment authorId="0" ref="I86">
      <text>
        <t xml:space="preserve">======
ID#AAACEgHzbkM
Ayudantes De Guardia    (2026-07-30 09:33:18)
FRANCO  AUTORIZADO POR LA SUPERIORIDAD.- 
CISNEROS
SEBASTIA</t>
      </text>
    </comment>
    <comment authorId="0" ref="L152">
      <text>
        <t xml:space="preserve">======
ID#AAACFlXure8
División Centros de Monitoreo Urbano    (2026-08-14 15:24:42)
18:05 HS.-</t>
      </text>
    </comment>
    <comment authorId="0" ref="Q251">
      <text>
        <t xml:space="preserve">======
ID#AAACFeh6Kmw
Ayudantes De Guardia    (2026-08-11 21:29:13)
18:23</t>
      </text>
    </comment>
    <comment authorId="0" ref="N152">
      <text>
        <t xml:space="preserve">======
ID#AAACE8ouuow
Ayudantes De Guardia    (2026-08-07 07:51:01)
FRANCO POR SISEP AUTORIZADO POR PPAL MONTEROS
AY FERNANDEZ
JS MARTINEZ</t>
      </text>
    </comment>
    <comment authorId="0" ref="O152">
      <text>
        <t xml:space="preserve">======
ID#AAACFlXurfA
División Centros de Monitoreo Urbano    (2026-08-14 15:25:00)
18:40 HS.-</t>
      </text>
    </comment>
    <comment authorId="0" ref="P20">
      <text>
        <t xml:space="preserve">======
ID#AAACEM4-8qU
Ayudantes De Guardia    (2026-07-29 20:17:23)
Franco Autorizado por el Ppal. ARGUELLO. 
Evento relevante.-
Barros.-</t>
      </text>
    </comment>
    <comment authorId="0" ref="R20">
      <text>
        <t xml:space="preserve">======
ID#AAACFg3VPJ8
Ayudantes De Guardia    (2026-08-12 09:46:03)
06:43HS.-</t>
      </text>
    </comment>
    <comment authorId="0" ref="AB251">
      <text>
        <t xml:space="preserve">======
ID#AAACE3uAN14
Ayudantes De Guardia    (2026-08-06 07:14:34)
Franco por presentismo. Autorizado por el Ppal. Kelly.-
JS. LANGE
AY. ARCE</t>
      </text>
    </comment>
    <comment authorId="0" ref="AB218">
      <text>
        <t xml:space="preserve">======
ID#AAACE9d4JFE
Ayudantes De Guardia    (2026-08-07 22:33:25)
FRANCO ARMERIA</t>
      </text>
    </comment>
    <comment authorId="0" ref="AD152">
      <text>
        <t xml:space="preserve">======
ID#AAACGJ8w-vg
División Centros de Monitoreo Urbano    (2026-08-28 11:52:10)
18:32 HS.-</t>
      </text>
    </comment>
    <comment authorId="0" ref="AG86">
      <text>
        <t xml:space="preserve">======
ID#AAACFzattjM
Ayudantes De Guardia    (2026-08-21 09:04:42)
Franco por presentismo autorizado por Ppal Romero.-
Cisneros
Couso</t>
      </text>
    </comment>
    <comment authorId="0" ref="H252">
      <text>
        <t xml:space="preserve">======
ID#AAACEJc3i_E
Ayudantes De Guardia    (2026-07-27 22:01:37)
Franco por productividad. OI N°128. Autorizado por el Ppal. Kelly.-
JS. GOMEZ
AY. ARCE</t>
      </text>
    </comment>
    <comment authorId="0" ref="H21">
      <text>
        <t xml:space="preserve">======
ID#AAACFlXukVE
División Centros de Monitoreo Urbano    (2026-08-14 14:04:28)
06:28 HS.-</t>
      </text>
    </comment>
    <comment authorId="0" ref="O153">
      <text>
        <t xml:space="preserve">======
ID#AAACE8ouuoA
Ayudantes De Guardia    (2026-08-07 07:48:37)
FRANCO POR PRESENTISMO AUTORIZADO POR PPAL MONTEROS
AY FERNANDEZ
JS MARTINEZ</t>
      </text>
    </comment>
    <comment authorId="0" ref="R21">
      <text>
        <t xml:space="preserve">======
ID#AAACFg3VPJg
Ayudantes De Guardia    (2026-08-12 09:39:34)
06:12 HS.-</t>
      </text>
    </comment>
    <comment authorId="0" ref="V21">
      <text>
        <t xml:space="preserve">======
ID#AAACFaAFW-Y
Ayudantes De Guardia    (2026-08-10 17:49:38)
Franco otorgado por la Superioridad.-
Barros.-</t>
      </text>
    </comment>
    <comment authorId="0" ref="AC252">
      <text>
        <t xml:space="preserve">======
ID#AAACE3uAN18
Ayudantes De Guardia    (2026-08-06 07:14:39)
Franco por presentismo. Autorizado por el Ppal. Kelly.-
JS. LANGE
AY. ARCE</t>
      </text>
    </comment>
    <comment authorId="0" ref="AA153">
      <text>
        <t xml:space="preserve">======
ID#AAACGJ8w-vk
División Centros de Monitoreo Urbano    (2026-08-28 11:53:50)
18:06 HS.-</t>
      </text>
    </comment>
    <comment authorId="0" ref="G253">
      <text>
        <t xml:space="preserve">======
ID#AAACFj6Dpoc
Ayudantes De Guardia    (2026-08-13 14:42:42)
ENTRADA 6:03</t>
      </text>
    </comment>
    <comment authorId="0" ref="H253">
      <text>
        <t xml:space="preserve">======
ID#AAACFj6Dp0Q
Ayudantes De Guardia    (2026-08-13 17:20:32)
ENTRADA 18:04</t>
      </text>
    </comment>
    <comment authorId="0" ref="K253">
      <text>
        <t xml:space="preserve">======
ID#AAACE3uAM_A
Ayudantes De Guardia    (2026-08-05 21:14:35)
18:06</t>
      </text>
    </comment>
    <comment authorId="0" ref="AK87">
      <text>
        <t xml:space="preserve">======
ID#AAACE0sgUxg
Ayudantes De Guardia    (2026-08-05 11:11:02)
Franco por presentismo autorizado por Ppal Romero.-
Cisneros
Couso</t>
      </text>
    </comment>
    <comment authorId="0" ref="I154">
      <text>
        <t xml:space="preserve">======
ID#AAACFk1d3hk
Ayudantes De Guardia    (2026-08-13 20:26:24)
ENTRADA 18:14</t>
      </text>
    </comment>
    <comment authorId="0" ref="L154">
      <text>
        <t xml:space="preserve">======
ID#AAACFlXurfI
División Centros de Monitoreo Urbano    (2026-08-14 15:28:24)
18:05 HS.-</t>
      </text>
    </comment>
    <comment authorId="0" ref="H22">
      <text>
        <t xml:space="preserve">======
ID#AAACEvnePac
Ayudantes De Guardia    (2026-08-02 18:08:36)
AUSENTE CON AVISO
------
ID#AAACFaAFXAE
Ayudantes De Guardia    (2026-08-10 18:29:39)
Franco Otorgado por la Superioridad.- 
Paz.-</t>
      </text>
    </comment>
    <comment authorId="0" ref="J22">
      <text>
        <t xml:space="preserve">======
ID#AAACEzXFTqs
Ayudantes De Guardia    (2026-08-04 09:30:51)
06:29HS.-</t>
      </text>
    </comment>
    <comment authorId="0" ref="N154">
      <text>
        <t xml:space="preserve">======
ID#AAACExfrUvk
Ayudantes De Guardia    (2026-08-03 21:31:04)
CUBRIO SABADO 01/08
AY FERNANDEZ
JS MARTINEZ</t>
      </text>
    </comment>
    <comment authorId="0" ref="T253">
      <text>
        <t xml:space="preserve">======
ID#AAACFltFXbA
Ayudantes De Guardia    (2026-08-14 21:05:13)
Ingreso 18:03Hs.</t>
      </text>
    </comment>
    <comment authorId="0" ref="R22">
      <text>
        <t xml:space="preserve">======
ID#AAACFg3VRDw
Ayudantes De Guardia    (2026-08-12 22:52:18)
Se retira 20 hrs.- 
2 hrs.- Recargo.- 
Barros.-</t>
      </text>
    </comment>
    <comment authorId="0" ref="Y187">
      <text>
        <t xml:space="preserve">======
ID#AAACFyDV12Y
Centro de Monitoreo Urbano    (2026-08-19 21:36:46)
COMANDO UNIFICADO</t>
      </text>
    </comment>
    <comment authorId="0" ref="W88">
      <text>
        <t xml:space="preserve">======
ID#AAACFY8BAR0
Ayudantes De Guardia    (2026-08-09 09:38:36)
Franco por presentismo autorizado por Ppal Romero.-
Cisneros
Couso</t>
      </text>
    </comment>
    <comment authorId="0" ref="V22">
      <text>
        <t xml:space="preserve">======
ID#AAACFulMBSs
Ayudantes De Guardia    (2026-08-16 09:33:56)
06:07 HRS.-</t>
      </text>
    </comment>
    <comment authorId="0" ref="AB187">
      <text>
        <t xml:space="preserve">======
ID#AAACF29xfZ8
Ayudantes De Guardia    (2026-08-22 21:05:21)
CUBRE VILLA LUGANO.- 
BARROS.-</t>
      </text>
    </comment>
    <comment authorId="0" ref="AB154">
      <text>
        <t xml:space="preserve">======
ID#AAACFg3VRKc
Ayudantes De Guardia    (2026-08-13 00:18:33)
CUBRE DE 18 A 06 
AY FERNANDEZ
JS MARTINEZ
------
ID#AAACF29xfas
Ayudantes De Guardia    (2026-08-22 21:38:17)
18:38</t>
      </text>
    </comment>
    <comment authorId="0" ref="AF253">
      <text>
        <t xml:space="preserve">======
ID#AAACFYv0mqE
Ayudantes De Guardia    (2026-08-09 02:54:18)
Franco por presentismo. Autorizado por el Ppal. Berdun.-
JS. LANGE
AY. ARCE</t>
      </text>
    </comment>
    <comment authorId="0" ref="AF154">
      <text>
        <t xml:space="preserve">======
ID#AAACFEf4sWw
Ayudantes De Guardia    (2026-08-27 18:53:54)
Se recibe constancia de atención de PC Caraballo Lucas con fecha 26/08 indicando 48 hs de reposo.
CISNEROS 
QUIROGA</t>
      </text>
    </comment>
    <comment authorId="0" ref="AI253">
      <text>
        <t xml:space="preserve">======
ID#AAACE3uANqA
Ayudantes De Guardia    (2026-08-06 05:24:10)
Franco por OI N°124. Autorizado por el Ppal. Kelly.-
JS. LANGE
AY. ARCE</t>
      </text>
    </comment>
    <comment authorId="0" ref="AB22">
      <text>
        <t xml:space="preserve">======
ID#AAACE0sgUmc
Ayudantes De Guardia    (2026-08-05 08:17:04)
CUBRE A PC LOPEZ CAMILA.-
JS BENITEZ
AYU TIRAVANTI</t>
      </text>
    </comment>
    <comment authorId="0" ref="AH187">
      <text>
        <t xml:space="preserve">======
ID#AAACGJ8w_NY
Ayudantes De Guardia    (2026-08-29 01:09:26)
FRANCO AUTORIZADO POR LA SUPERIORIDAD.
AY CUELLO
JS BENITEZ</t>
      </text>
    </comment>
    <comment authorId="0" ref="AG154">
      <text>
        <t xml:space="preserve">======
ID#AAACFEf4sW0
Ayudantes De Guardia    (2026-08-27 18:59:50)
Siendo las 15:33Hs se comunica PC Caraballo Lucas (G3 TN- 18a06) informando: Buenas tardes, hoy no me voy a hacer presente. Ya envié certificado médico por mail.
Cisneros
Couso</t>
      </text>
    </comment>
    <comment authorId="0" ref="AD22">
      <text>
        <t xml:space="preserve">======
ID#AAACE0sgUmg
Ayudantes De Guardia    (2026-08-05 08:17:31)
CUBRE PC LOPEZ CAMILA.-
JS BENITEZ
AYU TIRAVANTI</t>
      </text>
    </comment>
    <comment authorId="0" ref="AI154">
      <text>
        <t xml:space="preserve">======
ID#AAACF1fnqYo
Ayudantes De Guardia    (2026-08-22 02:47:43)
CUBRE SABADO 22/08
AY FERNANDEZ
JS MARTINEZ</t>
      </text>
    </comment>
    <comment authorId="0" ref="G254">
      <text>
        <t xml:space="preserve">======
ID#AAACFlXutzQ
División Centros de Monitoreo Urbano    (2026-08-14 17:09:11)
06:07</t>
      </text>
    </comment>
    <comment authorId="0" ref="H254">
      <text>
        <t xml:space="preserve">======
ID#AAACFlXutzU
División Centros de Monitoreo Urbano    (2026-08-14 17:09:26)
18:04</t>
      </text>
    </comment>
    <comment authorId="0" ref="G188">
      <text>
        <t xml:space="preserve">======
ID#AAACEfCPK3c
Ayudantes De Guardia    (2026-07-30 03:55:22)
FRANCO POR SERVICIO DEL 19/07.-
JS BENITEZ
AYU TIRAVANTI</t>
      </text>
    </comment>
    <comment authorId="0" ref="K254">
      <text>
        <t xml:space="preserve">======
ID#AAACE3uAM_Q
Ayudantes De Guardia    (2026-08-05 21:15:19)
18:14Hs</t>
      </text>
    </comment>
    <comment authorId="0" ref="I155">
      <text>
        <t xml:space="preserve">======
ID#AAACBvROzTQ
Ayudantes De Guardia    (2026-08-03 17:58:58)
Se comunica e informa :  no podré asistir a la guardia , recibí atención medica por lumbalgia, enviare el certificado correspondiente.-
CISNEROS 
SEBASTIA
------
ID#AAACExfrUyI
Ayudantes De Guardia    (2026-08-03 22:22:23)
Se recibe certificado médico de PC Leguizamon Karina con fecha 03/08 indicando reposo por 24 hs
AY FERNANDEZ
JS MARTINEZ</t>
      </text>
    </comment>
    <comment authorId="0" ref="I122">
      <text>
        <t xml:space="preserve">======
ID#AAACFxehLWo
Ayudantes De Guardia    (2026-08-20 14:10:38)
8:04</t>
      </text>
    </comment>
    <comment authorId="0" ref="I89">
      <text>
        <t xml:space="preserve">======
ID#AAACFktWDuQ
Ayudantes De Guardia    (2026-08-13 18:43:51)
ENTRADA 6:04</t>
      </text>
    </comment>
    <comment authorId="0" ref="K89">
      <text>
        <t xml:space="preserve">======
ID#AAACE0sgUps
Ayudantes De Guardia    (2026-08-05 09:09:46)
06:05</t>
      </text>
    </comment>
    <comment authorId="0" ref="L23">
      <text>
        <t xml:space="preserve">======
ID#AAACE3uAN9o
Ayudantes De Guardia    (2026-08-06 09:04:20)
CUBRE VIDEO.-</t>
      </text>
    </comment>
    <comment authorId="0" ref="S188">
      <text>
        <t xml:space="preserve">======
ID#AAACFk1d3nw
Ayudantes De Guardia    (2026-08-13 22:13:28)
18:05</t>
      </text>
    </comment>
    <comment authorId="0" ref="S122">
      <text>
        <t xml:space="preserve">======
ID#AAACFg3VRqs
Ayudantes De Guardia    (2026-08-13 02:02:39)
Queda a presto para concurrir al Servicio de Control de Accesos. El mismo se llevará a cabo en el dia de mañana, JUEVES 13/08 con horario aproximado 16:30hs. 
AY FERNANDEZ
JS MARTINEZ</t>
      </text>
    </comment>
    <comment authorId="0" ref="T122">
      <text>
        <t xml:space="preserve">======
ID#AAACFlO8_xM
Ayudantes De Guardia    (2026-08-14 11:02:25)
Franco por cumplimiento de la orden n° 6755/2026 del dia 13/08. Cubre Of. Vallejos Catherine</t>
      </text>
    </comment>
    <comment authorId="0" ref="S89">
      <text>
        <t xml:space="preserve">======
ID#AAACE0sgUxo
Ayudantes De Guardia    (2026-08-05 11:11:41)
Franco por presentismo autorizado por Ppal Romero.-
Cisneros
Couso</t>
      </text>
    </comment>
    <comment authorId="0" ref="W89">
      <text>
        <t xml:space="preserve">======
ID#AAACFvJ8rxY
Ayudantes De Guardia    (2026-08-17 08:57:30)
SE COMUNICA INFORMANDO QUE NO SEN HARA PRESENTE POR FIEBRE .
CISNEROS
SEBASTIA
------
ID#AAACFvmz5Pw
Ayudantes De Guardia    (2026-08-17 18:32:33)
Se recibe certificado de PC Ordoñez Bulentini con fecha 17/08- Reposo 48hs.
Cisneros
Couso</t>
      </text>
    </comment>
    <comment authorId="0" ref="AA89">
      <text>
        <t xml:space="preserve">======
ID#AAACFzattjo
Ayudantes De Guardia    (2026-08-21 09:32:23)
06:31</t>
      </text>
    </comment>
    <comment authorId="0" ref="Z23">
      <text>
        <t xml:space="preserve">======
ID#AAACFlXukRc
Ayudantes De Guardia    (2026-08-14 13:07:21)
FA autorizado por el Subcrio LOBOS, por evento relevante 48786137.- 
Barros.-</t>
      </text>
    </comment>
    <comment authorId="0" ref="AE188">
      <text>
        <t xml:space="preserve">======
ID#AAACF8VkMBk
Ayudantes De Guardia    (2026-08-25 21:26:36)
CUBRE LUGANO</t>
      </text>
    </comment>
    <comment authorId="0" ref="AC89">
      <text>
        <t xml:space="preserve">======
ID#AAACF3Vocpg
Ayudantes De Guardia    (2026-08-23 09:31:21)
06.30</t>
      </text>
    </comment>
    <comment authorId="0" ref="AE89">
      <text>
        <t xml:space="preserve">======
ID#AAACF6albp4
Ayudantes De Guardia    (2026-08-25 09:21:37)
06:21</t>
      </text>
    </comment>
    <comment authorId="0" ref="AG89">
      <text>
        <t xml:space="preserve">======
ID#AAACFEf4sEU
Ayudantes De Guardia    (2026-08-27 09:29:42)
06:29</t>
      </text>
    </comment>
    <comment authorId="0" ref="AI122">
      <text>
        <t xml:space="preserve">======
ID#AAACF8VkMBg
Ayudantes De Guardia    (2026-08-25 20:56:59)
Franco por Scoring. Cubre Insp. Martinez. Autorizado por PPAL ROMERO</t>
      </text>
    </comment>
    <comment authorId="0" ref="H255">
      <text>
        <t xml:space="preserve">======
ID#AAACEJy0Qcs
Ayudantes De Guardia    (2026-07-28 08:09:04)
Franco por OI N°124. Autorizado por el Ppal. Kelly.-
JS. GOMEZ
AY. ARCE</t>
      </text>
    </comment>
    <comment authorId="0" ref="G189">
      <text>
        <t xml:space="preserve">======
ID#AAACEH_GGFA
Ayudantes De Guardia    (2026-07-27 07:02:11)
CAMBIO DE GUARDIA CON OFICIAL PRIMERO VASQUEZ ELIANA, AUTORIZADO POR PPAL MONTEROS.-
JS BENITEZ
AYU TIRAVANTI</t>
      </text>
    </comment>
    <comment authorId="0" ref="AK89">
      <text>
        <t xml:space="preserve">======
ID#AAACFHzHSsw
Ayudantes De Guardia    (2026-08-31 09:10:43)
06:09HS.-</t>
      </text>
    </comment>
    <comment authorId="0" ref="J189">
      <text>
        <t xml:space="preserve">======
ID#AAACEzanG80
Ayudantes De Guardia    (2026-08-04 21:09:47)
PUERTO MADERO</t>
      </text>
    </comment>
    <comment authorId="0" ref="K90">
      <text>
        <t xml:space="preserve">======
ID#AAACE0sgUpQ
Ayudantes De Guardia    (2026-08-05 09:07:43)
06:03</t>
      </text>
    </comment>
    <comment authorId="0" ref="L24">
      <text>
        <t xml:space="preserve">======
ID#AAACE3uAN2k
Ayudantes De Guardia    (2026-08-06 07:23:05)
04:19Hs. Se comunica PC VIGNOLLES, Macarena manifestando que no se hará presente al servicio debido a fiebre y dolor de cuerpo. Enviará certificado médico.-
JS. LANGE
AY. ARCE
------
ID#AAACE9d4IVI
Ayudantes De Guardia    (2026-08-07 15:41:54)
Se recibe constancia de atencion medica de PC Vignolles Macarena con fecha 06/08 justificando el dia.
cisneros 
sebastia</t>
      </text>
    </comment>
    <comment authorId="0" ref="T255">
      <text>
        <t xml:space="preserve">======
ID#AAACFYtPUqY
Ayudantes De Guardia    (2026-08-09 00:14:19)
Franco por presentismo. Autorizado por el Ppal. Kelly.-
JS. LANGE
AY. ARCE</t>
      </text>
    </comment>
    <comment authorId="0" ref="U189">
      <text>
        <t xml:space="preserve">======
ID#AAACFg3VR2A
Ayudantes De Guardia    (2026-08-13 04:31:55)
Cubre turno mañana of. Cortes autorizado por la superioridad. 
Ay. Barrios. 
Js. Martinez.-</t>
      </text>
    </comment>
    <comment authorId="0" ref="V189">
      <text>
        <t xml:space="preserve">======
ID#AAACFg3VR2c
Ayudantes De Guardia    (2026-08-13 04:39:47)
Cubre Of. Cortes autorizado por la superioridad.- 
Ay. Barrios. 
Js. Martinez.-</t>
      </text>
    </comment>
    <comment authorId="0" ref="U156">
      <text>
        <t xml:space="preserve">======
ID#AAACEM1uM7k
Ayudantes De Guardia    (2026-07-29 03:25:20)
ORDEN INTERNA NRO. 128/2026 FRANCOS POR PROCEDIMIENTOS - RECONOCIMIENTO POR PRODUCTIVIDAD AUTORIZADO PPAL MONTEROS
AY FERNANDEZ
JS MARTINEZ</t>
      </text>
    </comment>
    <comment authorId="0" ref="X156">
      <text>
        <t xml:space="preserve">======
ID#AAACE8ouuoE
Ayudantes De Guardia    (2026-08-07 07:48:39)
FRANCO POR PRESENTISMO AUTORIZADO POR PPAL MONTEROS
AY FERNANDEZ
JS MARTINEZ</t>
      </text>
    </comment>
    <comment authorId="0" ref="V24">
      <text>
        <t xml:space="preserve">======
ID#AAACFulMBTE
Ayudantes De Guardia    (2026-08-16 09:39:01)
06:37</t>
      </text>
    </comment>
    <comment authorId="0" ref="AE189">
      <text>
        <t xml:space="preserve">======
ID#AAACF8VkMBo
Ayudantes De Guardia    (2026-08-25 21:26:49)
PUERTO MADERO</t>
      </text>
    </comment>
    <comment authorId="0" ref="AJ24">
      <text>
        <t xml:space="preserve">======
ID#AAACGNYqgaA
Ayudantes De Guardia    (2026-08-30 10:14:45)
06:23</t>
      </text>
    </comment>
    <comment authorId="0" ref="I157">
      <text>
        <t xml:space="preserve">======
ID#AAACFk1d3h0
Ayudantes De Guardia    (2026-08-13 20:29:34)
ENTRADA 18:32</t>
      </text>
    </comment>
    <comment authorId="0" ref="H25">
      <text>
        <t xml:space="preserve">======
ID#AAACFj6Dpww
Ayudantes De Guardia    (2026-08-13 16:39:34)
ENTRADA 6:06</t>
      </text>
    </comment>
    <comment authorId="0" ref="J25">
      <text>
        <t xml:space="preserve">======
ID#AAACFk1d3lE
Ayudantes De Guardia    (2026-08-13 21:16:28)
ENTRADA 6:05</t>
      </text>
    </comment>
    <comment authorId="0" ref="O157">
      <text>
        <t xml:space="preserve">======
ID#AAACF4UxMPo
División Centros de Monitoreo Urbano    (2026-08-24 13:04:51)
18:06 HS.-</t>
      </text>
    </comment>
    <comment authorId="0" ref="N124">
      <text>
        <t xml:space="preserve">======
ID#AAACFX5662w
Ayudantes De Guardia    (2026-08-08 18:31:46)
Se recibe certificado medico de Aux Ordoñez Lucas con fecha 8/8 por 48hs.-
JS HERRERA
AY CUELLAR</t>
      </text>
    </comment>
    <comment authorId="0" ref="P124">
      <text>
        <t xml:space="preserve">======
ID#AAACFaAFV9M
Ayudantes De Guardia    (2026-08-10 12:43:15)
Para conocimiento, 08:15 hs. Aux. Lucas Ordóñez se presentó en el CUP, acompañado por el Oficial Casas Agustin, a fin de ser evaluado. El cuál fue atendido por la Lic. Agostina Ilari Bonfico MN: 42942 y le indicó reposo por un período de cinco (5) días hábiles. Asimismo, deberá presentarse el día martes nuevamente, donde, de acuerdo con la evaluación y las indicaciones que reciba, se determinará si continúa con el reposo o si se encuentra en condiciones de retomar el servicio
JS: AGUIRRE
AY: PAZ</t>
      </text>
    </comment>
    <comment authorId="0" ref="R157">
      <text>
        <t xml:space="preserve">======
ID#AAACF4UxMPs
División Centros de Monitoreo Urbano    (2026-08-24 13:05:12)
18:12 HS.-</t>
      </text>
    </comment>
    <comment authorId="0" ref="U157">
      <text>
        <t xml:space="preserve">======
ID#AAACFj6DpT8
Ayudantes De Guardia    (2026-08-13 08:30:41)
FRANCO POR PRESENTISMO AUTORIZADO POR PPAL MONTEROS
AY FERNANDEZ
JS MARTINEZ</t>
      </text>
    </comment>
    <comment authorId="0" ref="X157">
      <text>
        <t xml:space="preserve">======
ID#AAACFxgwuUk
División Centros de Monitoreo Urbano    (2026-08-19 10:46:48)
18:13</t>
      </text>
    </comment>
    <comment authorId="0" ref="T25">
      <text>
        <t xml:space="preserve">======
ID#AAACFlNGCwQ
Ayudantes De Guardia    (2026-08-14 09:41:50)
06:19HS.-</t>
      </text>
    </comment>
    <comment authorId="0" ref="V25">
      <text>
        <t xml:space="preserve">======
ID#AAACFulMBSw
Ayudantes De Guardia    (2026-08-16 09:35:41)
06:04 HRS</t>
      </text>
    </comment>
    <comment authorId="0" ref="AA157">
      <text>
        <t xml:space="preserve">======
ID#AAACFw7ABCg
Ayudantes De Guardia    (2026-08-19 00:41:54)
CUBRE LUGANO</t>
      </text>
    </comment>
    <comment authorId="0" ref="X25">
      <text>
        <t xml:space="preserve">======
ID#AAACFwkdLJA
Ayudantes De Guardia    (2026-08-18 11:37:06)
Se retira 16 hrs. Autorizada por el JS.- 
Barros.-</t>
      </text>
    </comment>
    <comment authorId="0" ref="AE124">
      <text>
        <t xml:space="preserve">======
ID#AAACF6albqw
Ayudantes De Guardia    (2026-08-25 11:11:31)
Se tomo conocimiento mediante POC ADMINISTRACION que se dirige al centro medico. Se aguarda LM
AY. YUDI
JS. ARELLANO</t>
      </text>
    </comment>
    <comment authorId="0" ref="AJ25">
      <text>
        <t xml:space="preserve">======
ID#AAACE9d4I7Q
Ayudantes De Guardia    (2026-08-07 18:59:22)
Franco por Presentismo autorizado por Subcomisario Lobos.-</t>
      </text>
    </comment>
    <comment authorId="0" ref="H26">
      <text>
        <t xml:space="preserve">======
ID#AAACEHk0iHM
Ayudantes De Guardia    (2026-07-27 10:36:22)
FRANCO POR PRESENTISMO.-
AUX. GARCÍA</t>
      </text>
    </comment>
    <comment authorId="0" ref="O158">
      <text>
        <t xml:space="preserve">======
ID#AAACFlXurf8
División Centros de Monitoreo Urbano    (2026-08-14 15:32:35)
18:07 HS.-</t>
      </text>
    </comment>
    <comment authorId="0" ref="R158">
      <text>
        <t xml:space="preserve">======
ID#AAACFg3VQaw
Ayudantes De Guardia    (2026-08-12 20:46:19)
15:43 horas, el PC Micaela AGUILAR informó que no asistirá al servicio debido a que posee malestar estomacal. Enviará certificado médico.-
Barros.-</t>
      </text>
    </comment>
    <comment authorId="0" ref="U158">
      <text>
        <t xml:space="preserve">======
ID#AAACFuSxM7Q
Ayudantes De Guardia    (2026-08-15 21:56:23)
18:27</t>
      </text>
    </comment>
    <comment authorId="0" ref="V26">
      <text>
        <t xml:space="preserve">======
ID#AAACFlNGCwU
Ayudantes De Guardia    (2026-08-14 09:43:31)
FRANCO POR ESTIMULO. AUTORIZADO POR SUBCOMUSARIO LOBOS.-</t>
      </text>
    </comment>
    <comment authorId="0" ref="X26">
      <text>
        <t xml:space="preserve">======
ID#AAACFw3vL50
Ayudantes De Guardia    (2026-08-18 17:49:49)
14 HORAS SE RETIRA PASANDO A CUMPLIR FUNCIONES EN EL DEPARTAMENTO.-
BARROS.-</t>
      </text>
    </comment>
    <comment authorId="0" ref="J192">
      <text>
        <t xml:space="preserve">======
ID#AAACE1I_f_Y
Ayudantes De Guardia    (2026-08-05 00:24:24)
19:03</t>
      </text>
    </comment>
    <comment authorId="0" ref="M192">
      <text>
        <t xml:space="preserve">======
ID#AAACE9d4JFA
Ayudantes De Guardia    (2026-08-07 22:32:49)
19:04</t>
      </text>
    </comment>
    <comment authorId="0" ref="H27">
      <text>
        <t xml:space="preserve">======
ID#AAACEvICPV0
Ayudantes De Guardia    (2026-08-02 09:29:22)
CUBRE PM</t>
      </text>
    </comment>
    <comment authorId="0" ref="R159">
      <text>
        <t xml:space="preserve">======
ID#AAACFlXurgI
División Centros de Monitoreo Urbano    (2026-08-14 15:34:11)
18:04 HS.-</t>
      </text>
    </comment>
    <comment authorId="0" ref="S192">
      <text>
        <t xml:space="preserve">======
ID#AAACFk7ItG4
Ayudantes De Guardia    (2026-08-13 22:51:28)
19:15</t>
      </text>
    </comment>
    <comment authorId="0" ref="P27">
      <text>
        <t xml:space="preserve">======
ID#AAACFaAFV44
Ayudantes De Guardia    (2026-08-10 12:01:05)
Cubre Puerto Madero.- 
Barros.-</t>
      </text>
    </comment>
    <comment authorId="0" ref="V192">
      <text>
        <t xml:space="preserve">======
ID#AAACFwuLW4o
División Centros de Monitoreo Urbano    (2026-08-18 13:33:28)
19:03 HS.-</t>
      </text>
    </comment>
    <comment authorId="0" ref="S93">
      <text>
        <t xml:space="preserve">======
ID#AAACFj6DpPA
Ayudantes De Guardia    (2026-08-13 06:48:34)
Siendo las 03:44 Hs. Se comunica PC. FREYTES Ignacio (G2-TM), informando que no se hará presente debido a que se encuentra con ataques de vesícula, fiebre y vómitos. Envía certificado.
Ay. Barrios. 
Js. Martinez.-
------
ID#AAACFk9hWUc
Ayudantes De Guardia    (2026-08-14 00:08:40)
Se recibe constancia de atención de PC Freytes Ignacio con fecha 13/08 por 24 hs.-</t>
      </text>
    </comment>
    <comment authorId="0" ref="Y93">
      <text>
        <t xml:space="preserve">======
ID#AAACFxgwt0U
Ayudantes De Guardia    (2026-08-19 09:26:19)
siendo las 06:02hs se comunica PC Freyrtes Ignacio informando: "Hola buen día les pido disculpas me tuve que volver a mi casa me descompuse en el bondi con mucho dolor de vesícula y muy mareado". Enviara certificado
CISNEROS 
QUIROGA
20/08 Se recibe certificado medico del PC Freytes Ignacio con fecha 19/08 x 24 hs.-
JS Aguirre
Ayte Garcia</t>
      </text>
    </comment>
    <comment authorId="0" ref="AB192">
      <text>
        <t xml:space="preserve">======
ID#AAACF29xfXQ
Ayudantes De Guardia    (2026-08-22 16:53:06)
13:48Hs se comunica Aux. ALVAREZ, Daiana informando que no se hara presente. Enviara certifcado medico por familiar a cargo.-
JS LEDESMA
Ayud. Soria
------
ID#AAACF29xfd0
Ayudantes De Guardia    (2026-08-23 02:39:06)
Se recibe certificado por familiar a cargo. por 48hs
ay cuello
js benitez</t>
      </text>
    </comment>
    <comment authorId="0" ref="X27">
      <text>
        <t xml:space="preserve">======
ID#AAACFg3VQrc
Ayudantes De Guardia    (2026-08-12 22:00:44)
Franco Presentismo MES MARZO , adeudado por razones de servicio.-
autorizado por el Ppal. ARGUELLO.-
Barros.-</t>
      </text>
    </comment>
    <comment authorId="0" ref="AB126">
      <text>
        <t xml:space="preserve">======
ID#AAACE3uAQag
Ayudantes De Guardia    (2026-08-06 23:09:00)
Franco por Scoring autorizado por Subcomisario Alejandra LOBOS.-
JS. ALCOBA
AY. DIDIER</t>
      </text>
    </comment>
    <comment authorId="0" ref="AC93">
      <text>
        <t xml:space="preserve">======
ID#AAACF3Vococ
Ayudantes De Guardia    (2026-08-23 07:00:07)
03:58 horas el PC Ignacio FREYTES informó que no asistirá al servicio, acusa un ataque de vesícula y nauseas. Adeuda certificado médico.-
Barros.-
------
ID#AAACF4UxLw8
Ayudantes De Guardia    (2026-08-24 01:00:07)
Se recibe certificado con fecha 23/08, reposo por 24hs.-
JS LEDESMA
AY PEREYRA</t>
      </text>
    </comment>
    <comment authorId="0" ref="AC60">
      <text>
        <t xml:space="preserve">======
ID#AAACFzattuA
Ayudantes De Guardia    (2026-08-21 13:25:43)
AUTORIZADO POR LA SUPERIORIDAD.</t>
      </text>
    </comment>
    <comment authorId="0" ref="AD60">
      <text>
        <t xml:space="preserve">======
ID#AAACF4UxMMA
Ayudantes De Guardia    (2026-08-24 09:08:55)
CUBRE G01</t>
      </text>
    </comment>
    <comment authorId="0" ref="AF60">
      <text>
        <t xml:space="preserve">======
ID#AAACFEf4rWQ
Ayudantes De Guardia    (2026-08-26 18:08:38)
GRUPO 1, OFICIAL DE LINEA.-</t>
      </text>
    </comment>
    <comment authorId="0" ref="AJ159">
      <text>
        <t xml:space="preserve">======
ID#AAACGJ8w-qw
Ayudantes De Guardia    (2026-08-28 06:25:13)
FRANCO POR PRESENTISMO AUTORIZADO POR PPAL ARGUELLO
AY FERNANDEZ
JS LANGE</t>
      </text>
    </comment>
    <comment authorId="0" ref="AI126">
      <text>
        <t xml:space="preserve">======
ID#AAACE3uAQao
Ayudantes De Guardia    (2026-08-06 23:09:11)
Franco por Detenidos autorizado por Subcomisario Alejandra LOBOS.-
JS. ALCOBA
AY. DIDIER</t>
      </text>
    </comment>
    <comment authorId="0" ref="G193">
      <text>
        <t xml:space="preserve">======
ID#AAACElkzWGA
Ayudantes De Guardia    (2026-08-01 21:57:53)
18:26HS</t>
      </text>
    </comment>
    <comment authorId="0" ref="I127">
      <text>
        <t xml:space="preserve">======
ID#AAACEvfB18c
Ayudantes De Guardia    (2026-08-03 09:28:12)
Buen dia soy menghi, no me hare presente hoy en la guardia por hemorragia uterino y no pude dormir en toda la noche por el dolor. Voy a ver a mi doctora, mas tarde envio el certificado.
CVISNEROS 
SEBASTIA</t>
      </text>
    </comment>
    <comment authorId="0" ref="L160">
      <text>
        <t xml:space="preserve">======
ID#AAACFlXurgM
División Centros de Monitoreo Urbano    (2026-08-14 15:35:24)
18:05 HS.-</t>
      </text>
    </comment>
    <comment authorId="0" ref="M193">
      <text>
        <t xml:space="preserve">======
ID#AAACE9d4JE0
Ayudantes De Guardia    (2026-08-07 22:32:06)
18:11</t>
      </text>
    </comment>
    <comment authorId="0" ref="P127">
      <text>
        <t xml:space="preserve">======
ID#AAACFaAFVzg
Ayudantes De Guardia    (2026-08-10 11:16:17)
Franco Autorizado por Scoring
ALCOBA
DIDIER</t>
      </text>
    </comment>
    <comment authorId="0" ref="R160">
      <text>
        <t xml:space="preserve">======
ID#AAACFX5663U
Ayudantes De Guardia    (2026-08-08 19:30:36)
FRANCO AUTORIZADO POR SCORING ADMINISTRATIVO, AUTORIZADO POR PPAL. MONTEROS. 
AY. BARRIOS-
JS. HERRERA.-</t>
      </text>
    </comment>
    <comment authorId="0" ref="U160">
      <text>
        <t xml:space="preserve">======
ID#AAACE8ouuoU
Ayudantes De Guardia    (2026-08-07 07:48:51)
FRANCO POR PRESENTISMO AUTORIZADO POR PPAL MONTEROS
AY FERNANDEZ
JS MARTINEZ</t>
      </text>
    </comment>
    <comment authorId="0" ref="X127">
      <text>
        <t xml:space="preserve">======
ID#AAACFwXTljc
Ayudantes De Guardia    (2026-08-18 08:01:11)
04:58Hs. Se comunica Aux. Menghi, Carla manifestando que no se hara presente al servicio debido a descompostura estomacal y fuerte dolor de cabeza. Enviara certificado medico el cual validara en Bandfield.-
JS LANGE
AY PEREYRA</t>
      </text>
    </comment>
    <comment authorId="0" ref="V28">
      <text>
        <t xml:space="preserve">======
ID#AAACFulMBS0
Ayudantes De Guardia    (2026-08-16 09:36:12)
06:03</t>
      </text>
    </comment>
    <comment authorId="0" ref="AB127">
      <text>
        <t xml:space="preserve">======
ID#AAACFy0qn60
Ayudantes De Guardia    (2026-08-20 16:37:14)
Franco por Detenidos
JS ARELLANO
AY. YUDI</t>
      </text>
    </comment>
    <comment authorId="0" ref="AI127">
      <text>
        <t xml:space="preserve">======
ID#AAACE3uAQas
Ayudantes De Guardia    (2026-08-06 23:09:20)
Franco por Detenidos autorizado por Subcomisario Alejandra LOBOS.-
JS. ALCOBA
AY. DIDIER
------
ID#AAACGNYqgR4
Ayudantes De Guardia    (2026-08-29 08:52:44)
05:33 hs Se comunica Auxiliar Menghi Carla indicando que no se hará presente el día de la fecha sacará licencia médica y validará en Banfield. Al momento no indica los síntomas.-
ayCuello 
js Benitez
------
ID#AAACGNYqgTs
Ayudantes De Guardia    (2026-08-29 10:56:39)
Se recibe constancia de atencion medica del Aux Menghi Carla con fecha 29/08 indicando reposo por 24 Hs.-</t>
      </text>
    </comment>
    <comment authorId="0" ref="H227">
      <text>
        <t xml:space="preserve">======
ID#AAACF1fnqZE
Ayudantes De Guardia    (2026-08-22 06:10:33)
CURSO</t>
      </text>
    </comment>
    <comment authorId="0" ref="K227">
      <text>
        <t xml:space="preserve">======
ID#AAACF1fnqZI
Ayudantes De Guardia    (2026-08-22 06:10:38)
CURSO</t>
      </text>
    </comment>
    <comment authorId="0" ref="M128">
      <text>
        <t xml:space="preserve">======
ID#AAACE3uAQaU
Ayudantes De Guardia    (2026-08-06 23:08:21)
Franco por Scoring autorizado por Subcomisario Alejandra LOBOS.-
JS. ALCOBA
AY. DIDIER</t>
      </text>
    </comment>
    <comment authorId="0" ref="P194">
      <text>
        <t xml:space="preserve">======
ID#AAACFaAFXXo
Ayudantes De Guardia    (2026-08-10 22:05:56)
18:05</t>
      </text>
    </comment>
    <comment authorId="0" ref="L29">
      <text>
        <t xml:space="preserve">======
ID#AAACELPJjn0
Ayudantes De Guardia    (2026-07-28 14:51:57)
Cubre PC Diaz Leis, autorizado por Ppal Romero.-
Cisneros
Couso</t>
      </text>
    </comment>
    <comment authorId="0" ref="V194">
      <text>
        <t xml:space="preserve">======
ID#AAACFlHx2-I
Ayudantes De Guardia    (2026-08-14 06:35:14)
FRANCO POR PROCEDIMIENTO AUTORIZADO POR EL PPAL BERDUN.
AY CUELLO
JS BENITEZ</t>
      </text>
    </comment>
    <comment authorId="0" ref="Q29">
      <text>
        <t xml:space="preserve">======
ID#AAACELPJjoA
Ayudantes De Guardia    (2026-07-28 14:52:33)
Cubre a PC Diaz Leis, autorizado por Ppal Romero.-
Cisneros
Couso</t>
      </text>
    </comment>
    <comment authorId="0" ref="Y29">
      <text>
        <t xml:space="preserve">======
ID#AAACEM4-8sE
Ayudantes De Guardia    (2026-07-29 20:19:15)
Devolución 12 Hrs.- 
Barros.-</t>
      </text>
    </comment>
    <comment authorId="0" ref="Z29">
      <text>
        <t xml:space="preserve">======
ID#AAACFj6DpTw
Ayudantes De Guardia    (2026-08-13 08:29:30)
Franco por Scoring/ Administrativo  autorizado por Ppal Monteros
AY FERNANDEZ
JS MARTINEZ</t>
      </text>
    </comment>
    <comment authorId="0" ref="G195">
      <text>
        <t xml:space="preserve">======
ID#AAACElkzWGE
Ayudantes De Guardia    (2026-08-01 22:03:07)
18:12HS</t>
      </text>
    </comment>
    <comment authorId="0" ref="I129">
      <text>
        <t xml:space="preserve">======
ID#AAACEvfB18g
Ayudantes De Guardia    (2026-08-03 09:30:41)
Siendo las 06:25 hs se comunica PC Montiel Noelia informando: "Buen día, hoy no voy asistir a mi guardia, me duele mucho la garganta". Enviara certificado.
CISNEROS 
QUIROGA</t>
      </text>
    </comment>
    <comment authorId="0" ref="K129">
      <text>
        <t xml:space="preserve">======
ID#AAACFlXut0c
División Centros de Monitoreo Urbano    (2026-08-14 17:27:18)
08:05 HS.-</t>
      </text>
    </comment>
    <comment authorId="0" ref="H30">
      <text>
        <t xml:space="preserve">======
ID#AAACFj6Dpx0
Ayudantes De Guardia    (2026-08-13 16:47:49)
ENTRADA 6:14</t>
      </text>
    </comment>
    <comment authorId="0" ref="N162">
      <text>
        <t xml:space="preserve">======
ID#AAACE8ouuoY
Ayudantes De Guardia    (2026-08-07 07:48:54)
FRANCO POR PRESENTISMO AUTORIZADO POR PPAL MONTEROS
AY FERNANDEZ
JS MARTINEZ</t>
      </text>
    </comment>
    <comment authorId="0" ref="J30">
      <text>
        <t xml:space="preserve">======
ID#AAACEzXFTqY
Ayudantes De Guardia    (2026-08-04 09:25:47)
06:05HS.-</t>
      </text>
    </comment>
    <comment authorId="0" ref="P129">
      <text>
        <t xml:space="preserve">======
ID#AAACFaAFV4g
Ayudantes De Guardia    (2026-08-10 11:33:54)
08:18 HS</t>
      </text>
    </comment>
    <comment authorId="0" ref="W261">
      <text>
        <t xml:space="preserve">======
ID#AAACFvsF6xQ
Ayudantes De Guardia    (2026-08-17 21:05:07)
Cubre Lugano.-</t>
      </text>
    </comment>
    <comment authorId="0" ref="T129">
      <text>
        <t xml:space="preserve">======
ID#AAACFlO8_xY
Ayudantes De Guardia    (2026-08-14 11:31:46)
08:18</t>
      </text>
    </comment>
    <comment authorId="0" ref="Z261">
      <text>
        <t xml:space="preserve">======
ID#AAACFzatthc
Ayudantes De Guardia    (2026-08-21 05:46:53)
LEDESMA.-</t>
      </text>
    </comment>
    <comment authorId="0" ref="AB261">
      <text>
        <t xml:space="preserve">======
ID#AAACF1fnqaA
Ayudantes De Guardia    (2026-08-22 09:17:54)
Franco autorizado.-</t>
      </text>
    </comment>
    <comment authorId="0" ref="X129">
      <text>
        <t xml:space="preserve">======
ID#AAACE3uAQaM
Ayudantes De Guardia    (2026-08-06 23:07:23)
Franco por presentismo autorizado por Subcomisario Alejandra LOBOS.-
JS. ALCOBA
AY. DIDIER
------
ID#AAACE9d4H2o
División Centros de Monitoreo Urbano    (2026-08-07 14:03:14)
No corresponde franco por presentismo debido a reiteradas llegadas tarde el mes anterior (10 en total).
Of. Administracion.
------
ID#AAACFwboRbc
Ayudantes De Guardia    (2026-08-18 10:06:12)
05:52 hrs, el PC Noelia Montiel informó que no asistirá al servicio debido a que se encuentra con cefalea. Adeuda certificado médico.-
Barros.-</t>
      </text>
    </comment>
    <comment authorId="0" ref="AC261">
      <text>
        <t xml:space="preserve">======
ID#AAACFzattbM
Ayudantes De Guardia    (2026-08-21 00:56:21)
Cubre Of. Primero CAMPOS, Eugenia autorizado por Ppal Berdun.-
JS LANGE.-
Ayud. Soria.-</t>
      </text>
    </comment>
    <comment authorId="0" ref="V30">
      <text>
        <t xml:space="preserve">======
ID#AAACE9d4I7Y
Ayudantes De Guardia    (2026-08-07 19:00:39)
Franco por Presentismo autorizado por Subcomisario Lobos.-</t>
      </text>
    </comment>
    <comment authorId="0" ref="AA162">
      <text>
        <t xml:space="preserve">======
ID#AAACF4UxMP0
División Centros de Monitoreo Urbano    (2026-08-24 13:07:58)
18:03 HS.-</t>
      </text>
    </comment>
    <comment authorId="0" ref="AB195">
      <text>
        <t xml:space="preserve">======
ID#AAACE0sgUmU
Ayudantes De Guardia    (2026-08-05 08:15:56)
CAMBIO DE GUARDIA CON AUX. BARRIOS SERGIO, AUTORIZADO POR PPAL ARGUELLO.-
JS BENITEZ
AYU TIRAVANTI</t>
      </text>
    </comment>
    <comment authorId="0" ref="AD195">
      <text>
        <t xml:space="preserve">======
ID#AAACE0sgUmY
Ayudantes De Guardia    (2026-08-05 08:16:26)
CUBRE A AUX. BARROS SERGIO.-
JS BENITEZ
AYU TIRAVANTI</t>
      </text>
    </comment>
    <comment authorId="0" ref="AD162">
      <text>
        <t xml:space="preserve">======
ID#AAACGJ8w-vw
División Centros de Monitoreo Urbano    (2026-08-28 11:56:46)
18:06 HS.-</t>
      </text>
    </comment>
    <comment authorId="0" ref="Z30">
      <text>
        <t xml:space="preserve">======
ID#AAACFxehKqo
Ayudantes De Guardia    (2026-08-20 09:16:42)
06:07HS.-</t>
      </text>
    </comment>
    <comment authorId="0" ref="AH261">
      <text>
        <t xml:space="preserve">======
ID#AAACFzattbQ
Ayudantes De Guardia    (2026-08-21 00:56:59)
Cubre a Of. Primero CAMPOS Eugenia autorizado por Ppal Berdun.- 
JS LANGE.-
Ayud. Soria.-</t>
      </text>
    </comment>
    <comment authorId="0" ref="AI195">
      <text>
        <t xml:space="preserve">======
ID#AAACGNYqfto
Ayudantes De Guardia    (2026-08-29 03:16:51)
Cubre al PC Figueroa Solange.</t>
      </text>
    </comment>
    <comment authorId="0" ref="AD30">
      <text>
        <t xml:space="preserve">======
ID#AAACF4UxMMY
Ayudantes De Guardia    (2026-08-24 09:20:39)
6:04HS</t>
      </text>
    </comment>
    <comment authorId="0" ref="AG129">
      <text>
        <t xml:space="preserve">======
ID#AAACE3uAQaw
Ayudantes De Guardia    (2026-08-06 23:09:38)
Franco por Scoring autorizado por Subcomisario Alejandra LOBOS.-
JS. ALCOBA
AY. DIDIER</t>
      </text>
    </comment>
    <comment authorId="0" ref="AF63">
      <text>
        <t xml:space="preserve">======
ID#AAACFEf4rWM
Ayudantes De Guardia    (2026-08-26 18:08:23)
CUBRE LUGANO GRUPO 1.-</t>
      </text>
    </comment>
    <comment authorId="0" ref="AG63">
      <text>
        <t xml:space="preserve">======
ID#AAACFEf4sP4
Ayudantes De Guardia    (2026-08-27 12:02:40)
POR EL DIA DE AYER , CUBRIO LUGANO EN GRUPO 1 
CISNEROS 
SEBASTIA</t>
      </text>
    </comment>
    <comment authorId="0" ref="AK195">
      <text>
        <t xml:space="preserve">======
ID#AAACGNYqfts
Ayudantes De Guardia    (2026-08-29 03:17:23)
Cubre el PC Figueroa Solange.</t>
      </text>
    </comment>
    <comment authorId="0" ref="AI129">
      <text>
        <t xml:space="preserve">======
ID#AAACE3uAQa0
Ayudantes De Guardia    (2026-08-06 23:09:47)
Franco por Detenidos autorizado por Subcomisario Alejandra LOBOS.-
JS. ALCOBA
AY. DIDIER</t>
      </text>
    </comment>
    <comment authorId="0" ref="H262">
      <text>
        <t xml:space="preserve">======
ID#AAACDqhuHTg
Ayudantes De Guardia    (2026-07-23 06:41:38)
Franco por presentismo (mayo). Autorizado por el Ppal. Berdun.-
JS. LEDESMA
AY. ARCE</t>
      </text>
    </comment>
    <comment authorId="0" ref="G196">
      <text>
        <t xml:space="preserve">======
ID#AAACEH_GGFE
Ayudantes De Guardia    (2026-07-27 07:02:59)
FRANCO POR PRESENTISMO DE JUNIO AUTORIZADO POR PPAL MONTEROS.-
JS BENITEZ
AYU TIRAVANTI</t>
      </text>
    </comment>
    <comment authorId="0" ref="R163">
      <text>
        <t xml:space="preserve">======
ID#AAACFlXuttY
División Centros de Monitoreo Urbano    (2026-08-14 15:37:50)
18:04 HS.-</t>
      </text>
    </comment>
    <comment authorId="0" ref="AA163">
      <text>
        <t xml:space="preserve">======
ID#AAACF4UxMP4
División Centros de Monitoreo Urbano    (2026-08-24 13:08:54)
18:03 HS.-</t>
      </text>
    </comment>
    <comment authorId="0" ref="AD163">
      <text>
        <t xml:space="preserve">======
ID#AAACGJ8w-v8
División Centros de Monitoreo Urbano    (2026-08-28 11:58:34)
18:10 HS.-</t>
      </text>
    </comment>
    <comment authorId="0" ref="Z31">
      <text>
        <t xml:space="preserve">======
ID#AAACE9d4I7g
Ayudantes De Guardia    (2026-08-07 19:01:23)
Franco por Presentismo autorizado por Subcomisario Lobos.-</t>
      </text>
    </comment>
    <comment authorId="0" ref="AC97">
      <text>
        <t xml:space="preserve">======
ID#AAACF29xfbk
Ayudantes De Guardia    (2026-08-23 00:29:16)
Siendo las 21:24hs se comunica la Oficial Guzmán informando que no se hara presente al servicio el día de mañana, debido a que se encuentra con mucho dolor de cuerpo. Enviara certificado medico. Válido en Merlo. Ya dio aviso a su jefe de servicio.
JS BENITEZ
AYU TIRAVANTI
------
ID#AAACF3VoctM
Ayudantes De Guardia    (2026-08-23 15:02:09)
Se recibe certificado de Oficial Guzman del 23/08 reposo por 48hs
CISNEROS 
QUIROGA</t>
      </text>
    </comment>
    <comment authorId="0" ref="AI262">
      <text>
        <t xml:space="preserve">======
ID#AAACE3uAN2A
Ayudantes De Guardia    (2026-08-06 07:14:46)
Franco por presentismo. Autorizado por el Ppal. Kelly.-
JS. LANGE
AY. ARCE</t>
      </text>
    </comment>
    <comment authorId="0" ref="AG97">
      <text>
        <t xml:space="preserve">======
ID#AAACFEf4sEM
Ayudantes De Guardia    (2026-08-27 09:26:29)
CUBRE MARTINEZ VERONICA</t>
      </text>
    </comment>
    <comment authorId="0" ref="AF64">
      <text>
        <t xml:space="preserve">======
ID#AAACFEf4rcQ
Ayudantes De Guardia    (2026-08-26 21:34:49)
OS 7027 CONSTITUCION - 18 a 23Hs.</t>
      </text>
    </comment>
    <comment authorId="0" ref="AG64">
      <text>
        <t xml:space="preserve">======
ID#AAACFEf4sOs
Ayudantes De Guardia    (2026-08-27 09:52:23)
OS N° 7026 15 A 20HS ONCE</t>
      </text>
    </comment>
    <comment authorId="0" ref="AH97">
      <text>
        <t xml:space="preserve">======
ID#AAACFEf4sEQ
Ayudantes De Guardia    (2026-08-27 09:26:48)
CUBRE A MARTINEZ VERONICA</t>
      </text>
    </comment>
    <comment authorId="0" ref="N164">
      <text>
        <t xml:space="preserve">======
ID#AAACFlXuttg
División Centros de Monitoreo Urbano    (2026-08-14 15:39:06)
06:42 HS.-</t>
      </text>
    </comment>
    <comment authorId="0" ref="M131">
      <text>
        <t xml:space="preserve">======
ID#AAACE3uAQaY
Ayudantes De Guardia    (2026-08-06 23:08:24)
Franco por Scoring autorizado por Subcomisario Alejandra LOBOS.-
JS. ALCOBA
AY. DIDIER</t>
      </text>
    </comment>
    <comment authorId="0" ref="J32">
      <text>
        <t xml:space="preserve">======
ID#AAACEzXFTqI
Ayudantes De Guardia    (2026-08-04 09:22:29)
06:08HS.-</t>
      </text>
    </comment>
    <comment authorId="0" ref="V197">
      <text>
        <t xml:space="preserve">======
ID#AAACFlG7ksE
Ayudantes De Guardia    (2026-08-14 05:45:46)
CUBRE MADERO</t>
      </text>
    </comment>
    <comment authorId="0" ref="T131">
      <text>
        <t xml:space="preserve">======
ID#AAACE3uAQac
Ayudantes De Guardia    (2026-08-06 23:08:45)
Franco por Detenidos autorizado por Subcomisario Alejandra LOBOS.-
JS. ALCOBA
AY. DIDIER</t>
      </text>
    </comment>
    <comment authorId="0" ref="R32">
      <text>
        <t xml:space="preserve">======
ID#AAACFg3VPJk
Ayudantes De Guardia    (2026-08-12 09:41:10)
06.19HS.-</t>
      </text>
    </comment>
    <comment authorId="0" ref="Z230">
      <text>
        <t xml:space="preserve">======
ID#AAACFyVCvbs
Ayudantes De Guardia    (2026-08-20 04:14:48)
OS 6796 18HS</t>
      </text>
    </comment>
    <comment authorId="0" ref="T32">
      <text>
        <t xml:space="preserve">======
ID#AAACFlNGCwg
Ayudantes De Guardia    (2026-08-14 09:47:15)
06:20 HS.-</t>
      </text>
    </comment>
    <comment authorId="0" ref="V32">
      <text>
        <t xml:space="preserve">======
ID#AAACFuvRjug
Ayudantes De Guardia    (2026-08-16 15:54:47)
07:35HS</t>
      </text>
    </comment>
    <comment authorId="0" ref="AB197">
      <text>
        <t xml:space="preserve">======
ID#AAACE0sgUoI
Ayudantes De Guardia    (2026-08-05 08:28:03)
FRANCO POR PRESENTISMO AUTORIZADO POR PPAL ARGUELLO.-
JS BENITEZ
AYU TIRAVANTI</t>
      </text>
    </comment>
    <comment authorId="0" ref="AC65">
      <text>
        <t xml:space="preserve">======
ID#AAACF1V3ES0
Ayudantes De Guardia    (2026-08-21 19:51:46)
FA POR LA SUPERIORIDAD
------
ID#AAACF3VocpE
Ayudantes De Guardia    (2026-08-23 09:17:38)
SIN EFECTO FRANCO.
CUBRE LUGANO</t>
      </text>
    </comment>
    <comment authorId="0" ref="AE65">
      <text>
        <t xml:space="preserve">======
ID#AAACF6BwAbg
Ayudantes De Guardia    (2026-08-24 18:08:22)
Franco autorizado por la Superioridad. 
JS LAHITTE
AY LEIVAS</t>
      </text>
    </comment>
    <comment authorId="0" ref="AG131">
      <text>
        <t xml:space="preserve">======
ID#AAACFEf4sPs
Ayudantes De Guardia    (2026-08-27 11:33:13)
En consulta
------
ID#AAACGJ5yOME
Ayudantes De Guardia    (2026-08-27 21:40:49)
Se tomo contacto con la mencionada, previo al horario de ingreso, quien indica que se encuentra con dolor de cabeza y fiebre desde ayer y que aun continua con tos. Se acercara a centro medico. 
AY YUDI
JS ARELLANO</t>
      </text>
    </comment>
    <comment authorId="0" ref="AF32">
      <text>
        <t xml:space="preserve">======
ID#AAACFEf4rDQ
Ayudantes De Guardia    (2026-08-26 10:23:57)
Franco autorizado por el Ppal. ARGUELLO. 
Evento relevante: 48644905
Barros.-</t>
      </text>
    </comment>
    <comment authorId="0" ref="G231">
      <text>
        <t xml:space="preserve">======
ID#AAACElkzVCA
Ayudantes De Guardia    (2026-08-01 09:05:54)
LM</t>
      </text>
    </comment>
    <comment authorId="0" ref="G198">
      <text>
        <t xml:space="preserve">======
ID#AAACFj6Dpt0
Ayudantes De Guardia    (2026-08-13 15:42:15)
ENTRADA 18:03</t>
      </text>
    </comment>
    <comment authorId="0" ref="H231">
      <text>
        <t xml:space="preserve">======
ID#AAACEvneP_g
Ayudantes De Guardia    (2026-08-02 21:22:09)
LM</t>
      </text>
    </comment>
    <comment authorId="0" ref="AH32">
      <text>
        <t xml:space="preserve">======
ID#AAACFlXukRk
Ayudantes De Guardia    (2026-08-14 13:07:30)
FA autorizado por el Subcrio LOBOS, por evento relevante 48786137.- 
Barros.-</t>
      </text>
    </comment>
    <comment authorId="0" ref="AJ32">
      <text>
        <t xml:space="preserve">======
ID#AAACGNYqgaY
Ayudantes De Guardia    (2026-08-30 10:27:23)
06:52</t>
      </text>
    </comment>
    <comment authorId="0" ref="M198">
      <text>
        <t xml:space="preserve">======
ID#AAACE0sgUoM
Ayudantes De Guardia    (2026-08-05 08:28:20)
FRANCO POR PRESENTISMO AUTORIZADO POR PPAL ARGUELLO.-
JS BENITEZ
AYU TIRAVANTI</t>
      </text>
    </comment>
    <comment authorId="0" ref="P231">
      <text>
        <t xml:space="preserve">======
ID#AAACFaAFV-g
Ayudantes De Guardia    (2026-08-10 13:25:55)
Se recibe certificado medico de Of 1ero Rivero Marcos con fecha 10/8 hasta el 17/8.-
JS: AGUIRRE
AY: PAZ</t>
      </text>
    </comment>
    <comment authorId="0" ref="J33">
      <text>
        <t xml:space="preserve">======
ID#AAACEzXFTqM
Ayudantes De Guardia    (2026-08-04 09:22:44)
06:01HS.-</t>
      </text>
    </comment>
    <comment authorId="0" ref="O165">
      <text>
        <t xml:space="preserve">======
ID#AAACFlXuttk
División Centros de Monitoreo Urbano    (2026-08-14 15:39:50)
18:10 HS.-</t>
      </text>
    </comment>
    <comment authorId="0" ref="L33">
      <text>
        <t xml:space="preserve">======
ID#AAACE3uAN_E
Ayudantes De Guardia    (2026-08-06 09:55:51)
06:31HS.-</t>
      </text>
    </comment>
    <comment authorId="0" ref="P33">
      <text>
        <t xml:space="preserve">======
ID#AAACFaAFVuU
Ayudantes De Guardia    (2026-08-10 09:23:56)
6:12 HS.-</t>
      </text>
    </comment>
    <comment authorId="0" ref="R33">
      <text>
        <t xml:space="preserve">======
ID#AAACFg3VPJo
Ayudantes De Guardia    (2026-08-12 09:41:48)
ANILLO DIGITAL.-</t>
      </text>
    </comment>
    <comment authorId="0" ref="T33">
      <text>
        <t xml:space="preserve">======
ID#AAACFj6DpT0
Ayudantes De Guardia    (2026-08-13 08:30:06)
Franco por Scoring/ Administrativo autorizado por Ppal Monteros
AY FERNANDEZ
JS MARTINEZ</t>
      </text>
    </comment>
    <comment authorId="0" ref="V33">
      <text>
        <t xml:space="preserve">======
ID#AAACFulMBS8
Ayudantes De Guardia    (2026-08-16 09:37:44)
06:24 hrs el PC Ramiro GOMEZ informa que no asistirá por malestar estomacal.- 
Barros.-</t>
      </text>
    </comment>
    <comment authorId="0" ref="Z132">
      <text>
        <t xml:space="preserve">======
ID#AAACFxehLUw
Ayudantes De Guardia    (2026-08-20 13:48:47)
8:02</t>
      </text>
    </comment>
    <comment authorId="0" ref="AA165">
      <text>
        <t xml:space="preserve">======
ID#AAACF4UxMP8
División Centros de Monitoreo Urbano    (2026-08-24 13:10:13)
18:07 HS.-</t>
      </text>
    </comment>
    <comment authorId="0" ref="AD33">
      <text>
        <t xml:space="preserve">======
ID#AAACF4UxMMw
Ayudantes De Guardia    (2026-08-24 09:23:18)
6:12HS</t>
      </text>
    </comment>
    <comment authorId="0" ref="AG132">
      <text>
        <t xml:space="preserve">======
ID#AAACE3uAP2k
Ayudantes De Guardia    (2026-08-06 19:44:18)
Franco por Scoring autorizado por Subcomisario Alejandra LOBOS.-
JS. ALCOBA
AY. DIDIER</t>
      </text>
    </comment>
    <comment authorId="0" ref="AF66">
      <text>
        <t xml:space="preserve">======
ID#AAACFEf4rAI
Ayudantes De Guardia    (2026-08-26 08:13:38)
COMANDO UNIFICADO - ORDEN 7108 - 10HS</t>
      </text>
    </comment>
    <comment authorId="0" ref="AK198">
      <text>
        <t xml:space="preserve">======
ID#AAACFIonEXY
Ayudantes De Guardia    (2026-08-31 22:40:14)
18:32</t>
      </text>
    </comment>
    <comment authorId="0" ref="AI132">
      <text>
        <t xml:space="preserve">======
ID#AAACE3uAP2g
Ayudantes De Guardia    (2026-08-06 19:44:09)
Franco por Detenidos autorizado por Subcomisario Alejandra LOBOS.-
JS. ALCOBA
AY. DIDIER</t>
      </text>
    </comment>
  </commentList>
  <extLst>
    <ext uri="GoogleSheetsCustomDataVersion2">
      <go:sheetsCustomData xmlns:go="http://customooxmlschemas.google.com/" r:id="rId1" roundtripDataSignature="AMtx7miMgR73syBvHyFS1NouWoS8l2hLlg=="/>
    </ext>
  </extL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H66">
      <text>
        <t xml:space="preserve">======
ID#AAACGNYqgTc
Ayudantes De Guardia    (2026-08-29 10:12:05)
6:27</t>
      </text>
    </comment>
    <comment authorId="0" ref="AI66">
      <text>
        <t xml:space="preserve">======
ID#AAACGNYqgaI
Ayudantes De Guardia    (2026-08-30 10:15:28)
06:31</t>
      </text>
    </comment>
    <comment authorId="0" ref="AJ66">
      <text>
        <t xml:space="preserve">======
ID#AAACGNYqgQs
Ayudantes De Guardia    (2026-08-29 06:44:49)
OS 7242
06:05HS</t>
      </text>
    </comment>
    <comment authorId="0" ref="K67">
      <text>
        <t xml:space="preserve">======
ID#AAACEzanGpk
Ayudantes De Guardia    (2026-08-04 18:40:23)
Cubre el PC REVAINERA. Autorizó el Subcrio LOBOS.- 
Barros.-</t>
      </text>
    </comment>
    <comment authorId="0" ref="L67">
      <text>
        <t xml:space="preserve">======
ID#AAACE9Uau9s
Ayudantes De Guardia    (2026-08-07 09:21:21)
6:13HS</t>
      </text>
    </comment>
    <comment authorId="0" ref="T67">
      <text>
        <t xml:space="preserve">======
ID#AAACFg3VQsM
Ayudantes De Guardia    (2026-08-12 22:16:54)
Cubre al PC ROMERO.- 
Barros.-</t>
      </text>
    </comment>
    <comment authorId="0" ref="V67">
      <text>
        <t xml:space="preserve">======
ID#AAACFvAH5_g
Ayudantes De Guardia    (2026-08-17 04:21:45)
Siendo las 01:16hs se comunica PC Charon Florencia informando que no se hara presente al servicio debido a fiebre. Enviara certificado.-
JS BENITEZ
AYU TIRAVANTI
------
ID#AAACFwgR7ak
Ayudantes De Guardia    (2026-08-18 10:38:07)
Se recibe certificado medico de Charon, Florencia Agustina con fecha 17/8 por 48hs.-
JS: AGUIRRE
AY: PAZ</t>
      </text>
    </comment>
    <comment authorId="0" ref="AA67">
      <text>
        <t xml:space="preserve">======
ID#AAACFvaPxF4
Ayudantes De Guardia    (2026-08-17 14:16:53)
CG CUBRE A BENITEZ 
CISNEROS 
SEBASTIA</t>
      </text>
    </comment>
    <comment authorId="0" ref="AB67">
      <text>
        <t xml:space="preserve">======
ID#AAACFg3VQsI
Ayudantes De Guardia    (2026-08-12 22:15:46)
Cubre el PC ROMERO.- Autorizó el Subcrio LOBOS.- 
Barros.-</t>
      </text>
    </comment>
    <comment authorId="0" ref="AC67">
      <text>
        <t xml:space="preserve">======
ID#AAACF4UxMI0
Ayudantes De Guardia    (2026-08-24 05:48:22)
02:44Hs se comunica PC CHARON, Florencia manifestando que no se hará presente debido a que se encuentra descompuesta y con vomitos. Refiere que enviara certificado de atencion .-
JS LEDESMA.-
Ayud. Soria.-
------
ID#AAACF6albr4
Ayudantes De Guardia    (2026-08-25 13:00:31)
Se recibe constancia de atencion medica de PC Charon Florencia con fecha 24/08 indicando reposo por 24 Hs.-
CISNEROS 
QUIROGA</t>
      </text>
    </comment>
    <comment authorId="0" ref="AD67">
      <text>
        <t xml:space="preserve">======
ID#AAACF6albpE
Ayudantes De Guardia    (2026-08-25 07:36:38)
Siendo las 04:33 Hs. Se comunica PC. CHARON Florencia (Chacarita, T-M), informando que no se hará presente al servicio debido a que continúa con vómitos. Indica que en el transcurso del día enviará el certificado correspondiente.
ay fernandez
js lange
------
ID#AAACF8VkMH8
Ayudantes De Guardia    (2026-08-26 01:08:52)
Se recibe contancia de atencion con fecha 25/08. 
AY CUELLO 
JS BENITEZ</t>
      </text>
    </comment>
    <comment authorId="0" ref="AE67">
      <text>
        <t xml:space="preserve">======
ID#AAACEzanGpo
Ayudantes De Guardia    (2026-08-04 18:40:42)
Cubre al PC REVAINERA.- 
Barros.-
------
ID#AAACFEf4rBY
Ayudantes De Guardia    (2026-08-26 09:26:36)
6:16HS</t>
      </text>
    </comment>
    <comment authorId="0" ref="AH67">
      <text>
        <t xml:space="preserve">======
ID#AAACGNYqgR8
Ayudantes De Guardia    (2026-08-29 09:07:45)
CUBRE PC. REVANEIRA</t>
      </text>
    </comment>
    <comment authorId="0" ref="AI67">
      <text>
        <t xml:space="preserve">======
ID#AAACFvaPxF8
Ayudantes De Guardia    (2026-08-17 14:17:10)
CG CUBRE  PC BENITEZ 
CISNEROS
SEBASTIA</t>
      </text>
    </comment>
    <comment authorId="0" ref="AJ67">
      <text>
        <t xml:space="preserve">======
ID#AAACGNYqgQw
Ayudantes De Guardia    (2026-08-29 06:45:04)
OS 7254</t>
      </text>
    </comment>
    <comment authorId="0" ref="K35">
      <text>
        <t xml:space="preserve">======
ID#AAACEHk0iI4
Ayudantes De Guardia    (2026-07-27 11:47:42)
Se retira 4hs antes, en compensación del día 19/07.-
Aux. García.-</t>
      </text>
    </comment>
    <comment authorId="0" ref="O35">
      <text>
        <t xml:space="preserve">======
ID#AAACFaAFVus
Ayudantes De Guardia    (2026-08-10 09:32:02)
06:20 HS.-</t>
      </text>
    </comment>
    <comment authorId="0" ref="P35">
      <text>
        <t xml:space="preserve">======
ID#AAACFdFK2Mk
Ayudantes De Guardia    (2026-08-11 09:12:08)
6:10HS</t>
      </text>
    </comment>
    <comment authorId="0" ref="Q35">
      <text>
        <t xml:space="preserve">======
ID#AAACFg3VPLM
Ayudantes De Guardia    (2026-08-12 09:56:35)
06:25HS.-</t>
      </text>
    </comment>
    <comment authorId="0" ref="V68">
      <text>
        <t xml:space="preserve">======
ID#AAACFvOqzKc
Ayudantes De Guardia    (2026-08-17 10:04:28)
6:09</t>
      </text>
    </comment>
    <comment authorId="0" ref="W35">
      <text>
        <t xml:space="preserve">======
ID#AAACFwalokk
Ayudantes De Guardia    (2026-08-18 09:25:23)
06:25HS.-</t>
      </text>
    </comment>
    <comment authorId="0" ref="Y68">
      <text>
        <t xml:space="preserve">======
ID#AAACFxehKrc
Ayudantes De Guardia    (2026-08-20 09:29:13)
06:10</t>
      </text>
    </comment>
    <comment authorId="0" ref="Z35">
      <text>
        <t xml:space="preserve">======
ID#AAACFzattjg
Ayudantes De Guardia    (2026-08-21 09:20:18)
06.17</t>
      </text>
    </comment>
    <comment authorId="0" ref="AB68">
      <text>
        <t xml:space="preserve">======
ID#AAACE9d4I7w
Ayudantes De Guardia    (2026-08-07 19:02:51)
Franco por Presentismo autorizado por Subcomisario Lobos.-</t>
      </text>
    </comment>
    <comment authorId="0" ref="AC35">
      <text>
        <t xml:space="preserve">======
ID#AAACF4UxMM0
Ayudantes De Guardia    (2026-08-24 09:23:38)
6:17HS</t>
      </text>
    </comment>
    <comment authorId="0" ref="AH68">
      <text>
        <t xml:space="preserve">======
ID#AAACGNYqgSE
Ayudantes De Guardia    (2026-08-29 09:21:49)
06:03</t>
      </text>
    </comment>
    <comment authorId="0" ref="AG35">
      <text>
        <t xml:space="preserve">======
ID#AAACGJ8w-uw
División Centros de Monitoreo Urbano    (2026-08-28 11:20:54)
06:07</t>
      </text>
    </comment>
    <comment authorId="0" ref="AI35">
      <text>
        <t xml:space="preserve">======
ID#AAACFEf4raY
Ayudantes De Guardia    (2026-08-26 20:52:48)
OS 7135/2026
barros.-</t>
      </text>
    </comment>
    <comment authorId="0" ref="I36">
      <text>
        <t xml:space="preserve">======
ID#AAACEzXFTsE
Ayudantes De Guardia    (2026-08-04 10:09:31)
07:09HS.-</t>
      </text>
    </comment>
    <comment authorId="0" ref="J36">
      <text>
        <t xml:space="preserve">======
ID#AAACE0sgUu4
Ayudantes De Guardia    (2026-08-05 10:04:03)
07:03</t>
      </text>
    </comment>
    <comment authorId="0" ref="K36">
      <text>
        <t xml:space="preserve">======
ID#AAACE3uAOBs
Ayudantes De Guardia    (2026-08-06 11:40:10)
07:20 HS.-</t>
      </text>
    </comment>
    <comment authorId="0" ref="N36">
      <text>
        <t xml:space="preserve">======
ID#AAACFY8BBAE
Ayudantes De Guardia    (2026-08-09 10:11:53)
07:11</t>
      </text>
    </comment>
    <comment authorId="0" ref="O36">
      <text>
        <t xml:space="preserve">======
ID#AAACFaAFVwc
Ayudantes De Guardia    (2026-08-10 10:27:17)
07:26HS.-</t>
      </text>
    </comment>
    <comment authorId="0" ref="P36">
      <text>
        <t xml:space="preserve">======
ID#AAACFdFK2Os
Ayudantes De Guardia    (2026-08-11 10:25:43)
07:24</t>
      </text>
    </comment>
    <comment authorId="0" ref="Q36">
      <text>
        <t xml:space="preserve">======
ID#AAACFg3VPNI
Ayudantes De Guardia    (2026-08-12 10:30:28)
07:30HS.-</t>
      </text>
    </comment>
    <comment authorId="0" ref="V69">
      <text>
        <t xml:space="preserve">======
ID#AAACFvOqzKU
Ayudantes De Guardia    (2026-08-17 10:03:54)
6:14</t>
      </text>
    </comment>
    <comment authorId="0" ref="U36">
      <text>
        <t xml:space="preserve">======
ID#AAACFwXl7Ik
División Centros de Monitoreo Urbano    (2026-08-18 12:44:16)
07:09 HS</t>
      </text>
    </comment>
    <comment authorId="0" ref="V36">
      <text>
        <t xml:space="preserve">======
ID#AAACFvOqzK0
Ayudantes De Guardia    (2026-08-17 10:12:06)
7:11</t>
      </text>
    </comment>
    <comment authorId="0" ref="W69">
      <text>
        <t xml:space="preserve">======
ID#AAACE9d4I8I
Ayudantes De Guardia    (2026-08-07 19:05:22)
Franco por Presentismo autorizado por Subcomisario Lobos.-</t>
      </text>
    </comment>
    <comment authorId="0" ref="W36">
      <text>
        <t xml:space="preserve">======
ID#AAACFwiJMWo
Ayudantes De Guardia    (2026-08-18 10:39:52)
07.39HS-</t>
      </text>
    </comment>
    <comment authorId="0" ref="AB69">
      <text>
        <t xml:space="preserve">======
ID#AAACF3VocpI
Ayudantes De Guardia    (2026-08-23 09:18:12)
06:18</t>
      </text>
    </comment>
    <comment authorId="0" ref="AB36">
      <text>
        <t xml:space="preserve">======
ID#AAACF3Vocp4
Ayudantes De Guardia    (2026-08-23 10:36:09)
07:10</t>
      </text>
    </comment>
    <comment authorId="0" ref="AC36">
      <text>
        <t xml:space="preserve">======
ID#AAACF4UxMNU
División Centros de Monitoreo Urbano    (2026-08-24 10:51:59)
07:12 HS</t>
      </text>
    </comment>
    <comment authorId="0" ref="AG36">
      <text>
        <t xml:space="preserve">======
ID#AAACGJ8w-tU
Ayudantes De Guardia    (2026-08-28 10:13:59)
7:05HS</t>
      </text>
    </comment>
    <comment authorId="0" ref="AH69">
      <text>
        <t xml:space="preserve">======
ID#AAACFg3VQnQ
Ayudantes De Guardia    (2026-08-12 21:48:42)
Scoring Junio. Autorizó la Subcrio LOBOS.- 
Barros.-</t>
      </text>
    </comment>
    <comment authorId="0" ref="AH36">
      <text>
        <t xml:space="preserve">======
ID#AAACGNYqgVA
Ayudantes De Guardia    (2026-08-29 17:08:55)
7:23</t>
      </text>
    </comment>
    <comment authorId="0" ref="AI36">
      <text>
        <t xml:space="preserve">======
ID#AAACFEf4rac
Ayudantes De Guardia    (2026-08-26 20:52:53)
OS 7135/2026
barros.-
------
ID#AAACGNYqgaU
Ayudantes De Guardia    (2026-08-30 10:24:16)
07:14</t>
      </text>
    </comment>
    <comment authorId="0" ref="G4">
      <text>
        <t xml:space="preserve">======
ID#AAACElfY5A8
Ayudantes De Guardia    (2026-08-01 01:34:27)
Sala de situaciones complejas 02/08 12:00hs en Hornos OS 6443/2026
AY FERNANDEZ
JS MARTINEZ</t>
      </text>
    </comment>
    <comment authorId="0" ref="J70">
      <text>
        <t xml:space="preserve">======
ID#AAACE0sgUpU
Ayudantes De Guardia    (2026-08-05 09:08:09)
06:03</t>
      </text>
    </comment>
    <comment authorId="0" ref="N37">
      <text>
        <t xml:space="preserve">======
ID#AAACE0sgUx0
Ayudantes De Guardia    (2026-08-05 11:13:52)
Franco por presentismo autorizado por Ppal Romero.-
Cisneros
Couso</t>
      </text>
    </comment>
    <comment authorId="0" ref="R4">
      <text>
        <t xml:space="preserve">======
ID#AAACFg3VRq0
Ayudantes De Guardia    (2026-08-13 02:03:08)
Queda a presto para concurrir al Servicio de Control de Accesos. El mismo se llevará a cabo en el dia de mañana, JUEVES 13/08 con horario aproximado 16:30hs.
AY FERNANDEZ
JS MARTINEZ</t>
      </text>
    </comment>
    <comment authorId="0" ref="U37">
      <text>
        <t xml:space="preserve">======
ID#AAACEgdho4E
Ayudantes De Guardia    (2026-07-30 17:45:43)
CAMBIO DE GUARDIA. CUBRE PC MAHLKNECT FLAVIA. AUTORIZADO POR PPAL ROMERO
CISNEROS 
QUIROGA</t>
      </text>
    </comment>
    <comment authorId="0" ref="X37">
      <text>
        <t xml:space="preserve">======
ID#AAACEgdho4I
Ayudantes De Guardia    (2026-07-30 17:46:03)
CUBRE A PC MAHLKNECT FLAVIA. AUTORIZADO POR PPAL ROMERO
CISNEROS 
QUIROGA</t>
      </text>
    </comment>
    <comment authorId="0" ref="AG37">
      <text>
        <t xml:space="preserve">======
ID#AAACFvgiWK0
Ayudantes De Guardia    (2026-08-17 16:08:22)
CG CUBRE CABRERA 
CISNEROS 
SEBASTIA</t>
      </text>
    </comment>
    <comment authorId="0" ref="AI37">
      <text>
        <t xml:space="preserve">======
ID#AAACE9d4G_0
Ayudantes De Guardia    (2026-08-07 11:24:36)
FRANCO SCORING 
CISNEROS 
SEBASTIA</t>
      </text>
    </comment>
    <comment authorId="0" ref="L38">
      <text>
        <t xml:space="preserve">======
ID#AAACEzanEds
Ayudantes De Guardia    (2026-08-04 12:50:09)
Fiscalía.- 
Barros.-</t>
      </text>
    </comment>
    <comment authorId="0" ref="N38">
      <text>
        <t xml:space="preserve">======
ID#AAACEzanEdw
Ayudantes De Guardia    (2026-08-04 12:50:33)
Franco servicio por cubrir Fiscalía el 07/08/2026.- 
Barros.-</t>
      </text>
    </comment>
    <comment authorId="0" ref="O5">
      <text>
        <t xml:space="preserve">======
ID#AAACFaAFVj8
Ayudantes De Guardia    (2026-08-10 07:20:30)
Siendo las 04:13 Hs se comunica PC BENDITTI Julieta manifestando que no se hará presente al servicio debido a que se encuentra con estado gripal, enviará certificado.-
Ayud. Aguilar
JS. Martinez.-</t>
      </text>
    </comment>
    <comment authorId="0" ref="U38">
      <text>
        <t xml:space="preserve">======
ID#AAACFuf6K1U
Ayudantes De Guardia    (2026-08-16 09:29:04)
6:24 HRS.</t>
      </text>
    </comment>
    <comment authorId="0" ref="V38">
      <text>
        <t xml:space="preserve">======
ID#AAACBvROzUU
Ayudantes De Guardia    (2026-08-03 18:08:03)
CAMBIO DE GUARDIA CUBRE Mahlknecht, Flavia
CISNEROS
SEBASTIA</t>
      </text>
    </comment>
    <comment authorId="0" ref="X5">
      <text>
        <t xml:space="preserve">======
ID#AAACFg3VQnY
Ayudantes De Guardia    (2026-08-12 21:49:33)
Scoring Julio. Autorizó la Subcrio LOBOS.-
Barros.-</t>
      </text>
    </comment>
    <comment authorId="0" ref="Y38">
      <text>
        <t xml:space="preserve">======
ID#AAACBvROzT4
Ayudantes De Guardia    (2026-08-03 18:07:07)
CAMBIO DE GUARDIA CUBRE  a Mahlknecht Flavia - 
CISNEROS 
SEBASTIA</t>
      </text>
    </comment>
    <comment authorId="0" ref="AG71">
      <text>
        <t xml:space="preserve">======
ID#AAACFvgiWK4
Ayudantes De Guardia    (2026-08-17 16:09:57)
CG CUBRE A PC CARDOZO
SEBASTIA 
CISNEROS</t>
      </text>
    </comment>
    <comment authorId="0" ref="AI71">
      <text>
        <t xml:space="preserve">======
ID#AAACE9d4I8c
Ayudantes De Guardia    (2026-08-07 19:06:43)
Franco por Presentismo autorizado por Subcomisario Lobos.-</t>
      </text>
    </comment>
    <comment authorId="0" ref="AH38">
      <text>
        <t xml:space="preserve">======
ID#AAACGNYqgQ8
Ayudantes De Guardia    (2026-08-29 06:51:26)
OS 7256</t>
      </text>
    </comment>
    <comment authorId="0" ref="AI38">
      <text>
        <t xml:space="preserve">======
ID#AAACGNYqgQ4
Ayudantes De Guardia    (2026-08-29 06:51:12)
OS 7238
------
ID#AAACGNYqgaM
Ayudantes De Guardia    (2026-08-30 10:15:51)
06:34</t>
      </text>
    </comment>
    <comment authorId="0" ref="AH5">
      <text>
        <t xml:space="preserve">======
ID#AAACFdFK2T0
Ayudantes De Guardia    (2026-08-11 11:52:04)
CUBRE A PC SALINAS.-
CISNEROS 
SEBASTIA</t>
      </text>
    </comment>
    <comment authorId="0" ref="AJ5">
      <text>
        <t xml:space="preserve">======
ID#AAACFdFK2T4
Ayudantes De Guardia    (2026-08-11 11:52:27)
CUBRE PC BENDITTI .-
CISNEROS 
SEBASTIA</t>
      </text>
    </comment>
    <comment authorId="0" ref="H72">
      <text>
        <t xml:space="preserve">======
ID#AAACD4W3mPU
Ayudantes De Guardia    (2026-07-23 14:01:13)
Cubre al PC ARTESI .- 
Autorizó el Subcrio LOBOS.- 
Barros.-</t>
      </text>
    </comment>
    <comment authorId="0" ref="G6">
      <text>
        <t xml:space="preserve">======
ID#AAACENZEKIM
Ayudantes De Guardia    (2026-07-29 14:18:21)
Cubre PC Gerson Arispe.
Autoriza Ppal. Arguello. 
JS Aguirre.-
Auxiliar Garcia.-</t>
      </text>
    </comment>
    <comment authorId="0" ref="I72">
      <text>
        <t xml:space="preserve">======
ID#AAACD54xZoo
Ayudantes De Guardia    (2026-07-24 13:27:36)
CUBRE  A PC ARTESI FLAVIA. AUTORIZADO POR PPAL ROMERO
CISNEROS 
QUIROGA</t>
      </text>
    </comment>
    <comment authorId="0" ref="N6">
      <text>
        <t xml:space="preserve">======
ID#AAACFY8A_-k
Ayudantes De Guardia    (2026-08-09 06:34:36)
03:30Hs. Se comunica PC DIAZ, Maria Belen manifestando que no se hará presente al servicio debido a que se encuentra descompuesta por cólicos. Presentará certificado médico.-
JS. LANGE
AY. ARCE
------
ID#AAACFY8BBhc
Ayudantes De Guardia    (2026-08-09 15:48:11)
Se recibe certificado de PC Diaz M Belen con fecha 09/08 indicando 24 hs de reposo</t>
      </text>
    </comment>
    <comment authorId="0" ref="R72">
      <text>
        <t xml:space="preserve">======
ID#AAACD54xZos
Ayudantes De Guardia    (2026-07-24 13:28:08)
CUBRE  PC ARTESI FLAVIA. AUTORIZADO POR PPAL ROMERO
CISNEROS 
QUIROGA</t>
      </text>
    </comment>
    <comment authorId="0" ref="S6">
      <text>
        <t xml:space="preserve">======
ID#AAACFlNGCvk
Ayudantes De Guardia    (2026-08-14 09:07:49)
06:05HS.-</t>
      </text>
    </comment>
    <comment authorId="0" ref="AA6">
      <text>
        <t xml:space="preserve">======
ID#AAACFg3VQnI
Ayudantes De Guardia    (2026-08-12 21:48:03)
Scoring Junio. Autorizó la Subcrio LOBOS.- 
Barros.-</t>
      </text>
    </comment>
    <comment authorId="0" ref="AC72">
      <text>
        <t xml:space="preserve">======
ID#AAACE9d4I78
Ayudantes De Guardia    (2026-08-07 19:03:59)
Franco por Presentismo autorizado por Subcomisario Lobos.-</t>
      </text>
    </comment>
    <comment authorId="0" ref="AD72">
      <text>
        <t xml:space="preserve">======
ID#AAACD4W3mPc
Ayudantes De Guardia    (2026-07-23 14:02:00)
Cubre el PC ARTESI .-
Barros.-</t>
      </text>
    </comment>
    <comment authorId="0" ref="AH72">
      <text>
        <t xml:space="preserve">======
ID#AAACGNYqgRg
Ayudantes De Guardia    (2026-08-29 07:32:10)
Siendo las 4:22hs, Se comunico el PC Rojas Greta informando que no asistira al servicio debido a que se encuentra descompuesta. Enviara el certificado medico.
AY CUELLO
JS BENITEZ
------
ID#AAACGNYqgWA
Ayudantes De Guardia    (2026-08-29 20:33:25)
Se recibe constancia de atencion medica de PC Rojas Greta con fecha 29/08 indicando 48 Hs de reposo.-
AY CUELLAR
JS LANGE</t>
      </text>
    </comment>
    <comment authorId="0" ref="AH6">
      <text>
        <t xml:space="preserve">======
ID#AAACENZEKIY
Ayudantes De Guardia    (2026-07-29 14:21:02)
Cubre a PC. Gerson Arispe.
Autoriza Ppal. Arguello. 
JS Aguirre.-
Auxiliar Garcia.-</t>
      </text>
    </comment>
    <comment authorId="0" ref="AJ6">
      <text>
        <t xml:space="preserve">======
ID#AAACGJ8w-xk
Ayudantes De Guardia    (2026-08-28 13:03:53)
Realizará tareas de Fiscalía.- 
Barros.-</t>
      </text>
    </comment>
    <comment authorId="0" ref="F7">
      <text>
        <t xml:space="preserve">======
ID#AAACElkzVCQ
Ayudantes De Guardia    (2026-08-01 09:19:16)
Ingreso 06:10Hs.</t>
      </text>
    </comment>
    <comment authorId="0" ref="I40">
      <text>
        <t xml:space="preserve">======
ID#AAACExfrVLE
Ayudantes De Guardia    (2026-08-04 03:22:29)
00:12 Hs Se comunica PC LURASCHI Ignacio informando no se hara presente debido a que el día de hoy tiene un procedimiento quirurgico debido a fimosis, en el CEMIC Las Heras. Envia la documentación y certificados correspondientes.
AY FERNANDEZ
JS MARTINEZ</t>
      </text>
    </comment>
    <comment authorId="0" ref="N40">
      <text>
        <t xml:space="preserve">======
ID#AAACFY8A_9U
Ayudantes De Guardia    (2026-08-09 05:17:19)
02:03Hs. Se comunica manifestando que no se hará presente al servicio debido a que continua con molestias y malestar a causa de su cirugía y la medicación recetada. Enviara certificado medico.- 
JS LANGE
AY PEREYRA
------
ID#AAACFY8BBhU
Ayudantes De Guardia    (2026-08-09 15:42:29)
Se recibe certificado merico de PC Luraschi con fecha 09/08 indicando 24 hs de reposo</t>
      </text>
    </comment>
    <comment authorId="0" ref="O40">
      <text>
        <t xml:space="preserve">======
ID#AAACFaAFVu0
Ayudantes De Guardia    (2026-08-10 09:32:40)
06:02HS.-</t>
      </text>
    </comment>
    <comment authorId="0" ref="P40">
      <text>
        <t xml:space="preserve">======
ID#AAACE3uAMv0
Ayudantes De Guardia    (2026-08-05 17:09:23)
CAMBIO DE GUARDIA CON CAMAÑO.-
CISNEROS
SEBASTIA</t>
      </text>
    </comment>
    <comment authorId="0" ref="R40">
      <text>
        <t xml:space="preserve">======
ID#AAACE3uAMv8
Ayudantes De Guardia    (2026-08-05 17:09:36)
CAMBIO DE GUARDIA CON CAMAÑO.-
CISNEROS
SEBASTIA</t>
      </text>
    </comment>
    <comment authorId="0" ref="T7">
      <text>
        <t xml:space="preserve">======
ID#AAACFuBgTkM
Ayudantes De Guardia    (2026-08-15 09:43:30)
06:06</t>
      </text>
    </comment>
    <comment authorId="0" ref="U40">
      <text>
        <t xml:space="preserve">======
ID#AAACE9d4HAI
Ayudantes De Guardia    (2026-08-07 11:24:54)
FRANCO SCORING 
CISNEROS 
SEBASTIA</t>
      </text>
    </comment>
    <comment authorId="0" ref="V40">
      <text>
        <t xml:space="preserve">======
ID#AAACFvOqzKk
Ayudantes De Guardia    (2026-08-17 10:04:45)
6:05</t>
      </text>
    </comment>
    <comment authorId="0" ref="U7">
      <text>
        <t xml:space="preserve">======
ID#AAACEzanGoY
Ayudantes De Guardia    (2026-08-04 18:24:53)
Cubre al PC ROJAS.-
Barros.-</t>
      </text>
    </comment>
    <comment authorId="0" ref="W40">
      <text>
        <t xml:space="preserve">======
ID#AAACFwiJMXk
Ayudantes De Guardia    (2026-08-18 11:03:53)
08:01HS.-</t>
      </text>
    </comment>
    <comment authorId="0" ref="Z7">
      <text>
        <t xml:space="preserve">======
ID#AAACFy0qoLE
Ayudantes De Guardia    (2026-08-20 19:17:35)
Afectada a la OS 6737.-
Barros.-</t>
      </text>
    </comment>
    <comment authorId="0" ref="AB73">
      <text>
        <t xml:space="preserve">======
ID#AAACE9d4I70
Ayudantes De Guardia    (2026-08-07 19:03:10)
Franco por Presentismo autorizado por Subcomisario Lobos.-</t>
      </text>
    </comment>
    <comment authorId="0" ref="AB40">
      <text>
        <t xml:space="preserve">======
ID#AAACF3VocoA
Ayudantes De Guardia    (2026-08-23 05:59:54)
02:57 horas el PC Ignacio LURASCHI informó que no asistirá al servicio debido a que posee vómitos. Refiere que enviará certificado médico.-
Barros.-
------
ID#AAACF4BwPYA
Ayudantes De Guardia    (2026-08-23 16:33:21)
Se recibe certificado medico de PC Luraschi Ignacio con fecha 23/08 x 24 hs.
CISNEROS 
QUIROGA</t>
      </text>
    </comment>
    <comment authorId="0" ref="AA7">
      <text>
        <t xml:space="preserve">======
ID#AAACFy0qoLI
Ayudantes De Guardia    (2026-08-20 19:17:42)
Afectada a la OS 6737.-
Barros.-</t>
      </text>
    </comment>
    <comment authorId="0" ref="AC40">
      <text>
        <t xml:space="preserve">======
ID#AAACFxgwuWQ
Ayudantes De Guardia    (2026-08-19 14:17:56)
CG CUBRE CIPRIANO 
CISNEROS 
SEBASTIA</t>
      </text>
    </comment>
    <comment authorId="0" ref="AD40">
      <text>
        <t xml:space="preserve">======
ID#AAACFxgwuWU
Ayudantes De Guardia    (2026-08-19 14:18:10)
CG CUBRE A PC CIPRIANO 
CISNEROS 
SEBASTIA</t>
      </text>
    </comment>
    <comment authorId="0" ref="AD7">
      <text>
        <t xml:space="preserve">======
ID#AAACFy0qoLM
Ayudantes De Guardia    (2026-08-20 19:17:49)
Afectada a la OS 6737.-
Barros.-</t>
      </text>
    </comment>
    <comment authorId="0" ref="AE7">
      <text>
        <t xml:space="preserve">======
ID#AAACFy0qoLQ
Ayudantes De Guardia    (2026-08-20 19:17:53)
Afectada a la OS 6737.-
Barros.-</t>
      </text>
    </comment>
    <comment authorId="0" ref="AF7">
      <text>
        <t xml:space="preserve">======
ID#AAACFy0qoLU
Ayudantes De Guardia    (2026-08-20 19:17:58)
Afectada a la OS 6737.-
Barros.-</t>
      </text>
    </comment>
    <comment authorId="0" ref="AI73">
      <text>
        <t xml:space="preserve">======
ID#AAACFg3VQnw
Ayudantes De Guardia    (2026-08-12 21:54:16)
Scoring Julio. Autorizó la Subcrio LOBOS.-
Barros.-</t>
      </text>
    </comment>
    <comment authorId="0" ref="AJ73">
      <text>
        <t xml:space="preserve">======
ID#AAACGNYqgRU
Ayudantes De Guardia    (2026-08-29 07:04:01)
OS 7263</t>
      </text>
    </comment>
    <comment authorId="0" ref="AI40">
      <text>
        <t xml:space="preserve">======
ID#AAACGNYqgRQ
Ayudantes De Guardia    (2026-08-29 07:01:25)
OS 7262</t>
      </text>
    </comment>
    <comment authorId="0" ref="AJ7">
      <text>
        <t xml:space="preserve">======
ID#AAACEzanGnQ
Ayudantes De Guardia    (2026-08-04 18:20:12)
Cubre el PC ROJAS.- Autorizó el Subcrio LOBOS.- 
Barros.-</t>
      </text>
    </comment>
    <comment authorId="0" ref="H8">
      <text>
        <t xml:space="preserve">======
ID#AAACEvfB17g
Ayudantes De Guardia    (2026-08-03 09:11:51)
06:04</t>
      </text>
    </comment>
    <comment authorId="0" ref="Q74">
      <text>
        <t xml:space="preserve">======
ID#AAACFg3VPMc
Ayudantes De Guardia    (2026-08-12 10:12:06)
06:10 HS.-</t>
      </text>
    </comment>
    <comment authorId="0" ref="O8">
      <text>
        <t xml:space="preserve">======
ID#AAACFaAFVuo
Ayudantes De Guardia    (2026-08-10 09:30:40)
06:20 HS.-</t>
      </text>
    </comment>
    <comment authorId="0" ref="R74">
      <text>
        <t xml:space="preserve">======
ID#AAACE9d4I8E
Ayudantes De Guardia    (2026-08-07 19:05:00)
Franco por Presentismo autorizado por Subcomisario Lobos.-</t>
      </text>
    </comment>
    <comment authorId="0" ref="R8">
      <text>
        <t xml:space="preserve">======
ID#AAACFlXukVA
División Centros de Monitoreo Urbano    (2026-08-14 14:03:21)
06:07 hs</t>
      </text>
    </comment>
    <comment authorId="0" ref="T8">
      <text>
        <t xml:space="preserve">======
ID#AAACFuBgTkE
Ayudantes De Guardia    (2026-08-15 09:40:44)
06:06</t>
      </text>
    </comment>
    <comment authorId="0" ref="AC74">
      <text>
        <t xml:space="preserve">======
ID#AAACF4UxMMg
Ayudantes De Guardia    (2026-08-24 09:21:40)
6:04HS</t>
      </text>
    </comment>
    <comment authorId="0" ref="AA8">
      <text>
        <t xml:space="preserve">======
ID#AAACF1fnqZM
Ayudantes De Guardia    (2026-08-22 06:20:04)
03:18 Hs Se comunica PC TELVINI Tiago informando no se hara presente debido a fiebre. Envia certificado.- 
AY FERNANDEZ
JS MARTINEZ
------
ID#AAACF29xfeA
Ayudantes De Guardia    (2026-08-23 03:05:07)
SE RECIBE CERTIFICADO MEDICO CON REPOSO DE 24HS</t>
      </text>
    </comment>
    <comment authorId="0" ref="AB41">
      <text>
        <t xml:space="preserve">======
ID#AAACFy0qoLk
Ayudantes De Guardia    (2026-08-20 19:21:45)
Afectada a la OS 6737.-
Barros.-</t>
      </text>
    </comment>
    <comment authorId="0" ref="AC41">
      <text>
        <t xml:space="preserve">======
ID#AAACFy0qoLo
Ayudantes De Guardia    (2026-08-20 19:21:50)
Afectada a la OS 6737.-
Barros.-</t>
      </text>
    </comment>
    <comment authorId="0" ref="AE8">
      <text>
        <t xml:space="preserve">======
ID#AAACFEf4rCA
Ayudantes De Guardia    (2026-08-26 09:56:27)
6:31HS</t>
      </text>
    </comment>
    <comment authorId="0" ref="AF8">
      <text>
        <t xml:space="preserve">======
ID#AAACFEf4sD0
Ayudantes De Guardia    (2026-08-27 09:08:26)
06:04</t>
      </text>
    </comment>
    <comment authorId="0" ref="AI74">
      <text>
        <t xml:space="preserve">======
ID#AAACGNYqgRI
Ayudantes De Guardia    (2026-08-29 06:58:02)
os 7259</t>
      </text>
    </comment>
    <comment authorId="0" ref="AJ74">
      <text>
        <t xml:space="preserve">======
ID#AAACGNYqgRM
Ayudantes De Guardia    (2026-08-29 06:58:14)
OS 7255</t>
      </text>
    </comment>
    <comment authorId="0" ref="AJ8">
      <text>
        <t xml:space="preserve">======
ID#AAACGNYqgPs
Ayudantes De Guardia    (2026-08-29 06:04:07)
OS 7240</t>
      </text>
    </comment>
    <comment authorId="0" ref="N42">
      <text>
        <t xml:space="preserve">======
ID#AAACE9d4HAY
Ayudantes De Guardia    (2026-08-07 11:25:50)
FRANCO SCORING 
CISNEROS 
SEBASTIA</t>
      </text>
    </comment>
    <comment authorId="0" ref="N9">
      <text>
        <t xml:space="preserve">======
ID#AAACFY8BAPo
Ayudantes De Guardia    (2026-08-09 09:06:35)
06:04</t>
      </text>
    </comment>
    <comment authorId="0" ref="O9">
      <text>
        <t xml:space="preserve">======
ID#AAACFaAFVwM
Ayudantes De Guardia    (2026-08-10 10:08:42)
06.55HS.-</t>
      </text>
    </comment>
    <comment authorId="0" ref="S9">
      <text>
        <t xml:space="preserve">======
ID#AAACFlNGCvo
Ayudantes De Guardia    (2026-08-14 09:10:16)
06:08HS.-</t>
      </text>
    </comment>
    <comment authorId="0" ref="U42">
      <text>
        <t xml:space="preserve">======
ID#AAACFuf6K1Y
Ayudantes De Guardia    (2026-08-16 09:29:30)
06:09 HRS.-</t>
      </text>
    </comment>
    <comment authorId="0" ref="T9">
      <text>
        <t xml:space="preserve">======
ID#AAACFaAFXJY
Ayudantes De Guardia    (2026-08-10 20:02:49)
Franco en compensación del Día viernes 07/08/2026.- 
Barros.-
------
ID#AAACFuEO5rY
Ayudantes De Guardia    (2026-08-15 14:57:44)
SIN EFECTO
------
ID#AAACFwlVGAE
División Centros de Monitoreo Urbano    (2026-08-18 12:00:55)
06:04 HS</t>
      </text>
    </comment>
    <comment authorId="0" ref="V42">
      <text>
        <t xml:space="preserve">======
ID#AAACFvOqzKQ
Ayudantes De Guardia    (2026-08-17 10:03:40)
6:14</t>
      </text>
    </comment>
    <comment authorId="0" ref="Z9">
      <text>
        <t xml:space="preserve">======
ID#AAACFzattj4
Ayudantes De Guardia    (2026-08-21 10:03:33)
06:37</t>
      </text>
    </comment>
    <comment authorId="0" ref="AB42">
      <text>
        <t xml:space="preserve">======
ID#AAACF3VocpM
Ayudantes De Guardia    (2026-08-23 09:18:48)
06:17</t>
      </text>
    </comment>
    <comment authorId="0" ref="AA9">
      <text>
        <t xml:space="preserve">======
ID#AAACF1fnqao
Ayudantes De Guardia    (2026-08-22 09:42:24)
05:41 Hs Se comunica PC TORREZ Nayra informando que se encuentra con temperatura y colicos. La misma informa que no pudo avisar con anticipación dado que estuvo hasta las 3 de la mañana sin dormir y recien agarra el celular. Se le solicito que envie certificado.-</t>
      </text>
    </comment>
    <comment authorId="0" ref="AC42">
      <text>
        <t xml:space="preserve">======
ID#AAACF4UxMMk
Ayudantes De Guardia    (2026-08-24 09:22:11)
6:05HS</t>
      </text>
    </comment>
    <comment authorId="0" ref="AE9">
      <text>
        <t xml:space="preserve">======
ID#AAACFEf4rBU
Ayudantes De Guardia    (2026-08-26 09:25:50)
6:14HS</t>
      </text>
    </comment>
    <comment authorId="0" ref="AF9">
      <text>
        <t xml:space="preserve">======
ID#AAACFEf4sPY
Ayudantes De Guardia    (2026-08-27 10:31:08)
07:24</t>
      </text>
    </comment>
    <comment authorId="0" ref="AH42">
      <text>
        <t xml:space="preserve">======
ID#AAACGNYqgTU
Ayudantes De Guardia    (2026-08-29 10:11:43)
07:00</t>
      </text>
    </comment>
    <comment authorId="0" ref="AI42">
      <text>
        <t xml:space="preserve">======
ID#AAACGJ8w-2A
Ayudantes De Guardia    (2026-08-28 17:34:37)
Afectado a la OS 6737.-
Ay Leivas
------
ID#AAACGNYqgaE
Ayudantes De Guardia    (2026-08-30 10:15:13)
06:25</t>
      </text>
    </comment>
    <comment authorId="0" ref="AJ9">
      <text>
        <t xml:space="preserve">======
ID#AAACGNYqgP4
Ayudantes De Guardia    (2026-08-29 06:19:32)
OS 7245
--------------------------
07:14HS.-</t>
      </text>
    </comment>
    <comment authorId="0" ref="H109">
      <text>
        <t xml:space="preserve">======
ID#AAACFktWDuk
Ayudantes De Guardia    (2026-08-13 18:53:47)
ENTRADA 6:18</t>
      </text>
    </comment>
    <comment authorId="0" ref="F10">
      <text>
        <t xml:space="preserve">======
ID#AAACFj6Dpns
Ayudantes De Guardia    (2026-08-13 14:30:40)
ENTRADA 10:04</t>
      </text>
    </comment>
    <comment authorId="0" ref="K109">
      <text>
        <t xml:space="preserve">======
ID#AAACE3uANuE
Ayudantes De Guardia    (2026-08-06 06:48:47)
03:46Hs se comunica Aux. Soldani, Clara manifestando que no se hara presente debido a que se encuentra descompuesta. Enviara certificado medico, valida en CML San Justo.- 
JS LANGE.-
Ayud. Soria.-
------
ID#AAACE3uAOoA
Ayudantes De Guardia    (2026-08-06 16:31:13)
Se recibe certificado médico de Aux Soldani con fecha 06/08. Reposo 24hs
JS: AGUIRRE
AY: PAZ</t>
      </text>
    </comment>
    <comment authorId="0" ref="I43">
      <text>
        <t xml:space="preserve">======
ID#AAACExfrVHQ
Ayudantes De Guardia    (2026-08-04 02:41:30)
23:36 Hs Se comunica PC ANDRADA Solange informando no se hara presente el día de mañana debido a consulta oftalmologica glaucoma. Envia certificado.- 
AY FERNANDEZ
JS MARTINEZ</t>
      </text>
    </comment>
    <comment authorId="0" ref="J43">
      <text>
        <t xml:space="preserve">======
ID#AAACE0sgUqo
Ayudantes De Guardia    (2026-08-05 09:39:56)
06:39</t>
      </text>
    </comment>
    <comment authorId="0" ref="K43">
      <text>
        <t xml:space="preserve">======
ID#AAACE3uAN-Q
Ayudantes De Guardia    (2026-08-06 09:15:47)
06.14hs.-</t>
      </text>
    </comment>
    <comment authorId="0" ref="O109">
      <text>
        <t xml:space="preserve">======
ID#AAACFaAFVvw
Ayudantes De Guardia    (2026-08-10 09:50:39)
06:25HS.-</t>
      </text>
    </comment>
    <comment authorId="0" ref="L10">
      <text>
        <t xml:space="preserve">======
ID#AAACE9d4HN4
Ayudantes De Guardia    (2026-08-07 13:32:31)
10:09</t>
      </text>
    </comment>
    <comment authorId="0" ref="N43">
      <text>
        <t xml:space="preserve">======
ID#AAACFY8BA_A
Ayudantes De Guardia    (2026-08-09 09:43:42)
06.40</t>
      </text>
    </comment>
    <comment authorId="0" ref="M10">
      <text>
        <t xml:space="preserve">======
ID#AAACE9d4NaU
Ayudantes De Guardia    (2026-08-08 11:01:07)
07:48 Hs Se comunica PC SANABRIA Melina informando no se hara presente debido a que se encuentra con fiebre y dolor de cuerpo. Envia certificado.- 
AY FERNANDEZ
JS MARTINEZ
------
ID#AAACFX5669M
Ayudantes De Guardia    (2026-08-08 22:31:51)
Se recibe de PC Sanabria Melina certificado médico con fecha 8/8 por 72hs.-
JS. LANGE
AY. ARCE</t>
      </text>
    </comment>
    <comment authorId="0" ref="Q109">
      <text>
        <t xml:space="preserve">======
ID#AAACFg3VPMo
Ayudantes De Guardia    (2026-08-12 10:18:06)
06.35HS.-</t>
      </text>
    </comment>
    <comment authorId="0" ref="R109">
      <text>
        <t xml:space="preserve">======
ID#AAACFj6DpSo
Ayudantes De Guardia    (2026-08-13 08:06:23)
04:44 Hs Se comunica Aux Soldani informando no se hara presente debido a faringitis valida en CML San Justo.
AY FERNANDEZ
JS MARTINEZ
------
ID#AAACFj6DpqE
Ayudantes De Guardia    (2026-08-13 15:04:10)
Se recibe certificado medico de Aux. Clara Soldani con fecha 13/08 el mismo informa 48 hs. de reposo
CISNEROS 
QUIROGA</t>
      </text>
    </comment>
    <comment authorId="0" ref="P43">
      <text>
        <t xml:space="preserve">======
ID#AAACFdFK2M0
Ayudantes De Guardia    (2026-08-11 09:17:28)
06:16</t>
      </text>
    </comment>
    <comment authorId="0" ref="R10">
      <text>
        <t xml:space="preserve">======
ID#AAACFj6DpbI
Ayudantes De Guardia    (2026-08-13 11:40:34)
Se comunica PC Sanabria informando que no se hara al presente al servicio ya que su hijo se encuentra con fiebre.
cisneros
sebastia
------
ID#AAACFlpviYc
Ayudantes De Guardia    (2026-08-14 20:07:22)
Se recibe certificado médico de PC Sanabria Melina por familiar a cargo con fecha 13/08 por 72 hs.
JS: AGUIRRE
AY: PAZ</t>
      </text>
    </comment>
    <comment authorId="0" ref="S10">
      <text>
        <t xml:space="preserve">======
ID#AAACFlNGCww
Ayudantes De Guardia    (2026-08-14 10:10:17)
Siendo las 07:03 Hs.- se comunica Pc. Sanabria Melina informando que no asistirá al servicio debido a que posee turno medico pediatra con su bebé, Enviará certificado medico correspondiente.
JS: AGUIRRE
AY: PAZ</t>
      </text>
    </comment>
    <comment authorId="0" ref="X10">
      <text>
        <t xml:space="preserve">======
ID#AAACFxgwuV8
Ayudantes De Guardia    (2026-08-19 13:32:13)
10:20</t>
      </text>
    </comment>
    <comment authorId="0" ref="Z43">
      <text>
        <t xml:space="preserve">======
ID#AAACFzattjc
Ayudantes De Guardia    (2026-08-21 09:19:55)
06.16</t>
      </text>
    </comment>
    <comment authorId="0" ref="Y10">
      <text>
        <t xml:space="preserve">======
ID#AAACFxehLY4
Ayudantes De Guardia    (2026-08-20 14:22:33)
08:25 horas el PC Melina SANABRIA informó que no asistirá al servicio por dolor de panza y nauseas. Adeuda certificado médico.-
Barros.-
------
ID#AAACFzattYs
Ayudantes De Guardia    (2026-08-20 22:42:57)
Se recibe constancia de atención de PC Sanabria Melina con fecha 20/08 por 24hs.-
JS LANGE
AY PEREYRA</t>
      </text>
    </comment>
    <comment authorId="0" ref="Z10">
      <text>
        <t xml:space="preserve">======
ID#AAACFArNZ4Y
Ayudantes De Guardia    (2026-08-21 13:50:59)
10:08</t>
      </text>
    </comment>
    <comment authorId="0" ref="AA43">
      <text>
        <t xml:space="preserve">======
ID#AAACF1fnqac
Ayudantes De Guardia    (2026-08-22 09:40:28)
Ingreso 06:10Hs.</t>
      </text>
    </comment>
    <comment authorId="0" ref="AB43">
      <text>
        <t xml:space="preserve">======
ID#AAACF3VocpU
Ayudantes De Guardia    (2026-08-23 09:25:44)
06:24</t>
      </text>
    </comment>
    <comment authorId="0" ref="AA10">
      <text>
        <t xml:space="preserve">======
ID#AAACF2sTqJo
Ayudantes De Guardia    (2026-08-22 15:19:16)
Ingreso 10:27Hs.</t>
      </text>
    </comment>
    <comment authorId="0" ref="AC43">
      <text>
        <t xml:space="preserve">======
ID#AAACF4UxMMc
Ayudantes De Guardia    (2026-08-24 09:21:04)
6:04HS</t>
      </text>
    </comment>
    <comment authorId="0" ref="AG109">
      <text>
        <t xml:space="preserve">======
ID#AAACEgdhotk
Ayudantes De Guardia    (2026-07-30 16:01:48)
11:00hs - Capacitación con Coordinación general en Materia de Discapacidad - Hornos 238, PB (SUM)"</t>
      </text>
    </comment>
    <comment authorId="0" ref="AE10">
      <text>
        <t xml:space="preserve">======
ID#AAACGJ8w-uc
División Centros de Monitoreo Urbano    (2026-08-28 10:52:25)
10:07 HS</t>
      </text>
    </comment>
    <comment authorId="0" ref="AG43">
      <text>
        <t xml:space="preserve">======
ID#AAACGJ8w-sg
Ayudantes De Guardia    (2026-08-28 09:23:44)
6:16HS</t>
      </text>
    </comment>
    <comment authorId="0" ref="AF10">
      <text>
        <t xml:space="preserve">======
ID#AAACFEf4sP0
Ayudantes De Guardia    (2026-08-27 12:02:15)
Siendo las 09:00hs se comunica PC Sanabria informando: Quería avisarles que no voy a poder asistir ya que comencé a levantar fiebre hace una hs aprox, no avisé antes porque estaba esperando a que con el analgesico baje la fiebre Pero siento todo el cuerpo muy débil y no bajo la fiebre. Voy a sacar turno con el clinico para ver qué me dice el médico. Adeuda certificado
CISNEROS 
QUIROGA
------
ID#AAACGJ8w_Dc
Ayudantes De Guardia    (2026-08-28 18:56:37)
Se recibe constancia de atencion del PC Sanabria Melina con fecha 27/08.-
JS AGUIRRE
AY LEIVAS</t>
      </text>
    </comment>
    <comment authorId="0" ref="AH43">
      <text>
        <t xml:space="preserve">======
ID#AAACGNYqgTY
Ayudantes De Guardia    (2026-08-29 10:11:55)
6:30</t>
      </text>
    </comment>
    <comment authorId="0" ref="AJ10">
      <text>
        <t xml:space="preserve">======
ID#AAACFHzHSuc
Ayudantes De Guardia    (2026-08-31 11:11:00)
Siendo las 08:02hs se comunica PC Sanabria Melina informando: Quería avisarles que me encuentro muy descompuesta y no podré asistir a la guardia estuve toda la noche asi. En cuanto tenga turno con el clínico aviso y mando el certificado.
CISNEROS 
QUIROGA
------
ID#AAACGTbUqHM
Ayudantes De Guardia    (2026-09-01 15:28:12)
Se recibe certificado medico PC Sanabria Melina fecha 31/08 x 48hs. 
JS AGUIRRE
AY LEIVAS</t>
      </text>
    </comment>
    <comment authorId="0" ref="F11">
      <text>
        <t xml:space="preserve">======
ID#AAACD54fOSc
Ayudantes De Guardia    (2026-07-24 10:49:26)
CUBRE PC LEIVA RAMIREZ CAROLINA AUTORIZADO POR PPAL ROMERO.
CISNEROS
QUIROGA</t>
      </text>
    </comment>
    <comment authorId="0" ref="I44">
      <text>
        <t xml:space="preserve">======
ID#AAACEzXFTq0
Ayudantes De Guardia    (2026-08-04 09:31:59)
06:31HS.-</t>
      </text>
    </comment>
    <comment authorId="0" ref="J44">
      <text>
        <t xml:space="preserve">======
ID#AAACE0sgUpc
Ayudantes De Guardia    (2026-08-05 09:08:29)
06:04</t>
      </text>
    </comment>
    <comment authorId="0" ref="K44">
      <text>
        <t xml:space="preserve">======
ID#AAACE3uAN-M
Ayudantes De Guardia    (2026-08-06 09:14:30)
06:08HS.-</t>
      </text>
    </comment>
    <comment authorId="0" ref="J11">
      <text>
        <t xml:space="preserve">======
ID#AAACD54fOSg
Ayudantes De Guardia    (2026-07-24 10:49:41)
CUBRE A PC LEIVA RAMIREZ CAROLINA AUTORIZADO POR PPAL ROMERO.
CISNEROS
QUIROGA</t>
      </text>
    </comment>
    <comment authorId="0" ref="K11">
      <text>
        <t xml:space="preserve">======
ID#AAACEzanGp0
Ayudantes De Guardia    (2026-08-04 18:41:28)
Cubre al PC CHARON. Autorizó el Subcrio LOBOS.- 
Barros.-</t>
      </text>
    </comment>
    <comment authorId="0" ref="N44">
      <text>
        <t xml:space="preserve">======
ID#AAACFY8BAQU
Ayudantes De Guardia    (2026-08-09 09:16:40)
06:14</t>
      </text>
    </comment>
    <comment authorId="0" ref="O44">
      <text>
        <t xml:space="preserve">======
ID#AAACFaAFVu8
Ayudantes De Guardia    (2026-08-10 09:33:47)
06:30HS.-</t>
      </text>
    </comment>
    <comment authorId="0" ref="N11">
      <text>
        <t xml:space="preserve">======
ID#AAACE9d4I8A
Ayudantes De Guardia    (2026-08-07 19:04:36)
Franco por Presentismo autorizado por Subcomisario Lobos.-</t>
      </text>
    </comment>
    <comment authorId="0" ref="P44">
      <text>
        <t xml:space="preserve">======
ID#AAACFdFK2MY
Ayudantes De Guardia    (2026-08-11 09:11:39)
6:03HS</t>
      </text>
    </comment>
    <comment authorId="0" ref="Q44">
      <text>
        <t xml:space="preserve">======
ID#AAACFg3VPLQ
Ayudantes De Guardia    (2026-08-12 09:58:21)
06:10 HS.-</t>
      </text>
    </comment>
    <comment authorId="0" ref="AB44">
      <text>
        <t xml:space="preserve">======
ID#AAACF3Voco4
Ayudantes De Guardia    (2026-08-23 09:07:08)
06.05</t>
      </text>
    </comment>
    <comment authorId="0" ref="AA11">
      <text>
        <t xml:space="preserve">======
ID#AAACF1fnqaU
Ayudantes De Guardia    (2026-08-22 09:38:40)
Ingreso 06:08Hs.</t>
      </text>
    </comment>
    <comment authorId="0" ref="AC44">
      <text>
        <t xml:space="preserve">======
ID#AAACF4UxMM8
Ayudantes De Guardia    (2026-08-24 09:24:21)
6:24HS</t>
      </text>
    </comment>
    <comment authorId="0" ref="AE11">
      <text>
        <t xml:space="preserve">======
ID#AAACEzanGp8
Ayudantes De Guardia    (2026-08-04 18:44:48)
Cubre el PC CHARON.- 
Barros.-</t>
      </text>
    </comment>
    <comment authorId="0" ref="AG44">
      <text>
        <t xml:space="preserve">======
ID#AAACGJ8w-rs
Ayudantes De Guardia    (2026-08-28 08:42:32)
Siendo las 05:31 Hs. Se comunica PC. QUINTEROS Julieta (Chacarita-TM), informando que no se hara presente al servicio debido a vomitos y fiebre. Se le consulta sì envia certificado al momento sin respuesta.- 
Ay. Barrios.
Js. Lange.-</t>
      </text>
    </comment>
    <comment authorId="0" ref="AG11">
      <text>
        <t xml:space="preserve">======
ID#AAACFADrvhU
Ayudantes De Guardia    (2026-08-20 19:40:26)
Cubre al PC ARRIGONI.- 
Barros.-
------
ID#AAACGJ8w-ug
División Centros de Monitoreo Urbano    (2026-08-28 10:55:32)
06:10 HS</t>
      </text>
    </comment>
    <comment authorId="0" ref="AH11">
      <text>
        <t xml:space="preserve">======
ID#AAACGNYqgSA
Ayudantes De Guardia    (2026-08-29 09:08:09)
CUBRE A PC. CHARON.</t>
      </text>
    </comment>
    <comment authorId="0" ref="AI44">
      <text>
        <t xml:space="preserve">======
ID#AAACGNYqgaQ
Ayudantes De Guardia    (2026-08-30 10:23:22)
06:48</t>
      </text>
    </comment>
    <comment authorId="0" ref="F78">
      <text>
        <t xml:space="preserve">======
ID#AAACElkzVKU
Ayudantes De Guardia    (2026-08-01 10:18:13)
Ausente sin aviso.-</t>
      </text>
    </comment>
    <comment authorId="0" ref="AJ11">
      <text>
        <t xml:space="preserve">======
ID#AAACFADrvhQ
Ayudantes De Guardia    (2026-08-20 19:40:00)
Cubre el PC ARRIGONI. Autorizó el Subcio LOBOS.- 
Barros.-</t>
      </text>
    </comment>
    <comment authorId="0" ref="G45">
      <text>
        <t xml:space="preserve">======
ID#AAACELPJkf4
Ayudantes De Guardia    (2026-07-28 15:49:33)
CUBRE A PC ESCARLON MICAELA AUTORIZADO POR PPAL ROMERO
CINEROS
QUIROGA</t>
      </text>
    </comment>
    <comment authorId="0" ref="I45">
      <text>
        <t xml:space="preserve">======
ID#AAACELPJkgA
Ayudantes De Guardia    (2026-07-28 15:49:52)
CUBRE  PC ESCARLON MICAELA AUTORIZADO POR PPAL ROMERO
CINEROS
QUIROGA</t>
      </text>
    </comment>
    <comment authorId="0" ref="K78">
      <text>
        <t xml:space="preserve">======
ID#AAACEzanGs8
Ayudantes De Guardia    (2026-08-04 19:09:18)
AUSENTE SIN AVISO.-</t>
      </text>
    </comment>
    <comment authorId="0" ref="L78">
      <text>
        <t xml:space="preserve">======
ID#AAACE9Uau9Y
Ayudantes De Guardia    (2026-08-07 09:13:20)
Ausente sin aviso.-</t>
      </text>
    </comment>
    <comment authorId="0" ref="M78">
      <text>
        <t xml:space="preserve">======
ID#AAACE9d4NNw
Ayudantes De Guardia    (2026-08-08 09:06:55)
AUSENTE SIN AVISO</t>
      </text>
    </comment>
    <comment authorId="0" ref="M12">
      <text>
        <t xml:space="preserve">======
ID#AAACE9d4I8M
Ayudantes De Guardia    (2026-08-07 19:05:43)
Franco por Presentismo autorizado por Subcomisario Lobos.-</t>
      </text>
    </comment>
    <comment authorId="0" ref="P78">
      <text>
        <t xml:space="preserve">======
ID#AAACFdFK2Ms
Ayudantes De Guardia    (2026-08-11 09:13:39)
AUSENTE SIN AVISO</t>
      </text>
    </comment>
    <comment authorId="0" ref="Q78">
      <text>
        <t xml:space="preserve">======
ID#AAACFg3VPMg
Ayudantes De Guardia    (2026-08-12 10:12:18)
SIN AVISO.-</t>
      </text>
    </comment>
    <comment authorId="0" ref="W78">
      <text>
        <t xml:space="preserve">======
ID#AAACFu3U4Qk
Ayudantes De Guardia    (2026-08-16 20:20:44)
AUSENTE SIN AVISO. 
BARROS.-</t>
      </text>
    </comment>
    <comment authorId="0" ref="Y78">
      <text>
        <t xml:space="preserve">======
ID#AAACFw3vL6A
Ayudantes De Guardia    (2026-08-18 17:55:58)
AUSENTE SIN AVISO .-</t>
      </text>
    </comment>
    <comment authorId="0" ref="AB78">
      <text>
        <t xml:space="preserve">======
ID#AAACF3Vocpk
Ayudantes De Guardia    (2026-08-23 09:39:32)
AUSENTE SIN AVISO</t>
      </text>
    </comment>
    <comment authorId="0" ref="AC78">
      <text>
        <t xml:space="preserve">======
ID#AAACF4UxMME
Ayudantes De Guardia    (2026-08-24 09:16:24)
AUSENTE SIN AVISO</t>
      </text>
    </comment>
    <comment authorId="0" ref="AD78">
      <text>
        <t xml:space="preserve">======
ID#AAACF6albqI
Ayudantes De Guardia    (2026-08-25 09:27:46)
AUSENTE SIN AVISO</t>
      </text>
    </comment>
    <comment authorId="0" ref="AG45">
      <text>
        <t xml:space="preserve">======
ID#AAACGJ8w-sc
Ayudantes De Guardia    (2026-08-28 09:21:48)
21:30 Hs Se comunica PC OJEDA Rocio informando no se hara presente el día de mañana debido a que se siente mal. Se le indico que envie certificado medico y clarifique los sintomas.
JS AGUIRRE
AY LEIVAS
------
ID#AAACGJ8w_Dk
Ayudantes De Guardia    (2026-08-28 19:00:15)
Se recibe de PC Ojeda Rocío certificado médico de fecha 28/08 indicando reposo por 48 Hs.-
JS AGUIRRE
AY LEIVAS</t>
      </text>
    </comment>
    <comment authorId="0" ref="F13">
      <text>
        <t xml:space="preserve">======
ID#AAACFj6Dpok
Ayudantes De Guardia    (2026-08-13 14:44:10)
ENTRADA 6:05</t>
      </text>
    </comment>
    <comment authorId="0" ref="G13">
      <text>
        <t xml:space="preserve">======
ID#AAACFj6DpyM
Ayudantes De Guardia    (2026-08-13 16:50:41)
ENTRADA 6:18</t>
      </text>
    </comment>
    <comment authorId="0" ref="H13">
      <text>
        <t xml:space="preserve">======
ID#AAACEvfB17c
Ayudantes De Guardia    (2026-08-03 09:11:30)
06:04</t>
      </text>
    </comment>
    <comment authorId="0" ref="M79">
      <text>
        <t xml:space="preserve">======
ID#AAACE0sgUx4
Ayudantes De Guardia    (2026-08-05 11:14:24)
Franco por presentismo autorizado por Ppal Romero.-
Cisneros
Couso</t>
      </text>
    </comment>
    <comment authorId="0" ref="T13">
      <text>
        <t xml:space="preserve">======
ID#AAACFg3VQnc
Ayudantes De Guardia    (2026-08-12 21:50:04)
Scoring Julio. Autorizó la Subcrio LOBOS.-
Barros.-</t>
      </text>
    </comment>
    <comment authorId="0" ref="Z13">
      <text>
        <t xml:space="preserve">======
ID#AAACFzattjE
Ayudantes De Guardia    (2026-08-21 09:02:56)
06:01</t>
      </text>
    </comment>
    <comment authorId="0" ref="AA13">
      <text>
        <t xml:space="preserve">======
ID#AAACF1fnqag
Ayudantes De Guardia    (2026-08-22 09:40:49)
Ingreso 06:20Hs.</t>
      </text>
    </comment>
    <comment authorId="0" ref="AD13">
      <text>
        <t xml:space="preserve">======
ID#AAACF6albqA
Ayudantes De Guardia    (2026-08-25 09:26:13)
06:07</t>
      </text>
    </comment>
    <comment authorId="0" ref="AF13">
      <text>
        <t xml:space="preserve">======
ID#AAACFEf4sDk
Ayudantes De Guardia    (2026-08-27 08:19:29)
05:01Hs. Se comunica PC Espinola Carolina (Chacarita – turno mañana) manifestando que no se hará presente al servicio debido a que se encuentra con mareos, nauseas y fuertes dolores de cabeza. Enviará certificado medico.-
JS LEDESMA
AY PEREYRA</t>
      </text>
    </comment>
    <comment authorId="0" ref="AI79">
      <text>
        <t xml:space="preserve">======
ID#AAACE9d4HAo
Ayudantes De Guardia    (2026-08-07 11:27:17)
FRANCO SCORING 
CISNEROS 
SEBASTIA</t>
      </text>
    </comment>
    <comment authorId="0" ref="AJ79">
      <text>
        <t xml:space="preserve">======
ID#AAACE9d4HAs
Ayudantes De Guardia    (2026-08-07 11:27:22)
FRANCO SCORING 
CISNEROS 
SEBASTIA</t>
      </text>
    </comment>
    <comment authorId="0" ref="S14">
      <text>
        <t xml:space="preserve">======
ID#AAACFg3VQnU
Ayudantes De Guardia    (2026-08-12 21:49:01)
Scoring Junio. Autorizó la Subcrio LOBOS.- 
Barros.-</t>
      </text>
    </comment>
    <comment authorId="0" ref="U80">
      <text>
        <t xml:space="preserve">======
ID#AAACEgdho4Q
Ayudantes De Guardia    (2026-07-30 17:47:34)
CUBRE A PC CARDOZO ROMINA 
AUTORIZADO POR PPAL ROMERO
CISNEROS 
QUIROGA</t>
      </text>
    </comment>
    <comment authorId="0" ref="T14">
      <text>
        <t xml:space="preserve">======
ID#AAACFwlVGAM
División Centros de Monitoreo Urbano    (2026-08-18 12:04:00)
06:02 HS</t>
      </text>
    </comment>
    <comment authorId="0" ref="V80">
      <text>
        <t xml:space="preserve">======
ID#AAACBvROzTo
Ayudantes De Guardia    (2026-08-03 18:04:51)
CAMBIO DE GUARDIA CUBRE PC CASTAÑO.-
CISNEROS 
SEBASTIA</t>
      </text>
    </comment>
    <comment authorId="0" ref="X80">
      <text>
        <t xml:space="preserve">======
ID#AAACEgdho4M
Ayudantes De Guardia    (2026-07-30 17:47:19)
CUBRE PC CARDOZO ROMINA 
AUTORIZADO POR PPAL ROMERO
CISNEROS 
QUIROGA</t>
      </text>
    </comment>
    <comment authorId="0" ref="Y80">
      <text>
        <t xml:space="preserve">======
ID#AAACBvROzW4
Ayudantes De Guardia    (2026-08-03 18:33:49)
CAMBIO DE GUARDIA CUBRE PC A CASTAÑO.-
CISNEROS 
SEBASTIA</t>
      </text>
    </comment>
    <comment authorId="0" ref="J114">
      <text>
        <t xml:space="preserve">======
ID#AAACE3uAKNA
Ayudantes De Guardia    (2026-08-05 13:58:56)
09:07</t>
      </text>
    </comment>
    <comment authorId="0" ref="Z114">
      <text>
        <t xml:space="preserve">======
ID#AAACEzanGD4
División Centros de Monitoreo Urbano    (2026-08-04 16:54:23)
Franco autorizado - Subcrio. Jovanovich</t>
      </text>
    </comment>
    <comment authorId="0" ref="AC114">
      <text>
        <t xml:space="preserve">======
ID#AAACEzanGD8
División Centros de Monitoreo Urbano    (2026-08-04 16:54:43)
Hace de 09 a 18hs.
------
ID#AAACF4UxMUM
División Centros de Monitoreo Urbano    (2026-08-24 14:38:27)
09:14 HS</t>
      </text>
    </comment>
    <comment authorId="0" ref="AJ114">
      <text>
        <t xml:space="preserve">======
ID#AAACGJ8w_Ig
Ayudantes De Guardia    (2026-08-28 22:52:55)
FRANCO POR PRESENTISMO AUTORIZADO POR EL SUB LOBOS-
AY CUELLO
JS BENITEZ</t>
      </text>
    </comment>
    <comment authorId="0" ref="AI81">
      <text>
        <t xml:space="preserve">======
ID#AAACE9d4HA0
Ayudantes De Guardia    (2026-08-07 11:28:03)
FRANCO SCORING 
CISNEROS 
SEBASTIA</t>
      </text>
    </comment>
    <comment authorId="0" ref="AJ81">
      <text>
        <t xml:space="preserve">======
ID#AAACE0sgUx8
Ayudantes De Guardia    (2026-08-05 11:14:41)
Franco por presentismo autorizado por Ppal Romero.-
Cisneros
Couso</t>
      </text>
    </comment>
    <comment authorId="0" ref="H49">
      <text>
        <t xml:space="preserve">======
ID#AAACFktWDuY
Ayudantes De Guardia    (2026-08-13 18:46:07)
ENTRADA 6:12</t>
      </text>
    </comment>
    <comment authorId="0" ref="I49">
      <text>
        <t xml:space="preserve">======
ID#AAACEzXFTqk
Ayudantes De Guardia    (2026-08-04 09:27:02)
06:05HS.-</t>
      </text>
    </comment>
    <comment authorId="0" ref="N49">
      <text>
        <t xml:space="preserve">======
ID#AAACE3uAMuE
Ayudantes De Guardia    (2026-08-05 16:37:37)
Ingresa 4horas más tarde, a las 10:00 am, en compensación del día 19/07.-
CISNEROS 
QUIROGA</t>
      </text>
    </comment>
    <comment authorId="0" ref="R82">
      <text>
        <t xml:space="preserve">======
ID#AAACE0sgUyA
Ayudantes De Guardia    (2026-08-05 11:14:58)
Franco por presentismo autorizado por Ppal Romero.-
Cisneros
Couso</t>
      </text>
    </comment>
    <comment authorId="0" ref="U49">
      <text>
        <t xml:space="preserve">======
ID#AAACFulMBSY
Ayudantes De Guardia    (2026-08-16 09:30:10)
06:29 HRS</t>
      </text>
    </comment>
    <comment authorId="0" ref="AB82">
      <text>
        <t xml:space="preserve">======
ID#AAACF3VocnY
Ayudantes De Guardia    (2026-08-23 04:07:15)
01:05 horas el PC Oriana SOLARI informó que no asistirá al servicio debido a que posee malestar general. Enviará certificado médico.-
Barros.-
------
ID#AAACF4CqGRI
Ayudantes De Guardia    (2026-08-23 17:15:17)
Se recibe constancia de atencion de PC Solari Oriana con fecha 23/08.
CISNEROS
QUIROGA</t>
      </text>
    </comment>
    <comment authorId="0" ref="AC82">
      <text>
        <t xml:space="preserve">======
ID#AAACF4UxMGE
Ayudantes De Guardia    (2026-08-24 04:03:07)
00:45Hs. Se comunica  manifestando que no se hará presente al servicio debido a que se encuentra levantando temperatura. Enviará certificado medico.-
JS LEDESMA
AY PEREYRA
------
ID#AAACF4UxMYc
Ayudantes De Guardia    (2026-08-24 16:31:43)
Se recibe de PC Solari Oriana certificado medico con fecha 24/8 por 48hs
js Lahitte
ay Krakovsky</t>
      </text>
    </comment>
    <comment authorId="0" ref="AC49">
      <text>
        <t xml:space="preserve">======
ID#AAACF4UxMNY
División Centros de Monitoreo Urbano    (2026-08-24 10:57:36)
07:32 HS</t>
      </text>
    </comment>
    <comment authorId="0" ref="AG49">
      <text>
        <t xml:space="preserve">======
ID#AAACEgdhoto
Ayudantes De Guardia    (2026-07-30 16:01:59)
11:00hs - Capacitación con Coordinación general en Materia de Discapacidad - Hornos 238, PB (SUM)"</t>
      </text>
    </comment>
    <comment authorId="0" ref="AJ82">
      <text>
        <t xml:space="preserve">======
ID#AAACGNYqgPw
Ayudantes De Guardia    (2026-08-29 06:12:51)
OS 7243</t>
      </text>
    </comment>
    <comment authorId="0" ref="F83">
      <text>
        <t xml:space="preserve">======
ID#AAACElkzVY4
Ayudantes De Guardia    (2026-08-01 10:46:04)
Se deja constancia de que 07:26Hs. Se intenta entablar comunicación con PC Yañez Vicente Juan Manuel debido a su tardanza para arribar al servicio. El mismo manifiesta haberse quedado dormido y solicita una devolución de guardia. Se le recuerda lo notificado en la OI 114/2026 la cual establece: “queda estrictamente prohibida la utilización de los cambios de guardia por sí mismo y las devoluciones de guardia.”. A lo cual el personal responde: “Y si voy y me quedo más horas para recuperar las horas q llegó tarde , se puede ?” (sic). El Jefe de servicio dispone que no se haga presente, plasmarle ausencia injustificada y labrar el correspondiente informe.-
JS LANGE
PC PEREYRA</t>
      </text>
    </comment>
    <comment authorId="0" ref="Q50">
      <text>
        <t xml:space="preserve">======
ID#AAACFeh6Kmk
Ayudantes De Guardia    (2026-08-11 21:26:04)
OS 6713. Comando unificado. 10Hs.-
JS. LANGE
AY. ARCE</t>
      </text>
    </comment>
    <comment authorId="0" ref="T50">
      <text>
        <t xml:space="preserve">======
ID#AAACE9d4HAc
Ayudantes De Guardia    (2026-08-07 11:26:15)
FRANCO SCORING 
CISNEROS 
SEBASTIA</t>
      </text>
    </comment>
    <comment authorId="0" ref="AA50">
      <text>
        <t xml:space="preserve">======
ID#AAACF1fnqYw
Ayudantes De Guardia    (2026-08-22 03:42:23)
00:38 Hs Se comunica Aux ZASLAVSKY Sandra informando no se hara presente debido a lumbalgia con reposo 24 horas. Envia certificado por 24hs valida en CML Av Varela 672 
AY FERNANDEZ
JS MARTINEZ
------
ID#AAACF2tPIq4
Ayudantes De Guardia    (2026-08-22 12:37:58)
Se recibe de Aux Zaslavsky Sandra certificado medico con fecha 22/08 por 24 hs.-
JS LEDESMA
AY PEREYRA</t>
      </text>
    </comment>
    <comment authorId="0" ref="AH50">
      <text>
        <t xml:space="preserve">======
ID#AAACE9d4HAg
Ayudantes De Guardia    (2026-08-07 11:26:22)
FRANCO SCORING 
CISNEROS 
SEBASTIA</t>
      </text>
    </comment>
    <comment authorId="0" ref="F18">
      <text>
        <t xml:space="preserve">======
ID#AAACFj6DprY
Ayudantes De Guardia    (2026-08-13 15:14:41)
ENTRADA 6:52</t>
      </text>
    </comment>
    <comment authorId="0" ref="G18">
      <text>
        <t xml:space="preserve">======
ID#AAACFj6Dpy8
Ayudantes De Guardia    (2026-08-13 17:01:03)
ENTRADA 7:11</t>
      </text>
    </comment>
    <comment authorId="0" ref="H18">
      <text>
        <t xml:space="preserve">======
ID#AAACEvfB1_s
Ayudantes De Guardia    (2026-08-03 10:04:32)
07:03</t>
      </text>
    </comment>
    <comment authorId="0" ref="I18">
      <text>
        <t xml:space="preserve">======
ID#AAACEzXFTsw
Ayudantes De Guardia    (2026-08-04 10:35:31)
07:11HS.-</t>
      </text>
    </comment>
    <comment authorId="0" ref="S18">
      <text>
        <t xml:space="preserve">======
ID#AAACFlNGCw4
Ayudantes De Guardia    (2026-08-14 10:30:59)
07:14HS.-</t>
      </text>
    </comment>
    <comment authorId="0" ref="T18">
      <text>
        <t xml:space="preserve">======
ID#AAACFuEO5nw
Ayudantes De Guardia    (2026-08-15 10:11:33)
07:11</t>
      </text>
    </comment>
    <comment authorId="0" ref="U18">
      <text>
        <t xml:space="preserve">======
ID#AAACFwlVGAY
División Centros de Monitoreo Urbano    (2026-08-18 12:06:39)
7:09 HS</t>
      </text>
    </comment>
    <comment authorId="0" ref="Y84">
      <text>
        <t xml:space="preserve">======
ID#AAACF1V3ESs
Ayudantes De Guardia    (2026-08-21 19:50:47)
Se recibe certificado de PC Vedda del 20/08 reposo por 72hs</t>
      </text>
    </comment>
    <comment authorId="0" ref="AB51">
      <text>
        <t xml:space="preserve">======
ID#AAACF3VocpQ
Ayudantes De Guardia    (2026-08-23 09:23:59)
06:23</t>
      </text>
    </comment>
    <comment authorId="0" ref="AA18">
      <text>
        <t xml:space="preserve">======
ID#AAACF1fnqa4
Ayudantes De Guardia    (2026-08-22 11:04:07)
Ingreso 07:14Hs.</t>
      </text>
    </comment>
    <comment authorId="0" ref="AF18">
      <text>
        <t xml:space="preserve">======
ID#AAACFEf4sRI
Ayudantes De Guardia    (2026-08-27 14:06:42)
se retira 14:30 autorizado por la superioridad
cisneros 
sebastia
------
ID#AAACGJ8w-uk
División Centros de Monitoreo Urbano    (2026-08-28 11:03:13)
07:05 HS</t>
      </text>
    </comment>
    <comment authorId="0" ref="AG18">
      <text>
        <t xml:space="preserve">======
ID#AAACGJ8w-tQ
Ayudantes De Guardia    (2026-08-28 10:13:39)
7:03HS</t>
      </text>
    </comment>
    <comment authorId="0" ref="G85">
      <text>
        <t xml:space="preserve">======
ID#AAACD7i6ty8
Ayudantes De Guardia    (2026-07-26 13:28:51)
CUBRE PC ARZAMENDI LUCAS 
CISNEROS 
SEBASTIA</t>
      </text>
    </comment>
    <comment authorId="0" ref="N52">
      <text>
        <t xml:space="preserve">======
ID#AAACEjCaq5g
Ayudantes De Guardia    (2026-07-31 19:00:53)
Cubre PC Mauro Galvan.
Autotizo Ppal. Arguello.
JS Aguirre.
Ayte García</t>
      </text>
    </comment>
    <comment authorId="0" ref="R85">
      <text>
        <t xml:space="preserve">======
ID#AAACEgHzb6U
Ayudantes De Guardia    (2026-07-30 11:52:32)
CUBRE PC LEIVA 
CISNEROS 
SEBASTIA</t>
      </text>
    </comment>
    <comment authorId="0" ref="R52">
      <text>
        <t xml:space="preserve">======
ID#AAACEjCaq5c
Ayudantes De Guardia    (2026-07-31 18:58:49)
Cubre PC Rojas Melanie.
Autotizo Ppal. Arguello.
JS Aguirre.
Ayte García</t>
      </text>
    </comment>
    <comment authorId="0" ref="S85">
      <text>
        <t xml:space="preserve">======
ID#AAACEgHzb6I
Ayudantes De Guardia    (2026-07-30 11:51:23)
CUBRE PC BENITEZ 
CISNEROS 
SEBASTIA</t>
      </text>
    </comment>
    <comment authorId="0" ref="U52">
      <text>
        <t xml:space="preserve">======
ID#AAACEzanGoc
Ayudantes De Guardia    (2026-08-04 18:25:38)
Cubre el PC BERGARA.- 
Barros.-</t>
      </text>
    </comment>
    <comment authorId="0" ref="U19">
      <text>
        <t xml:space="preserve">======
ID#AAACFuSxM8E
Ayudantes De Guardia    (2026-08-15 22:37:59)
19:26 Hs Se comunica Aux IBARRA Veronica informando que le extendieron licencia medica. Envia constancias.-
AY FERNANDEZ
JS MARTINEZ
------
ID#AAACFuTKS_c
Ayudantes De Guardia    (2026-08-15 23:06:53)
Extiende su licencia hasta el 12/9 inclusive
AY FERNANDEZ
JS MARTINEZ</t>
      </text>
    </comment>
    <comment authorId="0" ref="V52">
      <text>
        <t xml:space="preserve">======
ID#AAACE9d4HA4
Ayudantes De Guardia    (2026-08-07 11:28:48)
FRANCO SCORING 
CISNEROS 
SEBASTIA</t>
      </text>
    </comment>
    <comment authorId="0" ref="Y85">
      <text>
        <t xml:space="preserve">======
ID#AAACFyc2KNU
Ayudantes De Guardia    (2026-08-20 08:22:43)
Siendo las 05:17hs se comunica PC Vedda Javier informando que no se hará presente al servicio debido a descompostura, no informa si envía el certificado médico.
JS BENITEZ
AYU TIRAVANTI</t>
      </text>
    </comment>
    <comment authorId="0" ref="Z85">
      <text>
        <t xml:space="preserve">======
ID#AAACEgHzb6s
Ayudantes De Guardia    (2026-07-30 11:54:34)
CUBRE A  PC BENITEZ 
CISNEROS 
SEBASTIA
------
ID#AAACFzatta4
Ayudantes De Guardia    (2026-08-21 00:39:48)
21:27Hs. Se comunica manifestando que no se hará presente al servicio debido a su cuadro de gastroenteritis. Enviará certificado medico.-
JS LANGE
AY PEREYRA
------
ID#AAACF29xfd4
Ayudantes De Guardia    (2026-08-23 02:41:29)
-se recibe certificado medico por 24hs</t>
      </text>
    </comment>
    <comment authorId="0" ref="AB85">
      <text>
        <t xml:space="preserve">======
ID#AAACF3Vocng
Ayudantes De Guardia    (2026-08-23 04:51:50)
01:50 horas el PC Javier VEDDA informó que no asistirá al servicio debido a que posee un cuadro de gastroenteritis aguda. Informa que envió certificado médico.-
Barros.-</t>
      </text>
    </comment>
    <comment authorId="0" ref="AB52">
      <text>
        <t xml:space="preserve">======
ID#AAACF4UxMNc
División Centros de Monitoreo Urbano    (2026-08-24 10:59:49)
06:15 HS</t>
      </text>
    </comment>
    <comment authorId="0" ref="AE85">
      <text>
        <t xml:space="preserve">======
ID#AAACFEf4rA0
Ayudantes De Guardia    (2026-08-26 09:01:30)
6:01HS</t>
      </text>
    </comment>
    <comment authorId="0" ref="AF85">
      <text>
        <t xml:space="preserve">======
ID#AAACEgHzb6c
Ayudantes De Guardia    (2026-07-30 11:53:53)
CUBRE PC LEIVA 
CISNEROS 
SEBASTIA
------
ID#AAACFEf4sPA
Ayudantes De Guardia    (2026-08-27 10:09:36)
AUSENTE SIN AVISO</t>
      </text>
    </comment>
    <comment authorId="0" ref="AI85">
      <text>
        <t xml:space="preserve">======
ID#AAACGNYqgXw
Ayudantes De Guardia    (2026-08-30 06:05:16)
03:03Hs. Se comunica PC VEDDA, Javier manifestando que no se hará presente al servicio debido a gastroenteritis. Enviará certificado médico.-
JS. LEDESMA
AY. ARCE</t>
      </text>
    </comment>
    <comment authorId="0" ref="AJ85">
      <text>
        <t xml:space="preserve">======
ID#AAACGOBaA1c
Ayudantes De Guardia    (2026-08-31 01:26:07)
Se le plasma hasta el 01/09 ya que envió un certificado nuevo
AY FERNANDEZ
JS LANGE
------
ID#AAACGNWVjQU
Ayudantes De Guardia    (2026-08-31 05:25:45)
Por omision. Se comunica PC VEDDA Javier informa que no se hara presente debido a gastroenteritis aguda y colitis, Envia certificado.
AY FERNANDEZ
JS LANGE</t>
      </text>
    </comment>
    <comment authorId="0" ref="AJ52">
      <text>
        <t xml:space="preserve">======
ID#AAACEzanGog
Ayudantes De Guardia    (2026-08-04 18:26:03)
Cubre al PC BERGARA. Autorizó el Subcrio LOBOS.- 
Barros.-</t>
      </text>
    </comment>
    <comment authorId="0" ref="H119">
      <text>
        <t xml:space="preserve">======
ID#AAACFlXutyM
División Centros de Monitoreo Urbano    (2026-08-14 16:56:45)
08:03</t>
      </text>
    </comment>
    <comment authorId="0" ref="G53">
      <text>
        <t xml:space="preserve">======
ID#AAACENZEKIk
Ayudantes De Guardia    (2026-07-29 14:26:39)
Cubre a PC María Belén Díaz.
Autoriza Ppal. Arguello. 
JS Aguirre.-
Auxiliar Garcia.-</t>
      </text>
    </comment>
    <comment authorId="0" ref="I53">
      <text>
        <t xml:space="preserve">======
ID#AAACEzXFTqA
Ayudantes De Guardia    (2026-08-04 09:21:27)
06:01HS.-</t>
      </text>
    </comment>
    <comment authorId="0" ref="L119">
      <text>
        <t xml:space="preserve">======
ID#AAACFlXutyQ
División Centros de Monitoreo Urbano    (2026-08-14 16:57:12)
08:04</t>
      </text>
    </comment>
    <comment authorId="0" ref="J53">
      <text>
        <t xml:space="preserve">======
ID#AAACE0sgUpg
Ayudantes De Guardia    (2026-08-05 09:08:49)
06:04</t>
      </text>
    </comment>
    <comment authorId="0" ref="O119">
      <text>
        <t xml:space="preserve">======
ID#AAACFlXutyU
División Centros de Monitoreo Urbano    (2026-08-14 16:57:26)
08:03</t>
      </text>
    </comment>
    <comment authorId="0" ref="P119">
      <text>
        <t xml:space="preserve">======
ID#AAACFlXutyY
División Centros de Monitoreo Urbano    (2026-08-14 16:57:36)
08:02</t>
      </text>
    </comment>
    <comment authorId="0" ref="Q119">
      <text>
        <t xml:space="preserve">======
ID#AAACFlXutyc
División Centros de Monitoreo Urbano    (2026-08-14 16:57:48)
08:03</t>
      </text>
    </comment>
    <comment authorId="0" ref="P86">
      <text>
        <t xml:space="preserve">======
ID#AAACE0sgUyE
Ayudantes De Guardia    (2026-08-05 11:15:18)
Franco por presentismo autorizado por Ppal Romero.-
Cisneros
Couso</t>
      </text>
    </comment>
    <comment authorId="0" ref="R119">
      <text>
        <t xml:space="preserve">======
ID#AAACFlXutyg
División Centros de Monitoreo Urbano    (2026-08-14 16:57:58)
08:15</t>
      </text>
    </comment>
    <comment authorId="0" ref="S119">
      <text>
        <t xml:space="preserve">======
ID#AAACFlXutyk
División Centros de Monitoreo Urbano    (2026-08-14 16:58:08)
08:06</t>
      </text>
    </comment>
    <comment authorId="0" ref="W119">
      <text>
        <t xml:space="preserve">======
ID#AAACFwt2RSA
División Centros de Monitoreo Urbano    (2026-08-18 13:16:43)
7:58 HS</t>
      </text>
    </comment>
    <comment authorId="0" ref="U53">
      <text>
        <t xml:space="preserve">======
ID#AAACFulMBSc
Ayudantes De Guardia    (2026-08-16 09:31:36)
06:02</t>
      </text>
    </comment>
    <comment authorId="0" ref="X119">
      <text>
        <t xml:space="preserve">======
ID#AAACFxehLZU
División Centros de Monitoreo Urbano    (2026-08-20 14:24:26)
08:01 HS</t>
      </text>
    </comment>
    <comment authorId="0" ref="Z119">
      <text>
        <t xml:space="preserve">======
ID#AAACF4UxMUQ
División Centros de Monitoreo Urbano    (2026-08-24 14:39:21)
08:03</t>
      </text>
    </comment>
    <comment authorId="0" ref="Y86">
      <text>
        <t xml:space="preserve">======
ID#AAACE9d4HAw
Ayudantes De Guardia    (2026-08-07 11:27:39)
FRANCO SCORING 
CISNEROS 
SEBASTIA</t>
      </text>
    </comment>
    <comment authorId="0" ref="Z20">
      <text>
        <t xml:space="preserve">======
ID#AAACF2sTqJs
Ayudantes De Guardia    (2026-08-22 15:36:31)
Se recibe certificado de PC Koseltein Silvina con fecha 21/08 hasta el 04/09 inclusive.-
JS LEDESMA
AY PEREYRA</t>
      </text>
    </comment>
    <comment authorId="0" ref="AA53">
      <text>
        <t xml:space="preserve">======
ID#AAACF1fnqaY
Ayudantes De Guardia    (2026-08-22 09:39:59)
Ingreso 06:06Hs.</t>
      </text>
    </comment>
    <comment authorId="0" ref="AG53">
      <text>
        <t xml:space="preserve">======
ID#AAACGJ8w-wA
División Centros de Monitoreo Urbano    (2026-08-28 12:00:15)
06.04 HS</t>
      </text>
    </comment>
    <comment authorId="0" ref="AH53">
      <text>
        <t xml:space="preserve">======
ID#AAACENZEKIc
Ayudantes De Guardia    (2026-07-29 14:24:48)
Cubre PC Diaz, María Belén.-
Autoriza Ppal. Arguello. 
JS Aguirre.-
Auxiliar Garcia.-</t>
      </text>
    </comment>
    <comment authorId="0" ref="F87">
      <text>
        <t xml:space="preserve">======
ID#AAACElkzVD0
Ayudantes De Guardia    (2026-08-01 09:34:49)
Ingreso 06:30Hs.</t>
      </text>
    </comment>
    <comment authorId="0" ref="G87">
      <text>
        <t xml:space="preserve">======
ID#AAACELPJkfU
Ayudantes De Guardia    (2026-07-28 15:48:09)
CAMBIO DE GUARDIA, CUBRE PC OJEDA ROCIO. AUTORIZADO POR PPAL ROMERO
CISNEROS 
QUIROGA</t>
      </text>
    </comment>
    <comment authorId="0" ref="F21">
      <text>
        <t xml:space="preserve">======
ID#AAACElkzVCM
Ayudantes De Guardia    (2026-08-01 09:19:03)
Ingreso 06:09Hs.</t>
      </text>
    </comment>
    <comment authorId="0" ref="I87">
      <text>
        <t xml:space="preserve">======
ID#AAACELPJkfg
Ayudantes De Guardia    (2026-07-28 15:48:33)
CUBRE A PC OJEDA ROCIO. AUTORIZADO POR PPAL ROMERO
CISNEROS 
QUIROGA
06:04HS.-</t>
      </text>
    </comment>
    <comment authorId="0" ref="H54">
      <text>
        <t xml:space="preserve">======
ID#AAACEHk0iJY
Ayudantes De Guardia    (2026-07-27 11:54:50)
Se retira 4 Hrs. Antes.- Por el 19/07/2026
Barros.-
------
ID#AAACEvfB1-8
Ayudantes De Guardia    (2026-08-03 09:43:51)
SIN EFECTO. SE PASA PARA EL 9/08 SE RETIRA 4HS ANTES.
CISNEROS 
QUIROGA</t>
      </text>
    </comment>
    <comment authorId="0" ref="J54">
      <text>
        <t xml:space="preserve">======
ID#AAACE0sgUpM
Ayudantes De Guardia    (2026-08-05 09:07:22)
06:03</t>
      </text>
    </comment>
    <comment authorId="0" ref="L87">
      <text>
        <t xml:space="preserve">======
ID#AAACE8ouvHY
Ayudantes De Guardia    (2026-08-07 08:20:38)
05:10Hs. Se comunica PC. ESCARLON Micaela informando no se hara presente debido a dolor de cuerpo , garganta y oídos. Indica que levanto fiebre hace 2 horas. Envia certificado.
JS MARTINEZ
AY CUELLAR
------
ID#AAACE9d4I9I
Ayudantes De Guardia    (2026-08-07 19:21:17)
Se recibe constancia de atención de PC Escarlon Micaela con fecha 07/08 por 24 hs.
CISNEROS 
SEBASTIA</t>
      </text>
    </comment>
    <comment authorId="0" ref="M87">
      <text>
        <t xml:space="preserve">======
ID#AAACExfrUr0
Ayudantes De Guardia    (2026-08-03 20:53:34)
CUBRE BENITEZ 
CISNEROS 
SEBASTIA</t>
      </text>
    </comment>
    <comment authorId="0" ref="O120">
      <text>
        <t xml:space="preserve">======
ID#AAACFaAFVs4
Ayudantes De Guardia    (2026-08-10 08:39:06)
Siendo las 05:28 Hs. Se comunica PC. BOYE Veronica, enviando constancia de atencion domiciliaria indicando 24 Hr. de reposo.
Ay. Barrios. 
Js. Martinez.
------
ID#AAACFaAFXLI
Ayudantes De Guardia    (2026-08-10 20:20:46)
Se recibe de PC Boye Veronica certificado con fecha 10/08 x 24 hs.-
JS: AGUIRRE
AY: PAZ</t>
      </text>
    </comment>
    <comment authorId="0" ref="M54">
      <text>
        <t xml:space="preserve">======
ID#AAACExfrUrs
Ayudantes De Guardia    (2026-08-03 20:52:18)
CUBRE  ESCARLON 
CISNEROS 
SEBASTIA</t>
      </text>
    </comment>
    <comment authorId="0" ref="P120">
      <text>
        <t xml:space="preserve">======
ID#AAACFdFK2OY
Ayudantes De Guardia    (2026-08-11 10:14:47)
07:14</t>
      </text>
    </comment>
    <comment authorId="0" ref="N54">
      <text>
        <t xml:space="preserve">======
ID#AAACEvfB1_A
Ayudantes De Guardia    (2026-08-03 09:44:28)
SE RETIRA 4HS ANTES POR EL 19/07
CISNEROS 
QUIROGA</t>
      </text>
    </comment>
    <comment authorId="0" ref="P87">
      <text>
        <t xml:space="preserve">======
ID#AAACFdFK2Mo
Ayudantes De Guardia    (2026-08-11 09:12:21)
6:11HS</t>
      </text>
    </comment>
    <comment authorId="0" ref="R120">
      <text>
        <t xml:space="preserve">======
ID#AAACFj6DpYQ
Ayudantes De Guardia    (2026-08-13 10:04:45)
07:03</t>
      </text>
    </comment>
    <comment authorId="0" ref="Q87">
      <text>
        <t xml:space="preserve">======
ID#AAACFg3VPMk
Ayudantes De Guardia    (2026-08-12 10:17:25)
06:20 HS.-</t>
      </text>
    </comment>
    <comment authorId="0" ref="S120">
      <text>
        <t xml:space="preserve">======
ID#AAACFlNGCw8
Ayudantes De Guardia    (2026-08-14 10:31:28)
Por omision, siendo las 05:05 Hs.- se comunica Pc. Boye Veronica informando que no asistirá al servicio debido a que posee dolor de cabeza, zumbidos en oidos, resfrio y tos. Envió certificado medico correspondiente.
JS: AGUIRRE
AY: PAZ
------
ID#AAACFlO8_xA
Ayudantes De Guardia    (2026-08-14 10:44:02)
Se recibe de PC Boye Verónica certificado medico de fechas 14/08 indicando reposo por 24 hs.-
JS: AGUIRRE
AY: PAZ</t>
      </text>
    </comment>
    <comment authorId="0" ref="R87">
      <text>
        <t xml:space="preserve">======
ID#AAACFj6DpUw
Ayudantes De Guardia    (2026-08-13 09:12:43)
06:02</t>
      </text>
    </comment>
    <comment authorId="0" ref="S87">
      <text>
        <t xml:space="preserve">======
ID#AAACFlNGCv4
Ayudantes De Guardia    (2026-08-14 09:23:39)
06:19HS.-</t>
      </text>
    </comment>
    <comment authorId="0" ref="S54">
      <text>
        <t xml:space="preserve">======
ID#AAACEgHzb6Q
Ayudantes De Guardia    (2026-07-30 11:52:02)
CUBRE A  PC VEDDA 
CISNEROS 
SEBASTIA</t>
      </text>
    </comment>
    <comment authorId="0" ref="V120">
      <text>
        <t xml:space="preserve">======
ID#AAACFvHI4Xg
Ayudantes De Guardia    (2026-08-17 07:48:05)
Siendo las 04:03hs se comunica PC Voye Veronica informando que no se hara presente al servicio debido a su estado de salud.-
JS BENITEZ
AYU TIRAVANTI
------
ID#AAACFvRaOzI
Ayudantes De Guardia    (2026-08-17 10:34:26)
se recibe certificado médico 17/08 POR 24</t>
      </text>
    </comment>
    <comment authorId="0" ref="W120">
      <text>
        <t xml:space="preserve">======
ID#AAACFwXQnNU
Ayudantes De Guardia    (2026-08-18 07:51:57)
04:33Hs. Se comunica manifestando que no se hará presente al servicio debido a que se encuentra con dolor de cabeza y oídos, a su vez manifiesta encontrarse con temperatura. Enviara certificado medico.-
JS LANGE
AY PEREYA</t>
      </text>
    </comment>
    <comment authorId="0" ref="T21">
      <text>
        <t xml:space="preserve">======
ID#AAACFg3VQsY
Ayudantes De Guardia    (2026-08-12 22:18:11)
Cubre el PC CHARON.- 
Barros.-</t>
      </text>
    </comment>
    <comment authorId="0" ref="X120">
      <text>
        <t xml:space="preserve">======
ID#AAACFxgwt08
Ayudantes De Guardia    (2026-08-19 10:45:04)
De deja constancia que PC Boye no se hace presente al servicio, se le consulta vía Poc y la misma manifiesta: No sonó la alarma para avisar, ahora voy a mandar certificado. Se realiza informe.
CISNEROS
QUIROGA</t>
      </text>
    </comment>
    <comment authorId="0" ref="U21">
      <text>
        <t xml:space="preserve">======
ID#AAACFg3VQng
Ayudantes De Guardia    (2026-08-12 21:50:33)
Scoring Julio. Autorizó la Subcrio LOBOS.-
Barros.-</t>
      </text>
    </comment>
    <comment authorId="0" ref="Y120">
      <text>
        <t xml:space="preserve">======
ID#AAACFyc0U0Q
Ayudantes De Guardia    (2026-08-20 08:11:15)
Siendo las 04:13hs se comunica PC Boye Veronica informando lo siguiente: "*Buen dia.. si entiendo ..*
*El.motivo de ausencia es dolor de cabeza zumbidos en oidos , resfrio, y comence con tos ya, ayer durante servicio estve cn temperatura ,(sintomas gripales que se sumaron estos dias) estoy en tratamiento tambien por fibromialgia e HIPOTIROIDISMO SEVERO.) Lo que posiblemente es loq me ocacionan estos episodios de defensas bajas..* *ya envie por email la constancia.En 10 dias tengo los nuevos controles medicos.* *Y ademas hoy 20.08 a las 11hs tengo que realizarme un estudio de tiroide.*
*Gracias*"
JS BENITEZ
AYU TIRAVANTI</t>
      </text>
    </comment>
    <comment authorId="0" ref="X87">
      <text>
        <t xml:space="preserve">======
ID#AAACFxUTQ0A
Ayudantes De Guardia    (2026-08-19 08:24:33)
05:22 Hs Se comunica PC ESCARLON Micaela informando no se hara presente debido a dolor de estomago y descompostura. Envia certificado.-
AY FERNANDEZ
JS MARTINEZ</t>
      </text>
    </comment>
    <comment authorId="0" ref="Z120">
      <text>
        <t xml:space="preserve">======
ID#AAACFzatth8
Ayudantes De Guardia    (2026-08-21 08:13:42)
04:57Hs. Se comunica PC Boye, Verónica manifestando que no se hará presente al servicio debido a “dolor de cabeza zumbidos en oídos , resfrío, y comencé con tos ya, ayer durante servicio estve con temperatura ,(síntomas gripales que se sumaron estos días) estoy en tratamiento también por fibromialgia e HIPOTIROIDISMO SEVERO.) Lo que posiblemente es lo q me ocasionan estos episodios de defensas bajas..” (sic) 
JS LANGE
AY PEREYRA</t>
      </text>
    </comment>
    <comment authorId="0" ref="Y87">
      <text>
        <t xml:space="preserve">======
ID#AAACFyc0U1M
Ayudantes De Guardia    (2026-08-20 08:19:03)
Siendo las 05:12hs se comunica PC Escarlon Micaela informando que no se hará presente al servicio debido a que se encuentra con dolor de estómago, enviara certificado médico.
JS BENIETEZ
AYU TIRAVANTI
Se recibe constancia de atención de PC Escarlon Micaela con fecha 20/08 por 24hs.-
JS Aguirre
Garcia.-</t>
      </text>
    </comment>
    <comment authorId="0" ref="Y21">
      <text>
        <t xml:space="preserve">======
ID#AAACFxygadQ
Ayudantes De Guardia    (2026-08-19 17:32:07)
Franco Autorizado por la superioridad a PC Romero Graciela 
cisneros 
sebastia</t>
      </text>
    </comment>
    <comment authorId="0" ref="Z54">
      <text>
        <t xml:space="preserve">======
ID#AAACEgHzb64
Ayudantes De Guardia    (2026-07-30 11:55:42)
CUBRE PC VEDDA
CISNEROS
SEBASTIA</t>
      </text>
    </comment>
    <comment authorId="0" ref="AC120">
      <text>
        <t xml:space="preserve">======
ID#AAACF4UxMUY
División Centros de Monitoreo Urbano    (2026-08-24 14:40:47)
07:12 HS</t>
      </text>
    </comment>
    <comment authorId="0" ref="AA54">
      <text>
        <t xml:space="preserve">======
ID#AAACFvaPxFw
Ayudantes De Guardia    (2026-08-17 14:15:47)
CG CUBRE PC CHARON 
CISNEROS 
SEBASTIA</t>
      </text>
    </comment>
    <comment authorId="0" ref="AC87">
      <text>
        <t xml:space="preserve">======
ID#AAACF4UxMMs
Ayudantes De Guardia    (2026-08-24 09:22:58)
6:12HS</t>
      </text>
    </comment>
    <comment authorId="0" ref="AD120">
      <text>
        <t xml:space="preserve">======
ID#AAACF6albpA
Ayudantes De Guardia    (2026-08-25 07:23:04)
04:17 Hs Se comunica PC BOYE Veronica informando no se hara presente debido a turno medico. Envia certificado
AY FERNANDEZ
JS LANGE
------
ID#AAACF8VkMBM
Ayudantes De Guardia    (2026-08-25 20:43:06)
Se recibe constancia de atención de PC Boye Veronica con fecha 25/08 por 24 hs.-
CISNEROS
QUIROGA</t>
      </text>
    </comment>
    <comment authorId="0" ref="AE120">
      <text>
        <t xml:space="preserve">======
ID#AAACF8VkMBY
Ayudantes De Guardia    (2026-08-25 20:53:25)
Se recibe constancia de atención de PC Boye Veronica con fecha 25/08 por 24 hs.-
------
ID#AAACFEf4sQ8
Ayudantes De Guardia    (2026-08-27 13:23:22)
Se recibe constancia de atencion medica de PC Boye Veronica con fecha 26/08 justificando el dia.-
Cisneros
Couso</t>
      </text>
    </comment>
    <comment authorId="0" ref="AD87">
      <text>
        <t xml:space="preserve">======
ID#AAACF6albqo
Ayudantes De Guardia    (2026-08-25 10:36:10)
Pc Escarlon no se hace presente, se llama con resultado negativo. Horas 6:55 se comunica vía Poc informa que se quedó dormida y solicita una cambio de guardia, se le recuerda que no es posible, responde que pasara licencia medica.
CISNEROS 
QUIROGA</t>
      </text>
    </comment>
    <comment authorId="0" ref="AB21">
      <text>
        <t xml:space="preserve">======
ID#AAACFg3VQsQ
Ayudantes De Guardia    (2026-08-12 22:17:39)
Cubre al PC CHARON. Autorizó el Subcrio LOBOS.- 
Barros.-</t>
      </text>
    </comment>
    <comment authorId="0" ref="AF120">
      <text>
        <t xml:space="preserve">======
ID#AAACFEf4sDg
Ayudantes De Guardia    (2026-08-27 07:59:45)
04:26Hs. Se comunica PC Boye, Veronica (Chacarita – turno mañana) manifestando que no se hará presente al servicio debido a que se encuentra con migrañas. La misma refiere haber enviado certificado medico.-
JS LEDESMA 
AY PEREYRA
------
ID#AAACFEf4sRA
Ayudantes De Guardia    (2026-08-27 13:32:30)
Se recibe constancia de atencion medica de PC Boye Veronica con fecha 27/08 indicando reposo por 24 Hs.-
CISNEROS
QUIROGA</t>
      </text>
    </comment>
    <comment authorId="0" ref="AG120">
      <text>
        <t xml:space="preserve">======
ID#AAACGJ8w-q8
Ayudantes De Guardia    (2026-08-28 07:03:35)
04:01 Hs Se comunica PC BOYE Veronica informando no se hara presente debido a turno medico. Envia certificado.- 
AY FERNANDEZ
JS LANGE</t>
      </text>
    </comment>
    <comment authorId="0" ref="AD21">
      <text>
        <t xml:space="preserve">======
ID#AAACF6albo0
Ayudantes De Guardia    (2026-08-25 06:43:54)
03:43 Hs Se comunica PC ROMERO Graciela informando no se hara presente debido a lumbalgia. Envia certificado.- 
AY FERNANDEZ
JS LANGE
------
ID#AAACFDX_Pjw
Ayudantes De Guardia    (2026-08-25 17:50:45)
Se recibe de Pc Romero Graciela certificado mèdico con fecha 5/8 indicando 48hs de reposo</t>
      </text>
    </comment>
    <comment authorId="0" ref="AH87">
      <text>
        <t xml:space="preserve">======
ID#AAACExfrUtI
Ayudantes De Guardia    (2026-08-03 20:54:08)
CUBRE A BENITEZ 
CISNEROS 
SEBASTIA</t>
      </text>
    </comment>
    <comment authorId="0" ref="AJ120">
      <text>
        <t xml:space="preserve">======
ID#AAACFHzHSuI
Ayudantes De Guardia    (2026-08-31 10:39:33)
Siendo las 07:10hs se intenta entablar comunicaciuon con PC Boye Veronica por su tardanza al servicio, la misma responde 07:24hs que el dia de hoy no se haria presente por estudios medicos, asi mismo manifiesta que mando mail al area de Administracion indicando esto.
CISNEROS 
QUIROGA</t>
      </text>
    </comment>
    <comment authorId="0" ref="AH54">
      <text>
        <t xml:space="preserve">======
ID#AAACExfrUrw
Ayudantes De Guardia    (2026-08-03 20:52:57)
CUBRE ESCARLON 
CISNEROS 
SEBASTIA</t>
      </text>
    </comment>
    <comment authorId="0" ref="AJ87">
      <text>
        <t xml:space="preserve">======
ID#AAACGJ8w-2M
Ayudantes De Guardia    (2026-08-28 17:37:40)
Afectada a la OS 6737.-
Ay Leivas
--------------------------------
06:10HS.-</t>
      </text>
    </comment>
    <comment authorId="0" ref="AI54">
      <text>
        <t xml:space="preserve">======
ID#AAACFvaPxF0
Ayudantes De Guardia    (2026-08-17 14:16:00)
CG CUBRE A  PC CHARON 
CISNEROS 
SEBASTIA</t>
      </text>
    </comment>
    <comment authorId="0" ref="L88">
      <text>
        <t xml:space="preserve">======
ID#AAACE9UavCg
Ayudantes De Guardia    (2026-08-07 10:15:31)
7:13HS</t>
      </text>
    </comment>
    <comment authorId="0" ref="O88">
      <text>
        <t xml:space="preserve">======
ID#AAACFaAFWHs
Ayudantes De Guardia    (2026-08-10 15:48:30)
CAPACITACIÓN EN PUERTO MADERO 07 A 14
BARROS.-</t>
      </text>
    </comment>
    <comment authorId="0" ref="P88">
      <text>
        <t xml:space="preserve">======
ID#AAACFaAFWHw
Ayudantes De Guardia    (2026-08-10 15:48:35)
CAPACITACIÓN EN PUERTO MADERO 07 A 14
BARROS.-</t>
      </text>
    </comment>
    <comment authorId="0" ref="Q88">
      <text>
        <t xml:space="preserve">======
ID#AAACFaAFWH0
Ayudantes De Guardia    (2026-08-10 15:48:39)
CAPACITACIÓN EN PUERTO MADERO 07 A 14
BARROS.-</t>
      </text>
    </comment>
    <comment authorId="0" ref="R88">
      <text>
        <t xml:space="preserve">======
ID#AAACFaAFWH4
Ayudantes De Guardia    (2026-08-10 15:48:44)
CAPACITACIÓN EN PUERTO MADERO 07 A 14
BARROS.-</t>
      </text>
    </comment>
    <comment authorId="0" ref="P22">
      <text>
        <t xml:space="preserve">======
ID#AAACE3uAMwA
Ayudantes De Guardia    (2026-08-05 17:10:08)
CUBRE A LURASCHI
CISNEROS
SEBASTIA
------
ID#AAACFdFK2Mg
Ayudantes De Guardia    (2026-08-11 09:11:52)
6:07HS</t>
      </text>
    </comment>
    <comment authorId="0" ref="S88">
      <text>
        <t xml:space="preserve">======
ID#AAACFaAFWIA
Ayudantes De Guardia    (2026-08-10 15:48:50)
CAPACITACIÓN EN PUERTO MADERO 07 A 14
BARROS.-</t>
      </text>
    </comment>
    <comment authorId="0" ref="R22">
      <text>
        <t xml:space="preserve">======
ID#AAACE3uAMwE
Ayudantes De Guardia    (2026-08-05 17:10:28)
CUBRE LURASCHI
CISNEROS 
SEBASTIA</t>
      </text>
    </comment>
    <comment authorId="0" ref="S22">
      <text>
        <t xml:space="preserve">======
ID#AAACFlNGCv0
Ayudantes De Guardia    (2026-08-14 09:22:37)
06:18HS.-</t>
      </text>
    </comment>
    <comment authorId="0" ref="T22">
      <text>
        <t xml:space="preserve">======
ID#AAACFuBgTkI
Ayudantes De Guardia    (2026-08-15 09:41:14)
06:06</t>
      </text>
    </comment>
    <comment authorId="0" ref="W88">
      <text>
        <t xml:space="preserve">======
ID#AAACFwXmNSA
Ayudantes De Guardia    (2026-08-18 13:07:43)
capacitacion 10 hs.-</t>
      </text>
    </comment>
    <comment authorId="0" ref="Y22">
      <text>
        <t xml:space="preserve">======
ID#AAACFxehKtk
Ayudantes De Guardia    (2026-08-20 10:12:13)
06:30</t>
      </text>
    </comment>
    <comment authorId="0" ref="AB88">
      <text>
        <t xml:space="preserve">======
ID#AAACF3Vocps
Ayudantes De Guardia    (2026-08-23 10:05:38)
en consulta</t>
      </text>
    </comment>
    <comment authorId="0" ref="AC55">
      <text>
        <t xml:space="preserve">======
ID#AAACFvWt1c4
Ayudantes De Guardia    (2026-08-17 12:29:59)
EVENTO RELEVANTE 
CISNEROS 
SEBASTIA</t>
      </text>
    </comment>
    <comment authorId="0" ref="AF22">
      <text>
        <t xml:space="preserve">======
ID#AAACFEf4sEA
Ayudantes De Guardia    (2026-08-27 09:15:30)
06:14</t>
      </text>
    </comment>
    <comment authorId="0" ref="F23">
      <text>
        <t xml:space="preserve">======
ID#AAACElkzVHc
Ayudantes De Guardia    (2026-08-01 09:53:03)
Ingreso 06:42Hs.</t>
      </text>
    </comment>
    <comment authorId="0" ref="G56">
      <text>
        <t xml:space="preserve">======
ID#AAACD7i6ty4
Ayudantes De Guardia    (2026-07-26 13:28:25)
CUBRE A PC VEDDA .-
CISNEROS 
SEBASTIA</t>
      </text>
    </comment>
    <comment authorId="0" ref="G23">
      <text>
        <t xml:space="preserve">======
ID#AAACEvICPNI
Ayudantes De Guardia    (2026-08-02 07:14:06)
Siendo las 03:46hs, se comunico el PC Galeano Belen informando que no asistira al servicio debido a que se encuentra con vomitos y dolor cervical. Enviara certificado medico.
AY CUELLO
JS BENITEZ
------
ID#AAACEvfB1gc
Ayudantes De Guardia    (2026-08-03 00:58:17)
Se recibe certificado médico de  de fecha 02/08 indicando reposo por 48 Hs.-
JS LANGE
AY PEREYRA</t>
      </text>
    </comment>
    <comment authorId="0" ref="N23">
      <text>
        <t xml:space="preserve">======
ID#AAACFY8BA_E
Ayudantes De Guardia    (2026-08-09 09:46:16)
06:44</t>
      </text>
    </comment>
    <comment authorId="0" ref="Q56">
      <text>
        <t xml:space="preserve">======
ID#AAACE9d4HAk
Ayudantes De Guardia    (2026-08-07 11:26:41)
FRANCO SCORING 
CISNEROS 
SEBASTIA</t>
      </text>
    </comment>
    <comment authorId="0" ref="S23">
      <text>
        <t xml:space="preserve">======
ID#AAACFlK1zHA
Ayudantes De Guardia    (2026-08-14 07:27:14)
Siendo las 04:03hs se comunica PC Galeano Belen informando que no se hara presente al servicio debido a mareo y vomitos.-
JS BENITEZ
AYU TIRAVANTI
------
ID#AAACFltFXbo
Ayudantes De Guardia    (2026-08-14 21:23:20)
Se recibe constancia de atencion con fecha 14/08 indicando reposo por 24Hs.
JS LANGE
AY PEREYRA</t>
      </text>
    </comment>
    <comment authorId="0" ref="T23">
      <text>
        <t xml:space="preserve">======
ID#AAACFuBgTkA
Ayudantes De Guardia    (2026-08-15 09:40:13)
06:37</t>
      </text>
    </comment>
    <comment authorId="0" ref="W89">
      <text>
        <t xml:space="preserve">======
ID#AAACFwXmNSE
Ayudantes De Guardia    (2026-08-18 13:07:47)
capacitacion 10 hs.-</t>
      </text>
    </comment>
    <comment authorId="0" ref="U23">
      <text>
        <t xml:space="preserve">======
ID#AAACFuejM_4
Ayudantes De Guardia    (2026-08-16 07:03:20)
04:00 Hs Se comunica PC GALEANO Belen informando no se hara presente debido a dolor cervical. Envia certificado.- 
AY FERNANDEZ
JS MARTINEZ</t>
      </text>
    </comment>
    <comment authorId="0" ref="Y89">
      <text>
        <t xml:space="preserve">======
ID#AAACFy0qnso
Ayudantes De Guardia    (2026-08-20 15:51:34)
Siendo las 09:06hs se comunica PC Dicio Lola manifestando que amaneció con fiebre y está realizando la consulta médica. No se siente en condiciones de asistir a la capacitación.
Barros.-</t>
      </text>
    </comment>
    <comment authorId="0" ref="AB89">
      <text>
        <t xml:space="preserve">======
ID#AAACF3Vocpw
Ayudantes De Guardia    (2026-08-23 10:05:44)
en consulta</t>
      </text>
    </comment>
    <comment authorId="0" ref="Z23">
      <text>
        <t xml:space="preserve">======
ID#AAACFzattYI
Ayudantes De Guardia    (2026-08-20 22:33:14)
Se recibe certificado médico de PC Galeano Belén con fecha 20/08 por 72hs.-
JS LANGE
AY PEREYRA</t>
      </text>
    </comment>
    <comment authorId="0" ref="AC56">
      <text>
        <t xml:space="preserve">======
ID#AAACFvWt1c8
Ayudantes De Guardia    (2026-08-17 12:30:19)
EVENTO RELEVANTE 
CISNEROS 
SEBASTIA</t>
      </text>
    </comment>
    <comment authorId="0" ref="AE23">
      <text>
        <t xml:space="preserve">======
ID#AAACFEf4q9I
Ayudantes De Guardia    (2026-08-26 06:33:27)
Siendo las 21:46hs Se comunico el PC Belen galeano informando que no asistira al servico debido a que hoy tiene estudios medicos.
AY CUELLO 
JS BENITEZ
------
ID#AAACFEf4rIQ
Ayudantes De Guardia    (2026-08-26 15:07:03)
Se recibe constancia de atencion de PC Galeano Belen con fecha 26/8.-
JS AGUIRRE
AY LEIVAS</t>
      </text>
    </comment>
    <comment authorId="0" ref="AF23">
      <text>
        <t xml:space="preserve">======
ID#AAACFEf4sD8
Ayudantes De Guardia    (2026-08-27 09:14:52)
06:13</t>
      </text>
    </comment>
    <comment authorId="0" ref="F57">
      <text>
        <t xml:space="preserve">======
ID#AAACD54fOSY
Ayudantes De Guardia    (2026-07-24 10:47:43)
CUBRE A PC REVAINERA. AUTORIZADO POR PPAL ROMERO.
CISNEROS
QUIROGA</t>
      </text>
    </comment>
    <comment authorId="0" ref="H57">
      <text>
        <t xml:space="preserve">======
ID#AAACBvROzZQ
Ayudantes De Guardia    (2026-08-03 18:52:26)
Se comunico Pc Leiva Carolina informando que al salir se la guardia se presentó a la guardia ya que se sentía mal y le otorgaron 48 hs de reposo. Enviará certificado.
CISNEROS
SEBASTIA
------
ID#AAACExfrUno
Ayudantes De Guardia    (2026-08-03 19:30:02)
Se recibe certificado médico de PC Leiva Carolina con fecha 03/08 indicando reposo por 48hs</t>
      </text>
    </comment>
    <comment authorId="0" ref="J57">
      <text>
        <t xml:space="preserve">======
ID#AAACD54fOSU
Ayudantes De Guardia    (2026-07-24 10:47:12)
CAMBIO DE GUARDIA CUBRE PC REVAINERA. AUTORIZADO POR PPAL ROMERO.
CISNEROS
QUIROGA</t>
      </text>
    </comment>
    <comment authorId="0" ref="N57">
      <text>
        <t xml:space="preserve">======
ID#AAACE9d4HAU
Ayudantes De Guardia    (2026-08-07 11:25:20)
FRANCO SCORING 
CISNEROS 
SEBASTIA</t>
      </text>
    </comment>
    <comment authorId="0" ref="R57">
      <text>
        <t xml:space="preserve">======
ID#AAACEgHzb6Y
Ayudantes De Guardia    (2026-07-30 11:53:08)
CUBRE A PC VEDDA 
CISNEROS 
SEBASTIA</t>
      </text>
    </comment>
    <comment authorId="0" ref="R24">
      <text>
        <t xml:space="preserve">======
ID#AAACFj6DpnM
Ayudantes De Guardia    (2026-08-13 14:27:59)
se retira 13:30 hs por turno medico
cisneros 
sebastia</t>
      </text>
    </comment>
    <comment authorId="0" ref="U24">
      <text>
        <t xml:space="preserve">======
ID#AAACFulMBTU
Ayudantes De Guardia    (2026-08-16 09:41:45)
06:37</t>
      </text>
    </comment>
    <comment authorId="0" ref="W90">
      <text>
        <t xml:space="preserve">======
ID#AAACFwXmNSI
Ayudantes De Guardia    (2026-08-18 13:07:51)
capacitacion 10 hs.-</t>
      </text>
    </comment>
    <comment authorId="0" ref="AB90">
      <text>
        <t xml:space="preserve">======
ID#AAACF3Vocp0
Ayudantes De Guardia    (2026-08-23 10:05:52)
en consulta</t>
      </text>
    </comment>
    <comment authorId="0" ref="AC57">
      <text>
        <t xml:space="preserve">======
ID#AAACF4UxMGY
Ayudantes De Guardia    (2026-08-24 04:25:42)
01:21Hs. Se comunica manifestando que no se hará presente al servicio debido a que se encuentra muy descompuesta y con vomitos. Enviará certificado médico.-
JS LEDESMA
AY PEREYRA</t>
      </text>
    </comment>
    <comment authorId="0" ref="AF57">
      <text>
        <t xml:space="preserve">======
ID#AAACEgHzb60
Ayudantes De Guardia    (2026-07-30 11:55:10)
CUBRE PC VEDDA
CISNEROS 
SEBASTIA</t>
      </text>
    </comment>
    <comment authorId="0" ref="AJ90">
      <text>
        <t xml:space="preserve">======
ID#AAACGNYqgP0
Ayudantes De Guardia    (2026-08-29 06:15:22)
os 7244</t>
      </text>
    </comment>
    <comment authorId="0" ref="F25">
      <text>
        <t xml:space="preserve">======
ID#AAACElkzU04
Ayudantes De Guardia    (2026-08-01 05:35:18)
02:23 Hs Se comunica PC VORPAGEL Agustina informando n ose hara presente debido a fiebre y dolor de cabeza. Envia certificado.- 
AY FERNANDEZ
JS MARTINEZ
------
ID#AAACElkzVvs
Ayudantes De Guardia    (2026-08-01 16:20:32)
Se recibe constancia de atencion medica de PC Vorpagel Agustina con fecha 01/08 indicando reposo por 24 Hs.-
JS. LANGE
AY. ARCE</t>
      </text>
    </comment>
    <comment authorId="0" ref="G25">
      <text>
        <t xml:space="preserve">======
ID#AAACEvICPIM
Ayudantes De Guardia    (2026-08-02 04:43:17)
Siendo las 01:13hs , Se comunica el PC Vorpagel Agustina informando que no se hara presente al servicio debido a que se encuentra descompuesta.
Ay: Cuello
JS. Benitez
Se recibe certificado médico de PC Vorpagel Agustina con fecha 02/08 indicando reposo por 48 Hs.-
JS Aguirre
Garcia</t>
      </text>
    </comment>
    <comment authorId="0" ref="J58">
      <text>
        <t xml:space="preserve">======
ID#AAACE0sgUvI
Ayudantes De Guardia    (2026-08-05 10:27:29)
07:23</t>
      </text>
    </comment>
    <comment authorId="0" ref="N58">
      <text>
        <t xml:space="preserve">======
ID#AAACBvROzF4
Ayudantes De Guardia    (2026-08-03 15:17:43)
Franco autorizado por Scoring del dia 19/07.-
Cisneros
Couso</t>
      </text>
    </comment>
    <comment authorId="0" ref="N25">
      <text>
        <t xml:space="preserve">======
ID#AAACFY8BAQ8
Ayudantes De Guardia    (2026-08-09 09:19:48)
06:19</t>
      </text>
    </comment>
    <comment authorId="0" ref="U58">
      <text>
        <t xml:space="preserve">======
ID#AAACFulMBSg
Ayudantes De Guardia    (2026-08-16 09:32:11)
06:09</t>
      </text>
    </comment>
    <comment authorId="0" ref="V58">
      <text>
        <t xml:space="preserve">======
ID#AAACFvOqzKY
Ayudantes De Guardia    (2026-08-17 10:04:10)
6:12</t>
      </text>
    </comment>
    <comment authorId="0" ref="U25">
      <text>
        <t xml:space="preserve">======
ID#AAACFulMBTY
Ayudantes De Guardia    (2026-08-16 09:41:50)
06:37</t>
      </text>
    </comment>
    <comment authorId="0" ref="AA58">
      <text>
        <t xml:space="preserve">======
ID#AAACF1fnqaQ
Ayudantes De Guardia    (2026-08-22 09:38:24)
Ingreso 06:10Hs.</t>
      </text>
    </comment>
    <comment authorId="0" ref="AB58">
      <text>
        <t xml:space="preserve">======
ID#AAACF3Vocnc
Ayudantes De Guardia    (2026-08-23 04:45:22)
01:43 horas informó el PC Franco SALINAS que no asistirá al servicio debido a que posee malestar estomacal. Enviará certificado médico.-
Barros.-
------
ID#AAACF4BwPX0
Ayudantes De Guardia    (2026-08-23 16:01:26)
Se recibe certificado medico de PC Salinas Franco con fecha 23/08 x 24 hs
SEBASTIA</t>
      </text>
    </comment>
    <comment authorId="0" ref="AC58">
      <text>
        <t xml:space="preserve">======
ID#AAACF4UxMGI
Ayudantes De Guardia    (2026-08-24 04:11:50)
01:09Hs. Se comunica manifestando que no se hará presente al servicio debido a que continua con los mismos sintomas de dolor estomacal y fiebre. Enviará certificado médico.-
JS LEDESMA
AY PEREYRA</t>
      </text>
    </comment>
    <comment authorId="0" ref="AD25">
      <text>
        <t xml:space="preserve">======
ID#AAACE9d4I8Q
Ayudantes De Guardia    (2026-08-07 19:06:05)
Franco por Presentismo autorizado por Subcomisario Lobos.-</t>
      </text>
    </comment>
    <comment authorId="0" ref="AG58">
      <text>
        <t xml:space="preserve">======
ID#AAACFEf4sPk
Ayudantes De Guardia    (2026-08-27 10:52:00)
entrevista con cup
------
ID#AAACGJ8w_DY
Ayudantes De Guardia    (2026-08-28 18:56:08)
Se recibe constancia de asistencia del PC Franco Salinas con fecha 28/08.-
JS AGUIRRE
AY LEIVAS</t>
      </text>
    </comment>
    <comment authorId="0" ref="AH58">
      <text>
        <t xml:space="preserve">======
ID#AAACFdFK2Ts
Ayudantes De Guardia    (2026-08-11 11:51:29)
CUBRE BENDITTI .-
CISNEROS 
SEBASTIA</t>
      </text>
    </comment>
    <comment authorId="0" ref="AJ58">
      <text>
        <t xml:space="preserve">======
ID#AAACFdFK2Tw
Ayudantes De Guardia    (2026-08-11 11:51:40)
CUBRE A BENDITTI .-
CISNEROS 
SEBASTIA
------
ID#AAACGNWVjQQ
Ayudantes De Guardia    (2026-08-31 05:25:16)
01:48Hs. Se comunico PC SALINAS Franco informando no asistira el dia de hoy debido a que se encuentra con fiebre y dolor de garganta. Envia certificado.
AY FERNANDEZ
JS LANGE</t>
      </text>
    </comment>
    <comment authorId="0" ref="F26">
      <text>
        <t xml:space="preserve">======
ID#AAACFj6DpoA
Ayudantes De Guardia    (2026-08-13 14:37:04)
ENTRADA 6:02</t>
      </text>
    </comment>
    <comment authorId="0" ref="G26">
      <text>
        <t xml:space="preserve">======
ID#AAACFj6Dpw8
Ayudantes De Guardia    (2026-08-13 16:40:39)
ENTRADA 6:06</t>
      </text>
    </comment>
    <comment authorId="0" ref="H59">
      <text>
        <t xml:space="preserve">======
ID#AAACD4W3mPM
Ayudantes De Guardia    (2026-07-23 14:00:33)
Cubre el PC ROJAS, Greta.- 
Autorizó el Subcrio LOBOS.- 
Barros.-</t>
      </text>
    </comment>
    <comment authorId="0" ref="H26">
      <text>
        <t xml:space="preserve">======
ID#AAACEvfB17o
Ayudantes De Guardia    (2026-08-03 09:12:27)
06:05</t>
      </text>
    </comment>
    <comment authorId="0" ref="I59">
      <text>
        <t xml:space="preserve">======
ID#AAACD54xZoM
Ayudantes De Guardia    (2026-07-24 13:25:14)
CAMBIO DE GUARDIA, CUBRE PC ROJHAS GRETA. AUTORIZADO POR PPAL ROMERO
CISNEROS 
QUIROGA</t>
      </text>
    </comment>
    <comment authorId="0" ref="J59">
      <text>
        <t xml:space="preserve">======
ID#AAACE0sgUzk
Ayudantes De Guardia    (2026-08-05 12:08:17)
la misma no se hace presente y no responde llamados, se envio movil con resultado negativo.
CISNEROS 
SEBASTIA</t>
      </text>
    </comment>
    <comment authorId="0" ref="I26">
      <text>
        <t xml:space="preserve">======
ID#AAACEzXFTqQ
Ayudantes De Guardia    (2026-08-04 09:23:23)
06:02HS.-</t>
      </text>
    </comment>
    <comment authorId="0" ref="N59">
      <text>
        <t xml:space="preserve">======
ID#AAACFY8A__8
Ayudantes De Guardia    (2026-08-09 07:09:10)
04:07Hs. Se comunica PC ARTESI, Flavia manifestando que no se hará presente al servicio debido a fiebre, dolor de cabeza y vómitos. Presentará certificado médico.-
JS. LANGE
AY. ARCE
------
ID#AAACFY8BBhQ
Ayudantes De Guardia    (2026-08-09 15:41:48)
Se recibe certificado de PC Artesi Flavia, el mismo con fecha 09/08 indica 48 hs de reposo.</t>
      </text>
    </comment>
    <comment authorId="0" ref="R59">
      <text>
        <t xml:space="preserve">======
ID#AAACD54xZog
Ayudantes De Guardia    (2026-07-24 13:26:09)
CUBRE A PC GRETA ROJAS. AUTORIZADO POR PPAL ROMERO
CISNEROS 
QUIROGA</t>
      </text>
    </comment>
    <comment authorId="0" ref="AB59">
      <text>
        <t xml:space="preserve">======
ID#AAACF3Vocog
Ayudantes De Guardia    (2026-08-23 07:18:06)
04:15 el PC Flavia ARTESI informa que no asistirá debido a dolor cervical y mareos.-
Barros.-
------
ID#AAACF4UxLws
Ayudantes De Guardia    (2026-08-23 23:37:15)
Se recibe certificado del 23/08 indicando reposo por 24hs.-
JS LEDESMA
AY PEREYRA</t>
      </text>
    </comment>
    <comment authorId="0" ref="AD59">
      <text>
        <t xml:space="preserve">======
ID#AAACD4W3mPk
Ayudantes De Guardia    (2026-07-23 14:02:33)
Cunre al PC ROJAS Greta.- 
Barros.-
------
ID#AAACF6albqU
Ayudantes De Guardia    (2026-08-25 09:50:54)
AUSENTE SIN AVISO</t>
      </text>
    </comment>
    <comment authorId="0" ref="F27">
      <text>
        <t xml:space="preserve">======
ID#AAACElkzU0w
Ayudantes De Guardia    (2026-08-01 05:34:49)
02:23 Hs Se comunica PC VORPAGEL Agustina informando n ose hara presente debido a fiebre y dolor de cabeza. Envia certificado.- 
AY FERNANDEZ
JS MARTINEZ
------
ID#AAACElkzWHE
Ayudantes De Guardia    (2026-08-01 22:15:36)
Se recibe certificado por 24hs.
AY: CUELLO
JS: BENITEZ</t>
      </text>
    </comment>
    <comment authorId="0" ref="G27">
      <text>
        <t xml:space="preserve">======
ID#AAACEvICPKA
Ayudantes De Guardia    (2026-08-02 05:19:41)
Siendo las 02:03hs, se comunica el PC Arrigoni Ailin informando que no se hara presente al servicio debido a que se encuentra con dolor de estomago, Enviara certificado medico.
Ay Cuello 
JS Benitez
------
ID#AAACEvfB1i0
Ayudantes De Guardia    (2026-08-03 01:20:10)
Se recibe certificado médico de PC Ailin Arrigoni de fecha 02/08 indicando reposo por 24 Hs.-
JS. LANGE
AY. ARCE</t>
      </text>
    </comment>
    <comment authorId="0" ref="K27">
      <text>
        <t xml:space="preserve">======
ID#AAACFX566sM
Ayudantes De Guardia    (2026-08-08 16:46:23)
Se recibe certificado medico de PC Arrigoni Ailin con fecha 6/8 por 72hs.-
AY FERNANDEZ
JS MARTINEZ</t>
      </text>
    </comment>
    <comment authorId="0" ref="M27">
      <text>
        <t xml:space="preserve">======
ID#AAACE9d4M7U
Ayudantes De Guardia    (2026-08-08 06:26:28)
Siendo las 23:55hs se comunica PC Arrigoni Ailin informando que no se hara presente al servicio debido a infeccion urinaria y que se encuentra con resposo, no informa si enviara certificado medico.-
JS BENITEZ
AYU TIRAVANTI</t>
      </text>
    </comment>
    <comment authorId="0" ref="N27">
      <text>
        <t xml:space="preserve">======
ID#AAACE9d4I74
Ayudantes De Guardia    (2026-08-07 19:03:36)
Franco por Presentismo autorizado por Subcomisario Lobos.-</t>
      </text>
    </comment>
    <comment authorId="0" ref="O27">
      <text>
        <t xml:space="preserve">======
ID#AAACFaAFVhk
Ayudantes De Guardia    (2026-08-10 06:29:59)
Siendo las 03:08 Hs. Se comunica PC. ARRIGONI Ailin, informando que no se hara presente debido a infeccion urinaria. Envia certificado.-
Ay. Barrios. 
Js. Martinez.-
------
ID#AAACFaAFWLQ
Ayudantes De Guardia    (2026-08-10 16:30:08)
Se recibe de PC Arrigoni Ailin certificado con fecha 10/08 x 24 hs.
JS: AGUIRRE
AY: PAZ</t>
      </text>
    </comment>
    <comment authorId="0" ref="U27">
      <text>
        <t xml:space="preserve">======
ID#AAACFg3VQno
Ayudantes De Guardia    (2026-08-12 21:52:36)
Scoring Julio. Autorizó la Subcrio LOBOS.-
Barros.-</t>
      </text>
    </comment>
    <comment authorId="0" ref="AA27">
      <text>
        <t xml:space="preserve">======
ID#AAACF1fnqZA
Ayudantes De Guardia    (2026-08-22 05:32:46)
02:20 Hs Se comunica PC ARRIGONI Ailin informando no se hara presente debido a que se encuentra con fiebre y malestar. Envia certificado.- 
AY FERNANDEZ
JS MARTINEZ
------
ID#AAACF29xfd8
Ayudantes De Guardia    (2026-08-23 02:44:30)
Se recibe certificado medico por 24hs. 
Ay Cuello
Js: Benitez</t>
      </text>
    </comment>
    <comment authorId="0" ref="AG27">
      <text>
        <t xml:space="preserve">======
ID#AAACFADrvhY
Ayudantes De Guardia    (2026-08-20 19:41:28)
Cubre el PC REVAINERA, autorizó el Subcrio LOBOS.- 
Barros.-</t>
      </text>
    </comment>
    <comment authorId="0" ref="AJ27">
      <text>
        <t xml:space="preserve">======
ID#AAACFADrvhc
Ayudantes De Guardia    (2026-08-20 19:41:55)
Cubre al PC REVAINERA. 
Barros.-</t>
      </text>
    </comment>
    <comment authorId="0" ref="S94">
      <text>
        <t xml:space="preserve">======
ID#AAACFlXutxw
División Centros de Monitoreo Urbano    (2026-08-14 16:54:18)
07:01</t>
      </text>
    </comment>
    <comment authorId="0" ref="V94">
      <text>
        <t xml:space="preserve">======
ID#AAACFlXutwo
Ayudantes De Guardia    (2026-08-14 16:15:51)
franco autorizado por la superioridad.-
JS: AGUIRRE
AY: PAZ</t>
      </text>
    </comment>
    <comment authorId="0" ref="AC28">
      <text>
        <t xml:space="preserve">======
ID#AAACFxgwuWY
Ayudantes De Guardia    (2026-08-19 14:18:46)
CG CUBRE A PC LURASCHI 
CISNEROS 
SEBASTIA</t>
      </text>
    </comment>
    <comment authorId="0" ref="AD28">
      <text>
        <t xml:space="preserve">======
ID#AAACFxgwuWc
Ayudantes De Guardia    (2026-08-19 14:19:26)
CG CUBRE  PC LURASCHI 
CISNEROS
SEBASTIA</t>
      </text>
    </comment>
    <comment authorId="0" ref="AG28">
      <text>
        <t xml:space="preserve">======
ID#AAACE9d4I8U
Ayudantes De Guardia    (2026-08-07 19:06:26)
Franco por Presentismo autorizado por Subcomisario Lobos.-</t>
      </text>
    </comment>
    <comment authorId="0" ref="AJ94">
      <text>
        <t xml:space="preserve">======
ID#AAACFHzHStE
Ayudantes De Guardia    (2026-08-31 10:08:52)
07:04HS.-</t>
      </text>
    </comment>
    <comment authorId="0" ref="G29">
      <text>
        <t xml:space="preserve">======
ID#AAACFj6DpyE
Ayudantes De Guardia    (2026-08-13 16:49:16)
ENTRADA 6:17</t>
      </text>
    </comment>
    <comment authorId="0" ref="I29">
      <text>
        <t xml:space="preserve">======
ID#AAACEzXFTqc
Ayudantes De Guardia    (2026-08-04 09:26:14)
06:05HS.-</t>
      </text>
    </comment>
    <comment authorId="0" ref="AD29">
      <text>
        <t xml:space="preserve">======
ID#AAACF6albqQ
Ayudantes De Guardia    (2026-08-25 09:37:29)
04:02Hs. Se comunica PC ROMANOS Brian el mismo informa no se hará presente debido a que se encuentra con diarrea. Envia certificado.
CISNEROS 
QUIROGA
------
ID#AAACF6albto
Ayudantes De Guardia    (2026-08-25 15:40:39)
Se recibe de PC Romanos Brian certificado mèdico con fecha 25/8 indicando 48 hs de reposo
CISNEROS
QUIROGA</t>
      </text>
    </comment>
    <comment authorId="0" ref="AF29">
      <text>
        <t xml:space="preserve">======
ID#AAACFEf4sDw
Ayudantes De Guardia    (2026-08-27 09:08:13)
06:07</t>
      </text>
    </comment>
    <comment authorId="0" ref="L63">
      <text>
        <t xml:space="preserve">======
ID#AAACEHk0iHU
Ayudantes De Guardia    (2026-07-27 10:38:03)
SE RETIRA 2HS ANTES
AUX. GARCIA</t>
      </text>
    </comment>
    <comment authorId="0" ref="M63">
      <text>
        <t xml:space="preserve">======
ID#AAACEHk0iHQ
Ayudantes De Guardia    (2026-07-27 10:37:34)
FRNACO POR MONITOREO.-
AUX. GARCÍA</t>
      </text>
    </comment>
    <comment authorId="0" ref="P63">
      <text>
        <t xml:space="preserve">======
ID#AAACEHk0iHg
Ayudantes De Guardia    (2026-07-27 10:39:02)
SE RETIRA 1HS ANTES
AUX. GARCIA</t>
      </text>
    </comment>
    <comment authorId="0" ref="Q63">
      <text>
        <t xml:space="preserve">======
ID#AAACEHk0iHc
Ayudantes De Guardia    (2026-07-27 10:38:59)
SE RETIRA 1HS ANTES
Barros.-</t>
      </text>
    </comment>
    <comment authorId="0" ref="R63">
      <text>
        <t xml:space="preserve">======
ID#AAACFj6DpU0
Ayudantes De Guardia    (2026-08-13 09:13:38)
06:11</t>
      </text>
    </comment>
    <comment authorId="0" ref="V63">
      <text>
        <t xml:space="preserve">======
ID#AAACFvOqzKM
Ayudantes De Guardia    (2026-08-17 10:02:28)
6:22</t>
      </text>
    </comment>
    <comment authorId="0" ref="W30">
      <text>
        <t xml:space="preserve">======
ID#AAACFwXmNSM
Ayudantes De Guardia    (2026-08-18 13:08:17)
Capacitacion 10hs.-</t>
      </text>
    </comment>
    <comment authorId="0" ref="Y63">
      <text>
        <t xml:space="preserve">======
ID#AAACFxehKrY
Ayudantes De Guardia    (2026-08-20 09:28:52)
06:14</t>
      </text>
    </comment>
    <comment authorId="0" ref="AC63">
      <text>
        <t xml:space="preserve">======
ID#AAACF4UxMMo
Ayudantes De Guardia    (2026-08-24 09:22:37)
6:12HS</t>
      </text>
    </comment>
    <comment authorId="0" ref="AE30">
      <text>
        <t xml:space="preserve">======
ID#AAACFDX_Pi4
Ayudantes De Guardia    (2026-08-25 16:49:48)
control de estres 10 hs</t>
      </text>
    </comment>
    <comment authorId="0" ref="AG63">
      <text>
        <t xml:space="preserve">======
ID#AAACEgdhots
Ayudantes De Guardia    (2026-07-30 16:02:18)
11:00hs - Capacitación con Coordinación general en Materia de Discapacidad - Hornos 238, PB (SUM)"</t>
      </text>
    </comment>
    <comment authorId="0" ref="AH63">
      <text>
        <t xml:space="preserve">======
ID#AAACFw7ABBo
Ayudantes De Guardia    (2026-08-18 19:54:59)
Scoring. Autorizó la Subcrio LOBOS.- 
Barros.-</t>
      </text>
    </comment>
    <comment authorId="0" ref="F64">
      <text>
        <t xml:space="preserve">======
ID#AAACElkzVCU
Ayudantes De Guardia    (2026-08-01 09:19:43)
Ingreso 06:11Hs.</t>
      </text>
    </comment>
    <comment authorId="0" ref="J64">
      <text>
        <t xml:space="preserve">======
ID#AAACE0sgUpo
Ayudantes De Guardia    (2026-08-05 09:09:32)
06:05</t>
      </text>
    </comment>
    <comment authorId="0" ref="K64">
      <text>
        <t xml:space="preserve">======
ID#AAACE3uANhk
Ayudantes De Guardia    (2026-08-06 04:21:17)
01:18Hs. Se comunica AUX. ORDOÑEZ, Lucas manifestando que no se hará presente al servicio debido a fiebre, dolor de cuerpo y garganta. Enviará certificado médico. Validará en San Martín.-
JS. LANGE
AY. ARCE
------
ID#AAACE3uAOBE
Ayudantes De Guardia    (2026-08-06 11:07:04)
Se recibe certificado medico de Aux Ordoñez Lucas con fechas de 06/08 indicando reposo por 48 hs.
JS: AGUIRRE
AY: PAZ</t>
      </text>
    </comment>
    <comment authorId="0" ref="M64">
      <text>
        <t xml:space="preserve">======
ID#AAACE9d4M6k
Ayudantes De Guardia    (2026-08-08 05:43:10)
Siendo las 02:26hs se comunica Aux. Ordoñez Lucas informando que extendera licencia medica, no refiere sintomas.-
JS BENITEZ
AYU TIRAVANTI</t>
      </text>
    </comment>
    <comment authorId="0" ref="F65">
      <text>
        <t xml:space="preserve">======
ID#AAACElkzVDM
Ayudantes De Guardia    (2026-08-01 09:30:16)
Ingreso 06:20Hs.</t>
      </text>
    </comment>
    <comment authorId="0" ref="H98">
      <text>
        <t xml:space="preserve">======
ID#AAACEvfB1_w
Ayudantes De Guardia    (2026-08-03 10:05:09)
07:03</t>
      </text>
    </comment>
    <comment authorId="0" ref="I98">
      <text>
        <t xml:space="preserve">======
ID#AAACEzanGC8
Ayudantes De Guardia    (2026-08-04 16:17:16)
07:03HS.-</t>
      </text>
    </comment>
    <comment authorId="0" ref="K98">
      <text>
        <t xml:space="preserve">======
ID#AAACFlXutx0
División Centros de Monitoreo Urbano    (2026-08-14 16:54:52)
07:01</t>
      </text>
    </comment>
    <comment authorId="0" ref="J65">
      <text>
        <t xml:space="preserve">======
ID#AAACE0sgUpk
Ayudantes De Guardia    (2026-08-05 09:09:12)
06.04</t>
      </text>
    </comment>
    <comment authorId="0" ref="L98">
      <text>
        <t xml:space="preserve">======
ID#AAACE9UavCk
Ayudantes De Guardia    (2026-08-07 10:17:13)
7:13HS</t>
      </text>
    </comment>
    <comment authorId="0" ref="K65">
      <text>
        <t xml:space="preserve">======
ID#AAACE3uAN90
Ayudantes De Guardia    (2026-08-06 09:06:57)
06:05HS.-</t>
      </text>
    </comment>
    <comment authorId="0" ref="O98">
      <text>
        <t xml:space="preserve">======
ID#AAACFaAFVwU
Ayudantes De Guardia    (2026-08-10 10:21:56)
07:18HS-</t>
      </text>
    </comment>
    <comment authorId="0" ref="P98">
      <text>
        <t xml:space="preserve">======
ID#AAACFlXutx8
División Centros de Monitoreo Urbano    (2026-08-14 16:55:14)
08:16</t>
      </text>
    </comment>
    <comment authorId="0" ref="Q98">
      <text>
        <t xml:space="preserve">======
ID#AAACFlXutyA
División Centros de Monitoreo Urbano    (2026-08-14 16:55:27)
07:23</t>
      </text>
    </comment>
    <comment authorId="0" ref="P65">
      <text>
        <t xml:space="preserve">======
ID#AAACFdFK2SA
Ayudantes De Guardia    (2026-08-11 11:17:09)
08:16 HS</t>
      </text>
    </comment>
    <comment authorId="0" ref="S98">
      <text>
        <t xml:space="preserve">======
ID#AAACFlXutyI
División Centros de Monitoreo Urbano    (2026-08-14 16:55:50)
07:22</t>
      </text>
    </comment>
    <comment authorId="0" ref="X98">
      <text>
        <t xml:space="preserve">======
ID#AAACFxgwt00
Ayudantes De Guardia    (2026-08-19 10:21:01)
07:17</t>
      </text>
    </comment>
    <comment authorId="0" ref="Y98">
      <text>
        <t xml:space="preserve">======
ID#AAACFyYNwOU
Ayudantes De Guardia    (2026-08-20 05:14:45)
Siendo las 00:38hs se comunica Aux. Chavez Hernan informando que no se hara presente al servicio debido a fiebre, dolor de cabeza y garganta, enviara certificado medico, valida en Banfield.-
JS BENITEZ
AYU TIRAVANTI</t>
      </text>
    </comment>
    <comment authorId="0" ref="Y65">
      <text>
        <t xml:space="preserve">======
ID#AAACFxehKrA
Ayudantes De Guardia    (2026-08-20 09:23:12)
06:10HS.-</t>
      </text>
    </comment>
    <comment authorId="0" ref="AC98">
      <text>
        <t xml:space="preserve">======
ID#AAACF4UxMUE
División Centros de Monitoreo Urbano    (2026-08-24 14:36:30)
07:15 HS</t>
      </text>
    </comment>
    <comment authorId="0" ref="AB65">
      <text>
        <t xml:space="preserve">======
ID#AAACF3Vocn4
Ayudantes De Guardia    (2026-08-23 05:40:57)
02:34 horas informó el PC Natanael ASTARGO que no asistirá al servicio debido a que posee vómitos y fiebre. Adeuda certificado médico.-
Barros.-
------
ID#AAACF4Hn3M0
Ayudantes De Guardia    (2026-08-23 21:57:33)
Se recibe certificado de PC Astargo del 23/08 reposo por 24hs.-
JS LEDESMA
AY PEREYRA</t>
      </text>
    </comment>
    <comment authorId="0" ref="AC65">
      <text>
        <t xml:space="preserve">======
ID#AAACF4UxMNk
División Centros de Monitoreo Urbano    (2026-08-24 11:06:31)
06:55 HS</t>
      </text>
    </comment>
    <comment authorId="0" ref="AE98">
      <text>
        <t xml:space="preserve">======
ID#AAACFEf4rEA
Ayudantes De Guardia    (2026-08-26 10:46:12)
7:08HS</t>
      </text>
    </comment>
    <comment authorId="0" ref="AG98">
      <text>
        <t xml:space="preserve">======
ID#AAACGJ8w-tY
Ayudantes De Guardia    (2026-08-28 10:14:18)
7:12HS</t>
      </text>
    </comment>
    <comment authorId="0" ref="AH65">
      <text>
        <t xml:space="preserve">======
ID#AAACGNYqgPk
Ayudantes De Guardia    (2026-08-29 05:59:52)
Os 7239</t>
      </text>
    </comment>
    <comment authorId="0" ref="AI65">
      <text>
        <t xml:space="preserve">======
ID#AAACGNYqgPo
Ayudantes De Guardia    (2026-08-29 06:00:02)
Os 7239</t>
      </text>
    </comment>
    <comment authorId="0" ref="AJ98">
      <text>
        <t xml:space="preserve">======
ID#AAACFHzHStI
Ayudantes De Guardia    (2026-08-31 10:09:30)
07:08HS.-</t>
      </text>
    </comment>
    <comment authorId="0" ref="AJ65">
      <text>
        <t xml:space="preserve">======
ID#AAACGNYqgQI
Ayudantes De Guardia    (2026-08-29 06:37:44)
7252 OS</t>
      </text>
    </comment>
    <comment authorId="0" ref="F66">
      <text>
        <t xml:space="preserve">======
ID#AAACElkzVCI
Ayudantes De Guardia    (2026-08-01 09:18:39)
Ingreso 06:08Hs.</t>
      </text>
    </comment>
    <comment authorId="0" ref="J66">
      <text>
        <t xml:space="preserve">======
ID#AAACE0sgUp4
Ayudantes De Guardia    (2026-08-05 09:12:46)
06:10</t>
      </text>
    </comment>
    <comment authorId="0" ref="K66">
      <text>
        <t xml:space="preserve">======
ID#AAACE3uAN-A
Ayudantes De Guardia    (2026-08-06 09:08:24)
06:07HS.-</t>
      </text>
    </comment>
    <comment authorId="0" ref="L66">
      <text>
        <t xml:space="preserve">======
ID#AAACE9Uau9k
Ayudantes De Guardia    (2026-08-07 09:18:27)
6:15HS</t>
      </text>
    </comment>
    <comment authorId="0" ref="M66">
      <text>
        <t xml:space="preserve">======
ID#AAACFlXutvQ
División Centros de Monitoreo Urbano    (2026-08-14 15:53:43)
06:28</t>
      </text>
    </comment>
    <comment authorId="0" ref="N66">
      <text>
        <t xml:space="preserve">======
ID#AAACEjCaq5U
Ayudantes De Guardia    (2026-07-31 18:57:32)
Cubre a PC Rojas Melanie.
Autotizo Ppal. Arguello.
JS Aguirre.
Ayte García
------
ID#AAACFY8BA-8
Ayudantes De Guardia    (2026-08-09 09:43:14)
06:40</t>
      </text>
    </comment>
    <comment authorId="0" ref="P66">
      <text>
        <t xml:space="preserve">======
ID#AAACFdFK2M4
Ayudantes De Guardia    (2026-08-11 09:18:02)
06:17</t>
      </text>
    </comment>
    <comment authorId="0" ref="Q66">
      <text>
        <t xml:space="preserve">======
ID#AAACFg3VPMY
Ayudantes De Guardia    (2026-08-12 10:08:34)
06:40HS.-</t>
      </text>
    </comment>
    <comment authorId="0" ref="R66">
      <text>
        <t xml:space="preserve">======
ID#AAACEjCaq5I
Ayudantes De Guardia    (2026-07-31 18:50:47)
Cubre PC Rojas Melanie.
Autotizo Ppal. Arguello.
JS Aguirre.
Ayte García</t>
      </text>
    </comment>
    <comment authorId="0" ref="AC66">
      <text>
        <t xml:space="preserve">======
ID#AAACF4UxMM4
Ayudantes De Guardia    (2026-08-24 09:24:00)
6:17HS</t>
      </text>
    </comment>
    <comment authorId="0" ref="AD66">
      <text>
        <t xml:space="preserve">======
ID#AAACF6albqE
Ayudantes De Guardia    (2026-08-25 09:26:35)
06:16</t>
      </text>
    </comment>
  </commentList>
  <extLst>
    <ext uri="GoogleSheetsCustomDataVersion2">
      <go:sheetsCustomData xmlns:go="http://customooxmlschemas.google.com/" r:id="rId1" roundtripDataSignature="AMtx7mjsOrN8iVXXKR0X7Fp/bMWz/BKKjQ=="/>
    </ext>
  </extL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G33">
      <text>
        <t xml:space="preserve">======
ID#AAACFEf4raM
Ayudantes De Guardia    (2026-08-26 20:49:26)
OS 7135.-
Barros.-</t>
      </text>
    </comment>
    <comment authorId="0" ref="AH33">
      <text>
        <t xml:space="preserve">======
ID#AAACFEf4raQ
Ayudantes De Guardia    (2026-08-26 20:49:30)
OS 7135.-
Barros.-</t>
      </text>
    </comment>
    <comment authorId="0" ref="AI33">
      <text>
        <t xml:space="preserve">======
ID#AAACFEf4raU
Ayudantes De Guardia    (2026-08-26 20:49:33)
OS 7135.-
Barros.-</t>
      </text>
    </comment>
    <comment authorId="0" ref="I34">
      <text>
        <t xml:space="preserve">======
ID#AAACEzanGoo
Ayudantes De Guardia    (2026-08-04 18:30:49)
15:29HS.-</t>
      </text>
    </comment>
    <comment authorId="0" ref="J34">
      <text>
        <t xml:space="preserve">======
ID#AAACE3uAMwU
Ayudantes De Guardia    (2026-08-05 17:17:43)
14.16</t>
      </text>
    </comment>
    <comment authorId="0" ref="K34">
      <text>
        <t xml:space="preserve">======
ID#AAACE3uAOrA
Ayudantes De Guardia    (2026-08-06 17:35:22)
14:09HS.-</t>
      </text>
    </comment>
    <comment authorId="0" ref="M67">
      <text>
        <t xml:space="preserve">======
ID#AAACEjCaqIg
Ayudantes De Guardia    (2026-07-31 06:01:35)
POR DEV. DE HORAS REALIZA DE 14 A 18HS.-
JS. LANGE
AY. ARCE</t>
      </text>
    </comment>
    <comment authorId="0" ref="O34">
      <text>
        <t xml:space="preserve">======
ID#AAACFaAFWG8
Ayudantes De Guardia    (2026-08-10 15:38:06)
Siendo las 12:21 Hs.- se comunica PC. Herrera German infomando que no asistirá al servicio debido a que irá al medico en breve, ya que se encuentra con dolor de cabeza y vista. 
JS: AGUIRRE
AY:PAZ
------
ID#AAACFaAFXcg
Ayudantes De Guardia    (2026-08-10 23:23:41)
Se recibe constancia de atención de PC herrera German con fecha 10/08 por 24 hs.-
------
ID#AAACFaAFXck
Ayudantes De Guardia    (2026-08-10 23:23:50)
Se recibe constancia de atención de PC herrera German con fecha 10/08 por 24 hs.-</t>
      </text>
    </comment>
    <comment authorId="0" ref="P34">
      <text>
        <t xml:space="preserve">======
ID#AAACFeh6Jb8
Ayudantes De Guardia    (2026-08-11 17:09:13)
14:08</t>
      </text>
    </comment>
    <comment authorId="0" ref="Q34">
      <text>
        <t xml:space="preserve">======
ID#AAACFg3VQKE
Ayudantes De Guardia    (2026-08-12 17:12:57)
14:12HS.-</t>
      </text>
    </comment>
    <comment authorId="0" ref="W34">
      <text>
        <t xml:space="preserve">======
ID#AAACD8WzD6g
Ayudantes De Guardia    (2026-07-25 13:00:48)
SE RETIRA A LAS 18 DEBIDO A HORAS FRANCAS POR SERVICIO DEL 19/07.-
JS BENITEZ
AYU TIRAVANTI</t>
      </text>
    </comment>
    <comment authorId="0" ref="Z34">
      <text>
        <t xml:space="preserve">======
ID#AAACF1RFInE
Ayudantes De Guardia    (2026-08-21 17:24:42)
14:24</t>
      </text>
    </comment>
    <comment authorId="0" ref="AA34">
      <text>
        <t xml:space="preserve">======
ID#AAACF29xfYs
Ayudantes De Guardia    (2026-08-22 17:21:24)
Ingreso 14:18Hs.</t>
      </text>
    </comment>
    <comment authorId="0" ref="AB34">
      <text>
        <t xml:space="preserve">======
ID#AAACF4CqGRg
Ayudantes De Guardia    (2026-08-23 17:21:52)
14:21</t>
      </text>
    </comment>
    <comment authorId="0" ref="AC34">
      <text>
        <t xml:space="preserve">======
ID#AAACF4UxMUU
Ayudantes De Guardia    (2026-08-24 14:40:15)
Siendo las 11:38hs. se comunica PC Herrera German "Buen dia,quería avisar que me siento mal,me duele la vista y dolor dd la frente hasta la nuca,no creo poder presentarme hoy,de dicha forma iré al médico"
JS LAHITTE
AY LEIVAS
------
ID#AAACF6albsA
Ayudantes De Guardia    (2026-08-25 13:02:17)
Se recibe constancia de atencion medica de PC Herrera German con fecha 24/08 justificando el dia.
CISNEROS 
QUIROGA</t>
      </text>
    </comment>
    <comment authorId="0" ref="AD67">
      <text>
        <t xml:space="preserve">======
ID#AAACE3uAN1M
Ayudantes De Guardia    (2026-08-06 07:10:19)
Franco por presentismo. Autorizado por el Ppal. Kelly.-
JS. LANGE
AY. ARCE</t>
      </text>
    </comment>
    <comment authorId="0" ref="AG34">
      <text>
        <t xml:space="preserve">======
ID#AAACGJ8w-04
Ayudantes De Guardia    (2026-08-28 17:03:07)
14:01HS</t>
      </text>
    </comment>
    <comment authorId="0" ref="AH67">
      <text>
        <t xml:space="preserve">======
ID#AAACFYv0mqY
Ayudantes De Guardia    (2026-08-09 03:04:51)
Franco por scoring carta/frecuencia. Autorizado por el Ppal. Berdun.-
JS. LANGE
AY. ARCE</t>
      </text>
    </comment>
    <comment authorId="0" ref="AH34">
      <text>
        <t xml:space="preserve">======
ID#AAACGNYqgVI
Ayudantes De Guardia    (2026-08-29 17:09:45)
14:07</t>
      </text>
    </comment>
    <comment authorId="0" ref="J68">
      <text>
        <t xml:space="preserve">======
ID#AAACE3uAMrk
Ayudantes De Guardia    (2026-08-05 15:39:41)
De comunica PC Lima Marcelo informando que no se hara presente por encontrarse enfermo. Enviará certificado
CISNEROS 
QUIROGA
------
ID#AAACE3uAM4c
Ayudantes De Guardia    (2026-08-05 19:00:29)
Se recibe constancia de atencion medica de PC Lima Marcelo con fecha 05/08 indicando reposo por 48 Hs.-
CISNEROS 
SEBASTIA</t>
      </text>
    </comment>
    <comment authorId="0" ref="M35">
      <text>
        <t xml:space="preserve">======
ID#AAACExfrW2M
Ayudantes De Guardia    (2026-08-04 07:41:47)
CUBRE A PC FARIAS AUTORIZADO POR PPAL KELLY
AY FERNANDEZ
JS MARTINEZ</t>
      </text>
    </comment>
    <comment authorId="0" ref="P68">
      <text>
        <t xml:space="preserve">======
ID#AAACFYv0mqU
Ayudantes De Guardia    (2026-08-09 03:04:11)
Franco por scoring monitoreo. Autorizado por el Ppal. Berdun.-
JS. LANGE
AY. ARCE</t>
      </text>
    </comment>
    <comment authorId="0" ref="Q35">
      <text>
        <t xml:space="preserve">======
ID#AAACExfrW2I
Ayudantes De Guardia    (2026-08-04 07:41:30)
CUBRE PC FARIAS AUTORIZADO POR PPAL KELLY
AY FERNANDEZ
JS MARTINEZ</t>
      </text>
    </comment>
    <comment authorId="0" ref="AC68">
      <text>
        <t xml:space="preserve">======
ID#AAACF4UxMUs
Ayudantes De Guardia    (2026-08-24 14:50:25)
Siendo las 11:49hs se comunica PC Lima Marcelo informando SIC "Buenos días, quería avisar que hoy no voy a poder asistir, estoy con fiebre y vomitos, luego envío el certificado correspondiente. Muchas gracias. Saludos."
JS LAHITTE
AY LEIVAS</t>
      </text>
    </comment>
    <comment authorId="0" ref="AB35">
      <text>
        <t xml:space="preserve">======
ID#AAACF4CqGRY
Ayudantes De Guardia    (2026-08-23 17:20:40)
14:16</t>
      </text>
    </comment>
    <comment authorId="0" ref="AH68">
      <text>
        <t xml:space="preserve">======
ID#AAACE3uAN1Q
Ayudantes De Guardia    (2026-08-06 07:10:35)
Franco por presentismo. Autorizado por el Ppal. Kelly.-
JS. LANGE
AY. ARCE</t>
      </text>
    </comment>
    <comment authorId="0" ref="AI68">
      <text>
        <t xml:space="preserve">======
ID#AAACFwKWwjc
Ayudantes De Guardia    (2026-08-18 04:44:33)
Franco compensatorio por procedimientos respecto a la OI 142/2026.-
JS LANGE
AY PEREYRA</t>
      </text>
    </comment>
    <comment authorId="0" ref="AH35">
      <text>
        <t xml:space="preserve">======
ID#AAACGNYqgPI
Ayudantes De Guardia    (2026-08-29 05:42:05)
OS 7234</t>
      </text>
    </comment>
    <comment authorId="0" ref="AJ68">
      <text>
        <t xml:space="preserve">======
ID#AAACGJ8w-2I
Ayudantes De Guardia    (2026-08-28 17:35:36)
Afectado a la OS 6737.-
Ay Leivas
AUSENTE SIN AVISO</t>
      </text>
    </comment>
    <comment authorId="0" ref="AI35">
      <text>
        <t xml:space="preserve">======
ID#AAACGOBaAy0
Ayudantes De Guardia    (2026-08-30 17:27:23)
14:12</t>
      </text>
    </comment>
    <comment authorId="0" ref="L69">
      <text>
        <t xml:space="preserve">======
ID#AAACE9d4Ixo
Ayudantes De Guardia    (2026-08-07 17:19:03)
14:16</t>
      </text>
    </comment>
    <comment authorId="0" ref="M69">
      <text>
        <t xml:space="preserve">======
ID#AAACFlioRdk
División Centros de Monitoreo Urbano    (2026-08-14 18:17:19)
14:34 HS</t>
      </text>
    </comment>
    <comment authorId="0" ref="W69">
      <text>
        <t xml:space="preserve">======
ID#AAACFw3vL6E
Ayudantes De Guardia    (2026-08-18 17:56:30)
14:49HS</t>
      </text>
    </comment>
    <comment authorId="0" ref="AB69">
      <text>
        <t xml:space="preserve">======
ID#AAACFxUTQ0s
Ayudantes De Guardia    (2026-08-19 08:57:28)
Cambio de guardia con PC GONZALEZ Monica autorizado por Ppal. Monteros.
Ayud. Aguilar
JS. Martinez</t>
      </text>
    </comment>
    <comment authorId="0" ref="AB36">
      <text>
        <t xml:space="preserve">======
ID#AAACF4CqGRM
Ayudantes De Guardia    (2026-08-23 17:15:35)
14:01</t>
      </text>
    </comment>
    <comment authorId="0" ref="AG69">
      <text>
        <t xml:space="preserve">======
ID#AAACFxUTQ0w
Ayudantes De Guardia    (2026-08-19 08:57:48)
Cubre a PC Gonzalez Mónica autorizado por Ppal. Monteros.
Ayud. Aguilar
JS. Martinez.-</t>
      </text>
    </comment>
    <comment authorId="0" ref="AF3">
      <text>
        <t xml:space="preserve">======
ID#AAACFEf4sQI
Ayudantes De Guardia    (2026-08-27 12:45:36)
Se comunica Auxiliar Isleño informando que no se hara presente por descompostura. Al momento no informa donde valida .</t>
      </text>
    </comment>
    <comment authorId="0" ref="AI36">
      <text>
        <t xml:space="preserve">======
ID#AAACE0sgUm8
Ayudantes De Guardia    (2026-08-05 08:21:33)
FRANCO POR PRESENTISMO AUTORIZADO POR PPAL ARGUELLO.-
JS BENITEZ
AYU TIRAVANTI</t>
      </text>
    </comment>
    <comment authorId="0" ref="F70">
      <text>
        <t xml:space="preserve">======
ID#AAACElkzVYg
Ayudantes De Guardia    (2026-08-01 10:35:49)
LUGANO.-</t>
      </text>
    </comment>
    <comment authorId="0" ref="J70">
      <text>
        <t xml:space="preserve">======
ID#AAACE3uAMwg
Ayudantes De Guardia    (2026-08-05 17:23:59)
CUBRE LUGANO</t>
      </text>
    </comment>
    <comment authorId="0" ref="K70">
      <text>
        <t xml:space="preserve">======
ID#AAACE3uAORk
Ayudantes De Guardia    (2026-08-06 14:50:30)
Cubre Villa Lugano.-
Barros.-</t>
      </text>
    </comment>
    <comment authorId="0" ref="M70">
      <text>
        <t xml:space="preserve">======
ID#AAACFX566ak
Ayudantes De Guardia    (2026-08-08 12:45:14)
LUGANO
------
ID#AAACFX566d0
Ayudantes De Guardia    (2026-08-08 15:23:03)
11:54 Hs Se comunica PC IBARRA Ramon informando no se hara presente debido a dolor de estomago y cintura. Envia certificado.- 
AY FERNANDEZ
JS MARTINEZ</t>
      </text>
    </comment>
    <comment authorId="0" ref="M4">
      <text>
        <t xml:space="preserve">======
ID#AAACFlXutwY
División Centros de Monitoreo Urbano    (2026-08-14 16:09:37)
14:30HS</t>
      </text>
    </comment>
    <comment authorId="0" ref="Q70">
      <text>
        <t xml:space="preserve">======
ID#AAACFg3VP28
Ayudantes De Guardia    (2026-08-12 12:42:54)
09:09 horas informó el PC Ramón IBARRA que por la madrugada habría fallecido su abuela, quien vivía en Mar del Plata. Que por lo sucedido no pudo dormir en toda la noche. Motivo por el cual no podrá asistir al servicio. Se le consultó si presentará certificado a lo que refiere que no.- 
Barros.-</t>
      </text>
    </comment>
    <comment authorId="0" ref="O4">
      <text>
        <t xml:space="preserve">======
ID#AAACE8ouums
Ayudantes De Guardia    (2026-08-07 07:44:58)
FRANCO POR PRESENTISMO AUTORIZADO POR PPAL MONTEROS
AY FERNANDEZ
JS MARTINEZ</t>
      </text>
    </comment>
    <comment authorId="0" ref="P37">
      <text>
        <t xml:space="preserve">======
ID#AAACD8WzD7A
Ayudantes De Guardia    (2026-07-25 13:17:58)
INGRESA A LAS 18 DEBIDO A HORAS FRANCAS POR SERVICIO DEL 19/07.-
JS BENITEZ
AYU TIRAVANTI</t>
      </text>
    </comment>
    <comment authorId="0" ref="S4">
      <text>
        <t xml:space="preserve">======
ID#AAACFwXmNR8
División Centros de Monitoreo Urbano    (2026-08-18 13:07:25)
14:01</t>
      </text>
    </comment>
    <comment authorId="0" ref="V37">
      <text>
        <t xml:space="preserve">======
ID#AAACFvhluqA
Ayudantes De Guardia    (2026-08-17 17:00:00)
MADERO</t>
      </text>
    </comment>
    <comment authorId="0" ref="X70">
      <text>
        <t xml:space="preserve">======
ID#AAACFxygac8
Ayudantes De Guardia    (2026-08-19 17:16:35)
14.10</t>
      </text>
    </comment>
    <comment authorId="0" ref="Y70">
      <text>
        <t xml:space="preserve">======
ID#AAACFxehLaM
Ayudantes De Guardia    (2026-08-20 14:38:01)
Cubre Villa Lugano.- 
Barros.-</t>
      </text>
    </comment>
    <comment authorId="0" ref="Y4">
      <text>
        <t xml:space="preserve">======
ID#AAACFy0qn-o
Ayudantes De Guardia    (2026-08-20 17:12:08)
14:10HS.-</t>
      </text>
    </comment>
    <comment authorId="0" ref="AB70">
      <text>
        <t xml:space="preserve">======
ID#AAACF4BwPXY
Ayudantes De Guardia    (2026-08-23 15:22:57)
no se hace presente por descom postura.-
cisneros 
sebastia</t>
      </text>
    </comment>
    <comment authorId="0" ref="Z4">
      <text>
        <t xml:space="preserve">======
ID#AAACF1RFInA
Ayudantes De Guardia    (2026-08-21 17:22:24)
14:22</t>
      </text>
    </comment>
    <comment authorId="0" ref="AC70">
      <text>
        <t xml:space="preserve">======
ID#AAACF4UxMOk
Ayudantes De Guardia    (2026-08-24 12:13:46)
Se recibe de PC Ibarra Ramon certificado medico con fecha 23/8 por 48hs.-
js Lahitte
Ay Krakovsky</t>
      </text>
    </comment>
    <comment authorId="0" ref="AD70">
      <text>
        <t xml:space="preserve">======
ID#AAACFDX_Pkg
Ayudantes De Guardia    (2026-08-25 20:12:03)
Se recibe licencia de PC Ibarra del 25/08 reposo por 48hs
CISNEROS
QUIROGA</t>
      </text>
    </comment>
    <comment authorId="0" ref="AH70">
      <text>
        <t xml:space="preserve">======
ID#AAACGNYqgSM
Ayudantes De Guardia    (2026-08-29 09:44:06)
LUGANO</t>
      </text>
    </comment>
    <comment authorId="0" ref="AI70">
      <text>
        <t xml:space="preserve">======
ID#AAACGOBaAyE
Ayudantes De Guardia    (2026-08-30 12:14:26)
Cubre Villa Lugano.- 
Barros.-
------
ID#AAACGOBaAyk
Ayudantes De Guardia    (2026-08-30 17:11:30)
14:05</t>
      </text>
    </comment>
    <comment authorId="0" ref="AJ70">
      <text>
        <t xml:space="preserve">======
ID#AAACFIonD9E
Ayudantes De Guardia    (2026-08-31 17:29:05)
CUBRE LUGANO
------
ID#AAACFIonD9I
Ayudantes De Guardia    (2026-08-31 17:29:57)
14:20</t>
      </text>
    </comment>
    <comment authorId="0" ref="AI37">
      <text>
        <t xml:space="preserve">======
ID#AAACE9d4M5A
Ayudantes De Guardia    (2026-08-08 05:28:12)
FRANCO POR SCORING AUTORIZADO POR PPAL ARGUELLO.-
JS BENITEZ
AYU TIRAVANTI</t>
      </text>
    </comment>
    <comment authorId="0" ref="AJ4">
      <text>
        <t xml:space="preserve">======
ID#AAACGNYqgPE
Ayudantes De Guardia    (2026-08-29 05:39:45)
OS 7232</t>
      </text>
    </comment>
    <comment authorId="0" ref="I38">
      <text>
        <t xml:space="preserve">======
ID#AAACEzanGGE
Ayudantes De Guardia    (2026-08-04 17:38:38)
14:37HS</t>
      </text>
    </comment>
    <comment authorId="0" ref="K38">
      <text>
        <t xml:space="preserve">======
ID#AAACE3uAOq4
Ayudantes De Guardia    (2026-08-06 17:32:02)
14:37</t>
      </text>
    </comment>
    <comment authorId="0" ref="N38">
      <text>
        <t xml:space="preserve">======
ID#AAACFY8BCQQ
Ayudantes De Guardia    (2026-08-09 17:09:35)
14:09</t>
      </text>
    </comment>
    <comment authorId="0" ref="P38">
      <text>
        <t xml:space="preserve">======
ID#AAACFeh6Jc4
Ayudantes De Guardia    (2026-08-11 17:21:00)
14.20</t>
      </text>
    </comment>
    <comment authorId="0" ref="O5">
      <text>
        <t xml:space="preserve">======
ID#AAACE8ouumw
Ayudantes De Guardia    (2026-08-07 07:44:58)
FRANCO POR PRESENTISMO AUTORIZADO POR PPAL MONTEROS
AY FERNANDEZ
JS MARTINEZ</t>
      </text>
    </comment>
    <comment authorId="0" ref="U38">
      <text>
        <t xml:space="preserve">======
ID#AAACFupIodw
Ayudantes De Guardia    (2026-08-16 14:51:38)
Siendo las 11:47hs se comunica PC. Boned Sebastian informando que no se hará presente al servicio debido a fiebre y dolor de cuerpo, enviará certificado.
JS AGUIRRE
AY LEIVAS
------
ID#AAACFwiJMWk
Ayudantes De Guardia    (2026-08-18 10:39:05)
Se recibe certificado medico de PC SEBASTIAN LEONEL Boned con fecha 16/8 por 24hs
JS: AGUIRRE
AY: PAZ</t>
      </text>
    </comment>
    <comment authorId="0" ref="X5">
      <text>
        <t xml:space="preserve">======
ID#AAACE8ouupA
Ayudantes De Guardia    (2026-08-07 07:53:20)
FRANCO POR EVENTOS INTERVENIDOS MONITOREO AUTORIZADO POR PPAL MONTEROS
AY FERNANDEZ
JS MARTINEZ</t>
      </text>
    </comment>
    <comment authorId="0" ref="AA38">
      <text>
        <t xml:space="preserve">======
ID#AAACF29xfYA
Ayudantes De Guardia    (2026-08-22 17:13:45)
Ingreso 14:03Hs.</t>
      </text>
    </comment>
    <comment authorId="0" ref="Z5">
      <text>
        <t xml:space="preserve">======
ID#AAACFArNZ4c
Ayudantes De Guardia    (2026-08-21 14:00:50)
Siedno las 10:59hs se comunica PC Canaglia Carreira Patricia informando: Buenos días, habla Canaglia Carreira Patricia quería avisar que hoy no voy a poder asistir a la guardia ya que me encuentro con fiebre y problemas respiratorios, durante el día apenas concurra a la clínica envío el certificado correspondiente.
CISNEROS 
QUIROGA
------
ID#AAACF1fnqYI
Ayudantes De Guardia    (2026-08-22 00:33:44)
Se recibe certificado médico de PC Canaglia Patricia con fecha 21/08 por 48hs.</t>
      </text>
    </comment>
    <comment authorId="0" ref="AC38">
      <text>
        <t xml:space="preserve">======
ID#AAACF4UxMaM
Ayudantes De Guardia    (2026-08-24 17:14:05)
14:12HS</t>
      </text>
    </comment>
    <comment authorId="0" ref="AD5">
      <text>
        <t xml:space="preserve">======
ID#AAACFDX_Pjc
Ayudantes De Guardia    (2026-08-25 17:20:49)
Se comunica PC Canaglia indicando: Buenas, quería avisar que el día de hoy voy a acercarme a la clínica para control de mi estado...en caso de que me den más horas de reposo enviaré el certificado correspondiente.
CISNEROS 
QUIROGA
------
ID#AAACF8VkMBc
Ayudantes De Guardia    (2026-08-25 20:54:30)
Se recibe certificado médico de PC Canaglia Patricia con fecha 25/08 por 48 hs.</t>
      </text>
    </comment>
    <comment authorId="0" ref="AF5">
      <text>
        <t xml:space="preserve">======
ID#AAACFEf4sVI
Ayudantes De Guardia    (2026-08-27 17:18:12)
Se comunica PC Canaglia Carreira Patricia informando:  recordarles que hoy tengo control médico y entrega de estudios. Envío certificado al mail correspondiente. 
CISNEROS 
QUIROGA
------
ID#AAACGJ8w-bQ
Ayudantes De Guardia    (2026-08-27 22:27:28)
Se recibe constancia de atención de PC Canaglia Patricia con fecha 27/08 por 24 hs.-</t>
      </text>
    </comment>
    <comment authorId="0" ref="AH38">
      <text>
        <t xml:space="preserve">======
ID#AAACGNYqgVU
Ayudantes De Guardia    (2026-08-29 17:15:19)
12:28hs Se comunica PC Boned Sebastian informa no se hará presente debido a dolor físico y de cabeza. Envia certificado.
AY FERNANDEZ
JS LANGE
------
ID#AAACGOBaA0g
Ayudantes De Guardia    (2026-08-31 00:48:00)
Se recibe de PC Boned Sebastián certificado médico de fecha 29/08 indicando reposo por 24 Hs.-
AY FERNANDEZ
JS LANGE</t>
      </text>
    </comment>
    <comment authorId="0" ref="AI38">
      <text>
        <t xml:space="preserve">======
ID#AAACGNYqf9A
Ayudantes De Guardia    (2026-08-29 03:22:00)
Afectada a la OS 6737.-
Ay Leivas
------
ID#AAACGOBaAzQ
Ayudantes De Guardia    (2026-08-30 18:55:01)
14:47</t>
      </text>
    </comment>
    <comment authorId="0" ref="H6">
      <text>
        <t xml:space="preserve">======
ID#AAACBvROzQg
Ayudantes De Guardia    (2026-08-03 17:16:26)
14:04</t>
      </text>
    </comment>
    <comment authorId="0" ref="L72">
      <text>
        <t xml:space="preserve">======
ID#AAACFlioRd8
División Centros de Monitoreo Urbano    (2026-08-14 18:18:48)
14:03 HS</t>
      </text>
    </comment>
    <comment authorId="0" ref="M72">
      <text>
        <t xml:space="preserve">======
ID#AAACFlioReA
División Centros de Monitoreo Urbano    (2026-08-14 18:19:17)
14:04 HS</t>
      </text>
    </comment>
    <comment authorId="0" ref="L6">
      <text>
        <t xml:space="preserve">======
ID#AAACE9d4IxE
Ayudantes De Guardia    (2026-08-07 17:08:35)
14:05</t>
      </text>
    </comment>
    <comment authorId="0" ref="N6">
      <text>
        <t xml:space="preserve">======
ID#AAACFY8BCQE
Ayudantes De Guardia    (2026-08-09 17:08:22)
14:05</t>
      </text>
    </comment>
    <comment authorId="0" ref="O39">
      <text>
        <t xml:space="preserve">======
ID#AAACE9d4M4c
Ayudantes De Guardia    (2026-08-08 05:22:09)
FRANCO DE PRESENTISMO AUTORIZADO POR PPAL ARGUELO.-
JS BENITEZ
AYU TIRAVANTI</t>
      </text>
    </comment>
    <comment authorId="0" ref="O6">
      <text>
        <t xml:space="preserve">======
ID#AAACFaAFW8U
Ayudantes De Guardia    (2026-08-10 17:08:14)
14:05HS.-</t>
      </text>
    </comment>
    <comment authorId="0" ref="Q39">
      <text>
        <t xml:space="preserve">======
ID#AAACFg3VQMg
Ayudantes De Guardia    (2026-08-12 17:42:16)
14:39HS.-</t>
      </text>
    </comment>
    <comment authorId="0" ref="V72">
      <text>
        <t xml:space="preserve">======
ID#AAACFYv0mqM
Ayudantes De Guardia    (2026-08-09 03:02:55)
Franco por presentismo. Autorizado por el Ppal. Berdun.-
JS. LANGE
ATY. ARCE</t>
      </text>
    </comment>
    <comment authorId="0" ref="AA6">
      <text>
        <t xml:space="preserve">======
ID#AAACF1V3ETk
Ayudantes De Guardia    (2026-08-21 20:17:44)
INGRESA 16:00 HS AUTORIZADO POR INSPECTOR CISNEROS
CISNEROS 
SEBASTIA</t>
      </text>
    </comment>
    <comment authorId="0" ref="AH39">
      <text>
        <t xml:space="preserve">======
ID#AAACGNYqgQU
Ayudantes De Guardia    (2026-08-29 06:41:26)
7253 OS</t>
      </text>
    </comment>
    <comment authorId="0" ref="AI39">
      <text>
        <t xml:space="preserve">======
ID#AAACGJ8w-2E
Ayudantes De Guardia    (2026-08-28 17:34:53)
Afectada a la OS 6737.-
Ay Leivas
------
ID#AAACGNYqf88
Ayudantes De Guardia    (2026-08-29 03:20:44)
Cubre el PC Martina Gonzalez
------
ID#AAACGNYqf9E
Ayudantes De Guardia    (2026-08-29 03:22:28)
queda sin efecto la OS 6737</t>
      </text>
    </comment>
    <comment authorId="0" ref="AJ6">
      <text>
        <t xml:space="preserve">======
ID#AAACGNYqgRA
Ayudantes De Guardia    (2026-08-29 06:54:14)
OS 7257</t>
      </text>
    </comment>
    <comment authorId="0" ref="F7">
      <text>
        <t xml:space="preserve">======
ID#AAACElkzV9k
Ayudantes De Guardia    (2026-08-01 17:20:49)
Ingreso 14:14Hs.</t>
      </text>
    </comment>
    <comment authorId="0" ref="G7">
      <text>
        <t xml:space="preserve">======
ID#AAACEvneOk0
Ayudantes De Guardia    (2026-08-02 16:49:00)
CUBRE SECCIÓN LUGANO</t>
      </text>
    </comment>
    <comment authorId="0" ref="H7">
      <text>
        <t xml:space="preserve">======
ID#AAACBvROzRs
Ayudantes De Guardia    (2026-08-03 17:32:29)
14:25</t>
      </text>
    </comment>
    <comment authorId="0" ref="K40">
      <text>
        <t xml:space="preserve">======
ID#AAACEvICPIw
Ayudantes De Guardia    (2026-08-02 05:07:42)
LA CUBRE CONDORI LEONEL
AUTORIZADO POR EL PPAL KELLY.
AY CUELLO 
JS BENITEZ</t>
      </text>
    </comment>
    <comment authorId="0" ref="L7">
      <text>
        <t xml:space="preserve">======
ID#AAACE9d4Ix8
Ayudantes De Guardia    (2026-08-07 17:30:06)
14:30</t>
      </text>
    </comment>
    <comment authorId="0" ref="M7">
      <text>
        <t xml:space="preserve">======
ID#AAACFwXmNSY
División Centros de Monitoreo Urbano    (2026-08-18 13:08:58)
14:12</t>
      </text>
    </comment>
    <comment authorId="0" ref="N40">
      <text>
        <t xml:space="preserve">======
ID#AAACFY8BCQM
Ayudantes De Guardia    (2026-08-09 17:09:05)
14:09</t>
      </text>
    </comment>
    <comment authorId="0" ref="O40">
      <text>
        <t xml:space="preserve">======
ID#AAACFaAFW94
Ayudantes De Guardia    (2026-08-10 17:39:49)
14:35HS.-</t>
      </text>
    </comment>
    <comment authorId="0" ref="N7">
      <text>
        <t xml:space="preserve">======
ID#AAACFY8BCQg
Ayudantes De Guardia    (2026-08-09 17:29:23)
14;29</t>
      </text>
    </comment>
    <comment authorId="0" ref="P40">
      <text>
        <t xml:space="preserve">======
ID#AAACFeh6Jdc
Ayudantes De Guardia    (2026-08-11 17:28:14)
14:26</t>
      </text>
    </comment>
    <comment authorId="0" ref="O7">
      <text>
        <t xml:space="preserve">======
ID#AAACFaAFW-A
Ayudantes De Guardia    (2026-08-10 17:40:56)
14:18HS.-</t>
      </text>
    </comment>
    <comment authorId="0" ref="R7">
      <text>
        <t xml:space="preserve">======
ID#AAACFj6Dpzo
Ayudantes De Guardia    (2026-08-13 17:09:38)
14.07</t>
      </text>
    </comment>
    <comment authorId="0" ref="S7">
      <text>
        <t xml:space="preserve">======
ID#AAACFlXut1w
Ayudantes De Guardia    (2026-08-14 17:52:09)
14:47HS.-</t>
      </text>
    </comment>
    <comment authorId="0" ref="U40">
      <text>
        <t xml:space="preserve">======
ID#AAACFupIodg
Ayudantes De Guardia    (2026-08-16 14:36:29)
Siendo las 11:19hs se comunica PC Perez Agustina informando que no se hará presente al servicio debido a que se encuentra descompuesta.-
JS AGUIRRE
AY LEIVAS
------
ID#AAACFvRaOzE
Ayudantes De Guardia    (2026-08-17 10:33:38)
Buen día, se recibe certificado médico 16 X 48 HS</t>
      </text>
    </comment>
    <comment authorId="0" ref="T7">
      <text>
        <t xml:space="preserve">======
ID#AAACFuEO5uY
Ayudantes De Guardia    (2026-08-15 17:46:15)
14:20</t>
      </text>
    </comment>
    <comment authorId="0" ref="W40">
      <text>
        <t xml:space="preserve">======
ID#AAACFw3vL5o
Ayudantes De Guardia    (2026-08-18 17:43:17)
14:37HS</t>
      </text>
    </comment>
    <comment authorId="0" ref="X7">
      <text>
        <t xml:space="preserve">======
ID#AAACFxygadg
Ayudantes De Guardia    (2026-08-19 18:14:49)
14:43</t>
      </text>
    </comment>
    <comment authorId="0" ref="Z40">
      <text>
        <t xml:space="preserve">======
ID#AAACF1RFIqI
Ayudantes De Guardia    (2026-08-21 17:29:40)
14:25</t>
      </text>
    </comment>
    <comment authorId="0" ref="Y7">
      <text>
        <t xml:space="preserve">======
ID#AAACFyomgBU
Ayudantes De Guardia    (2026-08-20 14:46:22)
11:44 horas el PC Santiago GOMEZ informa que no asistirá al servicio ya que se encuentra descompuesta. Adeuda certificado médico.- 
Barros.-
------
ID#AAACFzattac
Ayudantes De Guardia    (2026-08-20 23:48:16)
Se recibe constancia de atencion del dia de la fecha por 24Hs.- 
JS LANGE.-
Ayud. Soria.-</t>
      </text>
    </comment>
    <comment authorId="0" ref="Z7">
      <text>
        <t xml:space="preserve">======
ID#AAACF1RFIm0
Ayudantes De Guardia    (2026-08-21 17:08:29)
14:08</t>
      </text>
    </comment>
    <comment authorId="0" ref="AC73">
      <text>
        <t xml:space="preserve">======
ID#AAACFDX_PiA
Ayudantes De Guardia    (2026-08-25 16:02:55)
Se recibe de PC Altairano Micaela certificado mèdico con fecha 24/8 indicando reposo por tres semnas, marcar LM hasta el 14/9 inclusive
CISNEROS
QUIROGA</t>
      </text>
    </comment>
    <comment authorId="0" ref="AB40">
      <text>
        <t xml:space="preserve">======
ID#AAACF4CqGRc
Ayudantes De Guardia    (2026-08-23 17:21:25)
14:15</t>
      </text>
    </comment>
    <comment authorId="0" ref="AA7">
      <text>
        <t xml:space="preserve">======
ID#AAACF29xfYk
Ayudantes De Guardia    (2026-08-22 17:20:51)
Ingreso 14:17Hs.</t>
      </text>
    </comment>
    <comment authorId="0" ref="AC40">
      <text>
        <t xml:space="preserve">======
ID#AAACF4UxMZ8
Ayudantes De Guardia    (2026-08-24 17:03:54)
14:02</t>
      </text>
    </comment>
    <comment authorId="0" ref="AD7">
      <text>
        <t xml:space="preserve">======
ID#AAACFDX_PjI
Ayudantes De Guardia    (2026-08-25 17:17:37)
14:08HS.-</t>
      </text>
    </comment>
    <comment authorId="0" ref="AE7">
      <text>
        <t xml:space="preserve">======
ID#AAACFEf4rVI
Ayudantes De Guardia    (2026-08-26 17:18:40)
14:05HS</t>
      </text>
    </comment>
    <comment authorId="0" ref="AF40">
      <text>
        <t xml:space="preserve">======
ID#AAACEvICPI4
Ayudantes De Guardia    (2026-08-02 05:08:26)
CUBRE AL PC CONDORI LEONEL AUTORIZADO POR EL PPAL KELLY
AY CUELLO
JS: BENITEZ</t>
      </text>
    </comment>
    <comment authorId="0" ref="AF7">
      <text>
        <t xml:space="preserve">======
ID#AAACFEf4sVg
Ayudantes De Guardia    (2026-08-27 17:23:55)
14:22HS.-</t>
      </text>
    </comment>
    <comment authorId="0" ref="H8">
      <text>
        <t xml:space="preserve">======
ID#AAACBvROzQk
Ayudantes De Guardia    (2026-08-03 17:16:38)
14:09</t>
      </text>
    </comment>
    <comment authorId="0" ref="K74">
      <text>
        <t xml:space="preserve">======
ID#AAACFlioReI
División Centros de Monitoreo Urbano    (2026-08-14 18:20:40)
14:02 HS</t>
      </text>
    </comment>
    <comment authorId="0" ref="M8">
      <text>
        <t xml:space="preserve">======
ID#AAACExfrW2A
Ayudantes De Guardia    (2026-08-04 07:40:51)
CUBRE PC MEJIA AUTORIZADO POR PPAL KELLY
AY FERNANDEZ
JS MARTINEZ</t>
      </text>
    </comment>
    <comment authorId="0" ref="P74">
      <text>
        <t xml:space="preserve">======
ID#AAACFlioReQ
División Centros de Monitoreo Urbano    (2026-08-14 18:21:04)
14:01 HS</t>
      </text>
    </comment>
    <comment authorId="0" ref="N8">
      <text>
        <t xml:space="preserve">======
ID#AAACFY8BCP8
Ayudantes De Guardia    (2026-08-09 17:05:49)
14.04</t>
      </text>
    </comment>
    <comment authorId="0" ref="R74">
      <text>
        <t xml:space="preserve">======
ID#AAACFj6Dpzk
Ayudantes De Guardia    (2026-08-13 17:09:19)
14:07</t>
      </text>
    </comment>
    <comment authorId="0" ref="Q8">
      <text>
        <t xml:space="preserve">======
ID#AAACExfrW2E
Ayudantes De Guardia    (2026-08-04 07:41:11)
CUBRE A PC MEJIA AUTORIZADO POR PPAL KELLY
AY FERNANDEZ
JS MARTINEZ</t>
      </text>
    </comment>
    <comment authorId="0" ref="X74">
      <text>
        <t xml:space="preserve">======
ID#AAACFxehLTk
División Centros de Monitoreo Urbano    (2026-08-20 13:28:57)
14:01 HS</t>
      </text>
    </comment>
    <comment authorId="0" ref="V8">
      <text>
        <t xml:space="preserve">======
ID#AAACEvICPN4
Ayudantes De Guardia    (2026-08-02 07:49:11)
CUBRE AL PC LIGRESTI MAIRA AUTORIZADO POR EL PPAL MONTEROS
AY CUELLO
JS BENITEZ</t>
      </text>
    </comment>
    <comment authorId="0" ref="Y8">
      <text>
        <t xml:space="preserve">======
ID#AAACFy0qn-M
Ayudantes De Guardia    (2026-08-20 17:11:03)
14:03HS.-</t>
      </text>
    </comment>
    <comment authorId="0" ref="AA8">
      <text>
        <t xml:space="preserve">======
ID#AAACF2sTqJc
Ayudantes De Guardia    (2026-08-22 14:19:40)
11:16Hs se comunica PC FARIAS, Nahuel manifestando que no se hara presente debido a que se encuentra con fiebre. Enviará certificado medico.-
JS LEDESMA.-
AYUD. Soria.-</t>
      </text>
    </comment>
    <comment authorId="0" ref="AF8">
      <text>
        <t xml:space="preserve">======
ID#AAACFEf4sVo
Ayudantes De Guardia    (2026-08-27 17:25:15)
14:24HS.-</t>
      </text>
    </comment>
    <comment authorId="0" ref="AJ8">
      <text>
        <t xml:space="preserve">======
ID#AAACEvICPN8
Ayudantes De Guardia    (2026-08-02 07:49:42)
CUBRE EL PC LIGRESTI MAIRA
AUTORIZADO POR EL PPAL MONTEROS.
AY CUELLO
JS BENITEZ</t>
      </text>
    </comment>
    <comment authorId="0" ref="K42">
      <text>
        <t xml:space="preserve">======
ID#AAACFlioRb4
División Centros de Monitoreo Urbano    (2026-08-14 18:00:00)
14:02HS</t>
      </text>
    </comment>
    <comment authorId="0" ref="L9">
      <text>
        <t xml:space="preserve">======
ID#AAACE9d4IxA
Ayudantes De Guardia    (2026-08-07 17:08:24)
14:07</t>
      </text>
    </comment>
    <comment authorId="0" ref="N42">
      <text>
        <t xml:space="preserve">======
ID#AAACFY8BCQU
Ayudantes De Guardia    (2026-08-09 17:12:50)
14:12</t>
      </text>
    </comment>
    <comment authorId="0" ref="Q42">
      <text>
        <t xml:space="preserve">======
ID#AAACFg3VQKM
Ayudantes De Guardia    (2026-08-12 17:15:27)
14:18HS.-</t>
      </text>
    </comment>
    <comment authorId="0" ref="S9">
      <text>
        <t xml:space="preserve">======
ID#AAACFlXutz8
Ayudantes De Guardia    (2026-08-14 17:19:28)
14:09HS</t>
      </text>
    </comment>
    <comment authorId="0" ref="X9">
      <text>
        <t xml:space="preserve">======
ID#AAACE8ouum4
Ayudantes De Guardia    (2026-08-07 07:44:59)
FRANCO POR PRESENTISMO AUTORIZADO POR PPAL MONTEROS
AY FERNANDEZ
JS MARTINEZ</t>
      </text>
    </comment>
    <comment authorId="0" ref="Y9">
      <text>
        <t xml:space="preserve">======
ID#AAACFy0qn_I
Ayudantes De Guardia    (2026-08-20 17:14:18)
14:10HS.-</t>
      </text>
    </comment>
    <comment authorId="0" ref="AJ9">
      <text>
        <t xml:space="preserve">======
ID#AAACGNYqgPA
Ayudantes De Guardia    (2026-08-29 05:38:44)
Afectada a la OS 7233</t>
      </text>
    </comment>
    <comment authorId="0" ref="F10">
      <text>
        <t xml:space="preserve">======
ID#AAACElkzWAs
Ayudantes De Guardia    (2026-08-01 19:01:18)
Ingreso 14:28Hs.</t>
      </text>
    </comment>
    <comment authorId="0" ref="I43">
      <text>
        <t xml:space="preserve">======
ID#AAACFk7ItFo
Ayudantes De Guardia    (2026-08-13 22:20:57)
ENTRADA 14:02</t>
      </text>
    </comment>
    <comment authorId="0" ref="S10">
      <text>
        <t xml:space="preserve">======
ID#AAACE8ouum0
Ayudantes De Guardia    (2026-08-07 07:44:59)
FRANCO POR PRESENTISMO AUTORIZADO POR PPAL MONTEROS
AY FERNANDEZ
JS MARTINEZ</t>
      </text>
    </comment>
    <comment authorId="0" ref="U43">
      <text>
        <t xml:space="preserve">======
ID#AAACFuvRjuk
Ayudantes De Guardia    (2026-08-16 16:07:25)
Cubre Villa Lugano.- 
Barros-</t>
      </text>
    </comment>
    <comment authorId="0" ref="T10">
      <text>
        <t xml:space="preserve">======
ID#AAACD8qNCzY
Ayudantes De Guardia    (2026-07-25 02:37:12)
Cubre PC. Maria Florencia Guerra Hidalgo . Autorizado por el Ppal. Kelly.-
JS. LANGE
AY. PEREYRA</t>
      </text>
    </comment>
    <comment authorId="0" ref="W43">
      <text>
        <t xml:space="preserve">======
ID#AAACD8WzD7E
Ayudantes De Guardia    (2026-07-25 13:19:47)
SE RETIRA A LAS 18 DEBIDO A HORAS FRANCAS POR SERVICIO DEL 19/07.-
JS BENITEZ
AYU TIRAVANTI
------
ID#AAACFwvIwv0
Ayudantes De Guardia    (2026-08-18 13:57:44)
Cubre Villa Lugano.- 
Barros.-</t>
      </text>
    </comment>
    <comment authorId="0" ref="X10">
      <text>
        <t xml:space="preserve">======
ID#AAACFxygadM
Ayudantes De Guardia    (2026-08-19 17:24:41)
14:24</t>
      </text>
    </comment>
    <comment authorId="0" ref="Z43">
      <text>
        <t xml:space="preserve">======
ID#AAACFx6erx8
Ayudantes De Guardia    (2026-08-19 20:00:22)
OS N° 6353</t>
      </text>
    </comment>
    <comment authorId="0" ref="AA43">
      <text>
        <t xml:space="preserve">======
ID#AAACFx6eryA
Ayudantes De Guardia    (2026-08-19 20:00:28)
OS N° 6353</t>
      </text>
    </comment>
    <comment authorId="0" ref="AB43">
      <text>
        <t xml:space="preserve">======
ID#AAACFx6eryE
Ayudantes De Guardia    (2026-08-19 20:00:34)
OS N° 6353</t>
      </text>
    </comment>
    <comment authorId="0" ref="AD43">
      <text>
        <t xml:space="preserve">======
ID#AAACF3Vocnw
Ayudantes De Guardia    (2026-08-23 05:39:16)
CUBRE AL PC REJALA AUTORIZADO POR EL PPAL MONTEROS. 
AY CUELLO 
JS BENITEZ</t>
      </text>
    </comment>
    <comment authorId="0" ref="AF10">
      <text>
        <t xml:space="preserve">======
ID#AAACFEf4sWU
Ayudantes De Guardia    (2026-08-27 17:49:41)
14:48HS.-</t>
      </text>
    </comment>
    <comment authorId="0" ref="AH43">
      <text>
        <t xml:space="preserve">======
ID#AAACF3Vocns
Ayudantes De Guardia    (2026-08-23 05:38:41)
CUBRE EL PC REJALA AUTORIZADO POR EL PPAL MONTEROS.
AY CUELLO
JS BENITEZ</t>
      </text>
    </comment>
    <comment authorId="0" ref="AI43">
      <text>
        <t xml:space="preserve">======
ID#AAACGOBaAy4
Ayudantes De Guardia    (2026-08-30 17:28:09)
14:16</t>
      </text>
    </comment>
    <comment authorId="0" ref="Y11">
      <text>
        <t xml:space="preserve">======
ID#AAACFyDV12U
Ayudantes De Guardia    (2026-08-19 20:31:06)
OS 6353
14:10HS.-</t>
      </text>
    </comment>
    <comment authorId="0" ref="AA11">
      <text>
        <t xml:space="preserve">======
ID#AAACF29xfYE
Ayudantes De Guardia    (2026-08-22 17:14:05)
Ingreso 14:06Hs.</t>
      </text>
    </comment>
    <comment authorId="0" ref="AD11">
      <text>
        <t xml:space="preserve">======
ID#AAACF3Vocn0
Ayudantes De Guardia    (2026-08-23 05:40:38)
LO CUBRE EL PC BETANZO AUTORIZADO POR EL PPAL MONTEROS. 
AY CUELLO 
JS BENITEZ</t>
      </text>
    </comment>
    <comment authorId="0" ref="AF11">
      <text>
        <t xml:space="preserve">======
ID#AAACFEf4sVM
Ayudantes De Guardia    (2026-08-27 17:19:17)
14:17HS.-</t>
      </text>
    </comment>
    <comment authorId="0" ref="AH11">
      <text>
        <t xml:space="preserve">======
ID#AAACF3Vocn8
Ayudantes De Guardia    (2026-08-23 05:41:59)
CUBRE AL PC BETANZO AUTORIZADO POR EL PPALMONTEROS 
AY CUELLO 
JS BENITEZ
------
ID#AAACGNYqgVc
Ayudantes De Guardia    (2026-08-29 17:15:48)
14:10</t>
      </text>
    </comment>
    <comment authorId="0" ref="F78">
      <text>
        <t xml:space="preserve">======
ID#AAACFj6Dps8
Ayudantes De Guardia    (2026-08-13 15:29:44)
ENTRADA 14:04</t>
      </text>
    </comment>
    <comment authorId="0" ref="G78">
      <text>
        <t xml:space="preserve">======
ID#AAACEjCaqIM
Ayudantes De Guardia    (2026-07-31 06:00:28)
POR DEV. DE HORAS REALIZA DE 14 A 18HS.-
JS. LANGE
AY. ARCE
14:26HS.-</t>
      </text>
    </comment>
    <comment authorId="0" ref="F12">
      <text>
        <t xml:space="preserve">======
ID#AAACEMRs1OY
Ayudantes De Guardia    (2026-07-28 19:10:45)
OS N 6284
------
ID#AAACFj6DptI
Ayudantes De Guardia    (2026-08-13 15:31:26)
ENTRADA 14:04</t>
      </text>
    </comment>
    <comment authorId="0" ref="G12">
      <text>
        <t xml:space="preserve">======
ID#AAACEMRs1Og
Ayudantes De Guardia    (2026-07-28 19:10:56)
OS N 6284</t>
      </text>
    </comment>
    <comment authorId="0" ref="M12">
      <text>
        <t xml:space="preserve">======
ID#AAACFlXutzo
División Centros de Monitoreo Urbano    (2026-08-14 17:14:44)
14:11HS</t>
      </text>
    </comment>
    <comment authorId="0" ref="O12">
      <text>
        <t xml:space="preserve">======
ID#AAACFaAFV-E
Ayudantes De Guardia    (2026-08-10 13:07:05)
Siendo las 10:03 Hs.- se comunica PC. Gauna Sebastian informando que no asistirá al servicio debido a que posee estado gripal fuerte. En breve, enviará certificado médico.
JS: AGUIRRE
AY: PAZ
------
ID#AAACFaAFXLE
Ayudantes De Guardia    (2026-08-10 20:20:01)
Se recibe de PC Gauna Sebastian certificado con fecha 10/08 x 24 hs.
JS: AGUIRRE
AY: PAZ</t>
      </text>
    </comment>
    <comment authorId="0" ref="R12">
      <text>
        <t xml:space="preserve">======
ID#AAACFj6Dpm4
Ayudantes De Guardia    (2026-08-13 14:20:08)
Siendo las 11:17hs se comunica PC Gauna Sebastian informando: buenos dias, queria notificar mi ausente el dia de hoy 13/08 por estado gripal, soy Gauna Sebastian Turno tarde. En breve envio certificado medico al mail correspondiente.
CISNEROS 
QUIROGA
------
ID#AAACFk7ItG0
Ayudantes De Guardia    (2026-08-13 22:50:40)
Se recibe certificado médico de PC Gauna Sebastian con fecha 13/08 indicando 48 hs de reposo.</t>
      </text>
    </comment>
    <comment authorId="0" ref="X12">
      <text>
        <t xml:space="preserve">======
ID#AAACFxygadA
Ayudantes De Guardia    (2026-08-19 17:17:31)
14:13</t>
      </text>
    </comment>
    <comment authorId="0" ref="Y12">
      <text>
        <t xml:space="preserve">======
ID#AAACFy0qn-Y
Ayudantes De Guardia    (2026-08-20 17:11:25)
14:03HS.-</t>
      </text>
    </comment>
    <comment authorId="0" ref="AA12">
      <text>
        <t xml:space="preserve">======
ID#AAACF29xfYM
Ayudantes De Guardia    (2026-08-22 17:14:37)
Ingreso 14:07Hs.</t>
      </text>
    </comment>
    <comment authorId="0" ref="AD12">
      <text>
        <t xml:space="preserve">======
ID#AAACFDX_PjU
Ayudantes De Guardia    (2026-08-25 17:18:30)
14:15HS.-</t>
      </text>
    </comment>
    <comment authorId="0" ref="AE12">
      <text>
        <t xml:space="preserve">======
ID#AAACFEf4rVE
Ayudantes De Guardia    (2026-08-26 17:18:22)
14:04HS</t>
      </text>
    </comment>
    <comment authorId="0" ref="AF12">
      <text>
        <t xml:space="preserve">======
ID#AAACFEf4sQE
Ayudantes De Guardia    (2026-08-27 12:44:59)
Se comunica PC Gauna Sebastian informando que no se hara presente por gastroenteritis aguda
CISNEROS 
SEBASTIA
------
ID#AAACGIJtRGs
Ayudantes De Guardia    (2026-08-27 20:45:38)
Se recibe constancia de atención de PC Gauna Sebastian con fecha 27/08 por 24hs.</t>
      </text>
    </comment>
    <comment authorId="0" ref="G79">
      <text>
        <t xml:space="preserve">======
ID#AAACEjCaqOg
Ayudantes De Guardia    (2026-07-31 07:51:08)
Cubre PC POLARI, Ulises. Autorizado por el Ppal. Monteros.-
JS. LANGE
AY. ARCE</t>
      </text>
    </comment>
    <comment authorId="0" ref="G13">
      <text>
        <t xml:space="preserve">======
ID#AAACEvneOk8
Ayudantes De Guardia    (2026-08-02 16:50:22)
CUBRE PUERTO MADERO</t>
      </text>
    </comment>
    <comment authorId="0" ref="J79">
      <text>
        <t xml:space="preserve">======
ID#AAACEjCaqOk
Ayudantes De Guardia    (2026-07-31 07:51:29)
Cubre a PC POLARI, Ulises.-
JS. LANGE
AY. ARCE</t>
      </text>
    </comment>
    <comment authorId="0" ref="M79">
      <text>
        <t xml:space="preserve">======
ID#AAACEjCaqIY
Ayudantes De Guardia    (2026-07-31 06:01:12)
POR DEV. DE HORAS REALIZA DE 18 A 22HS.-
JS. LANGE
AY. ARCE</t>
      </text>
    </comment>
    <comment authorId="0" ref="O13">
      <text>
        <t xml:space="preserve">======
ID#AAACFaAFWAE
Ayudantes De Guardia    (2026-08-10 14:00:28)
Cubre Puerto Madero.- 
Barros.-</t>
      </text>
    </comment>
    <comment authorId="0" ref="S13">
      <text>
        <t xml:space="preserve">======
ID#AAACFlXutuU
Ayudantes De Guardia    (2026-08-14 15:46:55)
Cubre Puerto Madero. 
Barros.-</t>
      </text>
    </comment>
    <comment authorId="0" ref="T13">
      <text>
        <t xml:space="preserve">======
ID#AAACFlG7kss
Ayudantes De Guardia    (2026-08-14 06:06:25)
CUBRE AUX. VALLS FACUNDO AUTORIZADO POR PPAL MONTEROS.-
JS BENITEZ
AYU TIRAVANTI</t>
      </text>
    </comment>
    <comment authorId="0" ref="U13">
      <text>
        <t xml:space="preserve">======
ID#AAACFlHuzdc
Ayudantes De Guardia    (2026-08-14 06:06:55)
CUBRE EN SECCION MADERO A AUX. VALLS FACUNDO  AUTORIZADO POR PPAL MONTEROS.-
JS BENITEZ
AYU TIRAVANTI</t>
      </text>
    </comment>
    <comment authorId="0" ref="X13">
      <text>
        <t xml:space="preserve">======
ID#AAACFxygac4
Ayudantes De Guardia    (2026-08-19 17:16:06)
14:13</t>
      </text>
    </comment>
    <comment authorId="0" ref="AB79">
      <text>
        <t xml:space="preserve">======
ID#AAACFwKWwjY
Ayudantes De Guardia    (2026-08-18 04:43:53)
Franco compensatorio por procedimientos respecto a la OI 142/2026.-
JS LANGE
AY PEREYRA</t>
      </text>
    </comment>
    <comment authorId="0" ref="AC79">
      <text>
        <t xml:space="preserve">======
ID#AAACF4UxMQs
Ayudantes De Guardia    (2026-08-24 13:45:49)
Siendo las 10:42 hs se comunica el pc Mendoza Nicolas informando SIC "Buen día, hoy no voy a asistir, la verdad que me siento muy mal, estuve con vómitos hasta recién y con mucho dolor en el cuerpo, ahora voy a ir al medico y en cuánto tengo el certificado lo mando"
JS LAHITTE
AY KRAKOVSKY
------
ID#AAACF4UxMZw
Ayudantes De Guardia    (2026-08-24 16:50:23)
Se recibe de PC Mendoza Nicolas certificado médico con fecha 24/8 por 24hs.
JS LAHITTE
AY LEIVAS</t>
      </text>
    </comment>
    <comment authorId="0" ref="AD13">
      <text>
        <t xml:space="preserve">======
ID#AAACE8ouum8
Ayudantes De Guardia    (2026-08-07 07:44:59)
FRANCO POR PRESENTISMO AUTORIZADO POR PPAL MONTEROS
AY FERNANDEZ
JS MARTINEZ</t>
      </text>
    </comment>
    <comment authorId="0" ref="AE13">
      <text>
        <t xml:space="preserve">======
ID#AAACFEf4rGk
Ayudantes De Guardia    (2026-08-26 13:37:34)
Cubre Puerto Madero.- 
Barros.-</t>
      </text>
    </comment>
    <comment authorId="0" ref="AI79">
      <text>
        <t xml:space="preserve">======
ID#AAACGOBaAy8
Ayudantes De Guardia    (2026-08-30 17:29:34)
14:26</t>
      </text>
    </comment>
    <comment authorId="0" ref="F80">
      <text>
        <t xml:space="preserve">======
ID#AAACFj6Dpsw
Ayudantes De Guardia    (2026-08-13 15:28:19)
ENTRADA 14.01</t>
      </text>
    </comment>
    <comment authorId="0" ref="G80">
      <text>
        <t xml:space="preserve">======
ID#AAACEjCaqIA
Ayudantes De Guardia    (2026-07-31 05:59:02)
Cumple servicio de 14 a 18Hs por devolucion de hs  del dia 19/07</t>
      </text>
    </comment>
    <comment authorId="0" ref="F14">
      <text>
        <t xml:space="preserve">======
ID#AAACFj6DptM
Ayudantes De Guardia    (2026-08-13 15:33:19)
ENTRADA 14:05</t>
      </text>
    </comment>
    <comment authorId="0" ref="AA14">
      <text>
        <t xml:space="preserve">======
ID#AAACE8ouunA
Ayudantes De Guardia    (2026-08-07 07:44:59)
FRANCO POR PRESENTISMO AUTORIZADO POR PPAL MONTEROS
AY FERNANDEZ
JS MARTINEZ</t>
      </text>
    </comment>
    <comment authorId="0" ref="F81">
      <text>
        <t xml:space="preserve">======
ID#AAACElkzVyE
Ayudantes De Guardia    (2026-08-01 16:53:40)
Cubre a PC Lacaba, Camila.-</t>
      </text>
    </comment>
    <comment authorId="0" ref="AJ14">
      <text>
        <t xml:space="preserve">======
ID#AAACGNYqgRE
Ayudantes De Guardia    (2026-08-29 06:55:46)
OS 7258</t>
      </text>
    </comment>
    <comment authorId="0" ref="I48">
      <text>
        <t xml:space="preserve">======
ID#AAACEzanGAw
Ayudantes De Guardia    (2026-08-04 15:44:23)
Afectada a la Os. 6422 .-
Barros.-</t>
      </text>
    </comment>
    <comment authorId="0" ref="J48">
      <text>
        <t xml:space="preserve">======
ID#AAACEzanGA0
Ayudantes De Guardia    (2026-08-04 15:44:34)
Afectada a la Os. 6418 .-
Barros.-</t>
      </text>
    </comment>
    <comment authorId="0" ref="O48">
      <text>
        <t xml:space="preserve">======
ID#AAACFaAFWBc
Ayudantes De Guardia    (2026-08-10 14:32:20)
Cubre Puerto Madero.-
Barros.-</t>
      </text>
    </comment>
    <comment authorId="0" ref="Q48">
      <text>
        <t xml:space="preserve">======
ID#AAACFg3VQKQ
Ayudantes De Guardia    (2026-08-12 17:16:42)
14:03HS.-</t>
      </text>
    </comment>
    <comment authorId="0" ref="U48">
      <text>
        <t xml:space="preserve">======
ID#AAACE9d4M5E
Ayudantes De Guardia    (2026-08-08 05:28:54)
FRANCO POR SCORING AUTORIZADO POR PPAL ARGUELLO.-
JS BENITEZ
AYU TIRAVANTI</t>
      </text>
    </comment>
    <comment authorId="0" ref="V48">
      <text>
        <t xml:space="preserve">======
ID#AAACE9d4M5I
Ayudantes De Guardia    (2026-08-08 05:29:08)
FRANCO POR DETENIDOS AUTORIZADO POR PPAL ARGUELLO.-
JS BENITEZ
AYU TIRAVANTI</t>
      </text>
    </comment>
    <comment authorId="0" ref="AB48">
      <text>
        <t xml:space="preserve">======
ID#AAACF4BwPXc
Ayudantes De Guardia    (2026-08-23 15:25:52)
orden 7024/2026</t>
      </text>
    </comment>
    <comment authorId="0" ref="AC48">
      <text>
        <t xml:space="preserve">======
ID#AAACF4UxMOU
Ayudantes De Guardia    (2026-08-24 11:30:14)
OS 7027</t>
      </text>
    </comment>
    <comment authorId="0" ref="AG48">
      <text>
        <t xml:space="preserve">======
ID#AAACFEf4ri4
Ayudantes De Guardia    (2026-08-27 00:08:58)
OS 7153 - CAMION MS 14Hs.</t>
      </text>
    </comment>
    <comment authorId="0" ref="F82">
      <text>
        <t xml:space="preserve">======
ID#AAACElkzVyY
Ayudantes De Guardia    (2026-08-01 17:12:54)
Ingreso 14:09Hs.</t>
      </text>
    </comment>
    <comment authorId="0" ref="G82">
      <text>
        <t xml:space="preserve">======
ID#AAACEvneOlQ
Ayudantes De Guardia    (2026-08-02 17:12:19)
11:05hs. Se comunica informando: Buen día. Quería avisar que hoy no voy a poder presentarme a trabajar, ya que me desperté engripada y durante la noche me levantó fiebre. Voy a realizar la consulta médica correspondiente y presentar el certificado apenas lo tenga. Muchas gracias
JS Aguierre
Garcia</t>
      </text>
    </comment>
    <comment authorId="0" ref="G49">
      <text>
        <t xml:space="preserve">======
ID#AAACEjCaqO4
Ayudantes De Guardia    (2026-07-31 07:53:04)
Cubre a PC. MENDOZA, Nicolas.-
JS. LANGE
AY. ARCE
------
ID#AAACFj6Dpzw
Ayudantes De Guardia    (2026-08-13 17:11:53)
ENTRADA 14:01</t>
      </text>
    </comment>
    <comment authorId="0" ref="H49">
      <text>
        <t xml:space="preserve">======
ID#AAACBvROzQc
Ayudantes De Guardia    (2026-08-03 17:15:50)
14:09</t>
      </text>
    </comment>
    <comment authorId="0" ref="I49">
      <text>
        <t xml:space="preserve">======
ID#AAACEzanGFY
Ayudantes De Guardia    (2026-08-04 17:27:14)
ENTRADA 14:18</t>
      </text>
    </comment>
    <comment authorId="0" ref="K82">
      <text>
        <t xml:space="preserve">======
ID#AAACE3uAOPo
Ayudantes De Guardia    (2026-08-06 14:16:45)
11:12 hrs. el PC María Florencia GUERRA HIDALGO informó que no logra salir de su domicilio debido a que está totalmente anegado. En tal sentido se le consultó si necesita algo, refiriendo la Srita GUERRA que NO. Asimismo, no se podrá presentar al servicio.- 
Barros.-</t>
      </text>
    </comment>
    <comment authorId="0" ref="J49">
      <text>
        <t xml:space="preserve">======
ID#AAACEjCaqO8
Ayudantes De Guardia    (2026-07-31 07:53:21)
Cubre PC. MENDOZA, Nicolas. Autorizado por el Ppal. Monteros.-
JS. LANGE
AY. ARCE</t>
      </text>
    </comment>
    <comment authorId="0" ref="L82">
      <text>
        <t xml:space="preserve">======
ID#AAACE9d4I5s
Ayudantes De Guardia    (2026-08-07 18:26:00)
15:24</t>
      </text>
    </comment>
    <comment authorId="0" ref="M82">
      <text>
        <t xml:space="preserve">======
ID#AAACE3uAOMo
Ayudantes De Guardia    (2026-08-06 13:36:04)
Se genera Lic por Examen PC Guerra Hidalgo Maria con fecha 08/08
JS: AGUIRRE
AY: PAZ</t>
      </text>
    </comment>
    <comment authorId="0" ref="N49">
      <text>
        <t xml:space="preserve">======
ID#AAACD8WzD7I
Ayudantes De Guardia    (2026-07-25 13:20:36)
INGRESA A LAS 18 DEBIDO A HORAS FRANCAS POR SERVICIO DEL 19/07.-
JS BENITEZ
AYU TIRAVANTI
------
ID#AAACFwt2RS4
División Centros de Monitoreo Urbano    (2026-08-18 13:21:41)
18:01</t>
      </text>
    </comment>
    <comment authorId="0" ref="O49">
      <text>
        <t xml:space="preserve">======
ID#AAACFaAFW9Y
Ayudantes De Guardia    (2026-08-10 17:29:34)
14:22HS.-</t>
      </text>
    </comment>
    <comment authorId="0" ref="Q82">
      <text>
        <t xml:space="preserve">======
ID#AAACFg3VQMc
Ayudantes De Guardia    (2026-08-12 17:41:25)
14:38HS.-</t>
      </text>
    </comment>
    <comment authorId="0" ref="P49">
      <text>
        <t xml:space="preserve">======
ID#AAACFeh6Jb4
Ayudantes De Guardia    (2026-08-11 17:08:42)
14.08</t>
      </text>
    </comment>
    <comment authorId="0" ref="R82">
      <text>
        <t xml:space="preserve">======
ID#AAACFkrQ8Dc
Ayudantes De Guardia    (2026-08-13 17:34:38)
14:34</t>
      </text>
    </comment>
    <comment authorId="0" ref="Q49">
      <text>
        <t xml:space="preserve">======
ID#AAACFg3VQLY
Ayudantes De Guardia    (2026-08-12 17:27:33)
14:25HS.-</t>
      </text>
    </comment>
    <comment authorId="0" ref="S82">
      <text>
        <t xml:space="preserve">======
ID#AAACFlXurbs
Ayudantes De Guardia    (2026-08-14 14:25:59)
11:13 hrs. el PC GUERRA HIDALGO Florencia informa que no podrá asistir al servicio debido a que debe cuidar se su abuela, no habiendo otra persona en el domicilio.-
Barros.-</t>
      </text>
    </comment>
    <comment authorId="0" ref="T82">
      <text>
        <t xml:space="preserve">======
ID#AAACD8qNCzU
Ayudantes De Guardia    (2026-07-25 02:36:24)
Cubre a PC Ferreira, Erik.-
JS LANGE
AY PEREYRA
------
ID#AAACFuEO5uU
Ayudantes De Guardia    (2026-08-15 17:45:34)
14:14</t>
      </text>
    </comment>
    <comment authorId="0" ref="T49">
      <text>
        <t xml:space="preserve">======
ID#AAACFuEO5uc
Ayudantes De Guardia    (2026-08-15 17:46:54)
14:29</t>
      </text>
    </comment>
    <comment authorId="0" ref="U49">
      <text>
        <t xml:space="preserve">======
ID#AAACFuwVdzg
Ayudantes De Guardia    (2026-08-16 17:16:23)
14:12HS</t>
      </text>
    </comment>
    <comment authorId="0" ref="W82">
      <text>
        <t xml:space="preserve">======
ID#AAACFw3vL5c
Ayudantes De Guardia    (2026-08-18 17:22:24)
14:17HS.-</t>
      </text>
    </comment>
    <comment authorId="0" ref="X82">
      <text>
        <t xml:space="preserve">======
ID#AAACFxygadE
Ayudantes De Guardia    (2026-08-19 17:18:16)
14:13</t>
      </text>
    </comment>
    <comment authorId="0" ref="Z49">
      <text>
        <t xml:space="preserve">======
ID#AAACF1RFIqM
Ayudantes De Guardia    (2026-08-21 17:29:54)
14:29</t>
      </text>
    </comment>
    <comment authorId="0" ref="AA49">
      <text>
        <t xml:space="preserve">======
ID#AAACF29xfYw
Ayudantes De Guardia    (2026-08-22 17:21:40)
Ingreso 14:20Hs.</t>
      </text>
    </comment>
    <comment authorId="0" ref="AB82">
      <text>
        <t xml:space="preserve">======
ID#AAACFYv0mqc
Ayudantes De Guardia    (2026-08-09 03:05:14)
Franco por scoting carta/frecuencia. Autorizado por el Ppal. Berdun.-
JS. LANGE
AY. ARCE</t>
      </text>
    </comment>
    <comment authorId="0" ref="AB49">
      <text>
        <t xml:space="preserve">======
ID#AAACF4BwPYU
Ayudantes De Guardia    (2026-08-23 17:14:52)
14:07</t>
      </text>
    </comment>
    <comment authorId="0" ref="AD82">
      <text>
        <t xml:space="preserve">======
ID#AAACFDX_PjY
Ayudantes De Guardia    (2026-08-25 17:20:11)
14:18</t>
      </text>
    </comment>
    <comment authorId="0" ref="AC49">
      <text>
        <t xml:space="preserve">======
ID#AAACF4UxMiU
Ayudantes De Guardia    (2026-08-24 17:26:19)
14:23HS</t>
      </text>
    </comment>
    <comment authorId="0" ref="AE82">
      <text>
        <t xml:space="preserve">======
ID#AAACFEf4rHE
Ayudantes De Guardia    (2026-08-26 13:55:26)
Cubre Villa Lugano .-
Barros.-</t>
      </text>
    </comment>
    <comment authorId="0" ref="AF49">
      <text>
        <t xml:space="preserve">======
ID#AAACFEf4sVw
Ayudantes De Guardia    (2026-08-27 17:27:47)
14:27HS.-</t>
      </text>
    </comment>
    <comment authorId="0" ref="AG49">
      <text>
        <t xml:space="preserve">======
ID#AAACGJ8w-2o
Ayudantes De Guardia    (2026-08-28 17:57:55)
14:39HS</t>
      </text>
    </comment>
    <comment authorId="0" ref="AH49">
      <text>
        <t xml:space="preserve">======
ID#AAACGNYqgVM
Ayudantes De Guardia    (2026-08-29 17:10:30)
14:09</t>
      </text>
    </comment>
    <comment authorId="0" ref="F83">
      <text>
        <t xml:space="preserve">======
ID#AAACElkzWAo
Ayudantes De Guardia    (2026-08-01 19:01:04)
Ingreso 14:25Hs.</t>
      </text>
    </comment>
    <comment authorId="0" ref="G83">
      <text>
        <t xml:space="preserve">======
ID#AAACEvnePZk
Ayudantes De Guardia    (2026-08-02 17:31:00)
14:26HS.-</t>
      </text>
    </comment>
    <comment authorId="0" ref="F50">
      <text>
        <t xml:space="preserve">======
ID#AAACEjCaqmU
Ayudantes De Guardia    (2026-07-31 13:26:04)
CG por sí misma. Autorizó el Ppal. ARGUELLO.-
Barros.-</t>
      </text>
    </comment>
    <comment authorId="0" ref="K83">
      <text>
        <t xml:space="preserve">======
ID#AAACE3uAOq0
Ayudantes De Guardia    (2026-08-06 17:31:17)
14:15HS.-</t>
      </text>
    </comment>
    <comment authorId="0" ref="L83">
      <text>
        <t xml:space="preserve">======
ID#AAACE9d4Ixg
Ayudantes De Guardia    (2026-08-07 17:16:14)
14:15</t>
      </text>
    </comment>
    <comment authorId="0" ref="M83">
      <text>
        <t xml:space="preserve">======
ID#AAACFwuLW40
División Centros de Monitoreo Urbano    (2026-08-18 13:37:26)
14:11</t>
      </text>
    </comment>
    <comment authorId="0" ref="M50">
      <text>
        <t xml:space="preserve">======
ID#AAACEjCaptw
Ayudantes De Guardia    (2026-07-31 02:33:23)
Cubre a PC ANTINORI, Silvana.-
JS. LANGE
AY. ARCE</t>
      </text>
    </comment>
    <comment authorId="0" ref="Q50">
      <text>
        <t xml:space="preserve">======
ID#AAACE9d4M40
Ayudantes De Guardia    (2026-08-08 05:27:08)
FRANCO POR SCORING AUTORIZADO POR PPAL ARGUELLO.-
JS BENITEZ
AYU TIRAVANTI</t>
      </text>
    </comment>
    <comment authorId="0" ref="T50">
      <text>
        <t xml:space="preserve">======
ID#AAACEjCapt0
Ayudantes De Guardia    (2026-07-31 02:33:45)
Cubre PC ANTINORI, Silvana. Autorizado por el Ppal. Monteros.-
JS. LANGE
AY. ARCE</t>
      </text>
    </comment>
    <comment authorId="0" ref="U50">
      <text>
        <t xml:space="preserve">======
ID#AAACD8WzD7M
Ayudantes De Guardia    (2026-07-25 13:21:00)
SE RETIRA A LAS 18 DEBIDO A HORAS FRANCAS POR SERVICIO DEL 19/07.-
JS BENITEZ
AYU TIRAVANTI</t>
      </text>
    </comment>
    <comment authorId="0" ref="W83">
      <text>
        <t xml:space="preserve">======
ID#AAACFw3vL5g
Ayudantes De Guardia    (2026-08-18 17:27:00)
14:38HS</t>
      </text>
    </comment>
    <comment authorId="0" ref="V50">
      <text>
        <t xml:space="preserve">======
ID#AAACEvICPNw
Ayudantes De Guardia    (2026-08-02 07:46:24)
LA CUBRE EL PC FARIAS NAHUEL AUTORIZADO POR EL PPAL MONTERO 
JS BENITEZ
AY CUELLO</t>
      </text>
    </comment>
    <comment authorId="0" ref="X83">
      <text>
        <t xml:space="preserve">======
ID#AAACFxygadI
Ayudantes De Guardia    (2026-08-19 17:20:10)
14.19</t>
      </text>
    </comment>
    <comment authorId="0" ref="Y83">
      <text>
        <t xml:space="preserve">======
ID#AAACEjCaqPA
Ayudantes De Guardia    (2026-07-31 07:54:54)
POR DEV. DE HORAS HACE DE 18 A 22HS.-
JS. LANGE
AY. ARCE</t>
      </text>
    </comment>
    <comment authorId="0" ref="AB83">
      <text>
        <t xml:space="preserve">======
ID#AAACF4CqGRo
Ayudantes De Guardia    (2026-08-23 17:24:13)
14:22</t>
      </text>
    </comment>
    <comment authorId="0" ref="AC83">
      <text>
        <t xml:space="preserve">======
ID#AAACF4UxMaQ
Ayudantes De Guardia    (2026-08-24 17:14:34)
14:13HS</t>
      </text>
    </comment>
    <comment authorId="0" ref="AD83">
      <text>
        <t xml:space="preserve">======
ID#AAACFDX_Pjg
Ayudantes De Guardia    (2026-08-25 17:22:47)
14:18</t>
      </text>
    </comment>
    <comment authorId="0" ref="AE83">
      <text>
        <t xml:space="preserve">======
ID#AAACFEf4rVM
Ayudantes De Guardia    (2026-08-26 17:18:58)
14:15HS</t>
      </text>
    </comment>
    <comment authorId="0" ref="AI83">
      <text>
        <t xml:space="preserve">======
ID#AAACGOBaAzA
Ayudantes De Guardia    (2026-08-30 17:30:48)
14:08</t>
      </text>
    </comment>
    <comment authorId="0" ref="AH50">
      <text>
        <t xml:space="preserve">======
ID#AAACFu68B_8
Ayudantes De Guardia    (2026-08-17 03:08:54)
FRANCO POR PROCEDIMIENTO CON IMPUTADOS, AUTORIZADO POR PPAL ROMERO.-
JS BENITEZ
AYU TIRAVANTI</t>
      </text>
    </comment>
    <comment authorId="0" ref="AJ50">
      <text>
        <t xml:space="preserve">======
ID#AAACEvICPN0
Ayudantes De Guardia    (2026-08-02 07:46:41)
CUBRE AL PC FARIAS NAHUEL AUTORIZADO POR EL PPAL MONTEROS. 
AY CUELLO
JS BENITEZ</t>
      </text>
    </comment>
    <comment authorId="0" ref="F51">
      <text>
        <t xml:space="preserve">======
ID#AAACElkzVyA
Ayudantes De Guardia    (2026-08-01 16:53:03)
Cubre a Rossi, Lucia .-</t>
      </text>
    </comment>
    <comment authorId="0" ref="J18">
      <text>
        <t xml:space="preserve">======
ID#AAACEi7Hk2I
Ayudantes De Guardia    (2026-07-30 21:38:28)
Devuelve guardia.-
JS. LANGE
AY. ARCE</t>
      </text>
    </comment>
    <comment authorId="0" ref="N51">
      <text>
        <t xml:space="preserve">======
ID#AAACEvICPOA
Ayudantes De Guardia    (2026-08-02 07:51:39)
CUBRE MORALES EZEQUIEL AUTORIZADO POR EL PPAL MONTEROS
AY CUELLO
JS BENITEZ</t>
      </text>
    </comment>
    <comment authorId="0" ref="Q84">
      <text>
        <t xml:space="preserve">======
ID#AAACFg3VQKw
Ayudantes De Guardia    (2026-08-12 17:24:12)
14:03 HS.-</t>
      </text>
    </comment>
    <comment authorId="0" ref="R51">
      <text>
        <t xml:space="preserve">======
ID#AAACEvICPOE
Ayudantes De Guardia    (2026-08-02 07:52:37)
LO CUBRE AL PC MORALES EZEQUIEL AUTORIZADO POR EL PPAL MONTEROS.
AY CUELLO 
JS BENITEZ</t>
      </text>
    </comment>
    <comment authorId="0" ref="T51">
      <text>
        <t xml:space="preserve">======
ID#AAACE0sgUnA
Ayudantes De Guardia    (2026-08-05 08:21:55)
FRANCO POR PRESENTISMO AUTORIZADO POR PPAL ARGUELLO.-
JS BENITEZ
AYU TIRAVANTI</t>
      </text>
    </comment>
    <comment authorId="0" ref="U51">
      <text>
        <t xml:space="preserve">======
ID#AAACD8WzD7Q
Ayudantes De Guardia    (2026-07-25 13:21:19)
SE RETIRA A LAS 18 DEBIDO A HORAS FRANCAS POR SERVICIO DEL 19/07.-
JS BENITEZ
AYU TIRAVANTI</t>
      </text>
    </comment>
    <comment authorId="0" ref="W84">
      <text>
        <t xml:space="preserve">======
ID#AAACFw3vL5Q
Ayudantes De Guardia    (2026-08-18 17:20:49)
14:02HS</t>
      </text>
    </comment>
    <comment authorId="0" ref="Y84">
      <text>
        <t xml:space="preserve">======
ID#AAACFy0qn-E
Ayudantes De Guardia    (2026-08-20 17:10:28)
14:02HS.-</t>
      </text>
    </comment>
    <comment authorId="0" ref="Z51">
      <text>
        <t xml:space="preserve">======
ID#AAACF1RFIq4
Ayudantes De Guardia    (2026-08-21 18:00:19)
CUBRIO EL DIA 01/08
SEBASTIA 
CISNEROS</t>
      </text>
    </comment>
    <comment authorId="0" ref="AB84">
      <text>
        <t xml:space="preserve">======
ID#AAACF4CqGRQ
Ayudantes De Guardia    (2026-08-23 17:15:58)
14:03</t>
      </text>
    </comment>
    <comment authorId="0" ref="AB18">
      <text>
        <t xml:space="preserve">======
ID#AAACFxUTQ0o
Ayudantes De Guardia    (2026-08-19 08:57:01)
Cubre a PC Campilongo por cambio de guardia autorizado por Ppal. Monteros.
Ayud. Aguilar
JS. Martinez.-</t>
      </text>
    </comment>
    <comment authorId="0" ref="AE84">
      <text>
        <t xml:space="preserve">======
ID#AAACEjCaqH8
Ayudantes De Guardia    (2026-07-31 05:58:50)
POR DEV. DE HORAS REALIZA DE 14 A 18HS.-
JS. LANGE
AY. ARCE
------
ID#AAACFEf4rU8
Ayudantes De Guardia    (2026-08-26 17:17:29)
14:01HS</t>
      </text>
    </comment>
    <comment authorId="0" ref="AG18">
      <text>
        <t xml:space="preserve">======
ID#AAACFxUTQ0k
Ayudantes De Guardia    (2026-08-19 08:56:32)
Cambio de guardia con PC CAMPILONGO Valentin autorizado por PPAL. MONTEROS.
Ayud. Aguilar
JS. Martinez</t>
      </text>
    </comment>
    <comment authorId="0" ref="AI84">
      <text>
        <t xml:space="preserve">======
ID#AAACE3uAN1U
Ayudantes De Guardia    (2026-08-06 07:10:47)
Franco por presentismo. Autorizado por el Ppal. Kelly.-
JS. LANGE
AY. ARCE</t>
      </text>
    </comment>
    <comment authorId="0" ref="G85">
      <text>
        <t xml:space="preserve">======
ID#AAACEjCaqII
Ayudantes De Guardia    (2026-07-31 05:59:33)
Cumple servicio de 14 a 18Hs por devolucion de hs 19/07</t>
      </text>
    </comment>
    <comment authorId="0" ref="F19">
      <text>
        <t xml:space="preserve">======
ID#AAACFj6DptE
Ayudantes De Guardia    (2026-08-13 15:30:35)
ENTRADA 14:04</t>
      </text>
    </comment>
    <comment authorId="0" ref="H52">
      <text>
        <t xml:space="preserve">======
ID#AAACBvROzIM
Ayudantes De Guardia    (2026-08-03 15:40:55)
Se comunica informando que no se hara presente por estar descompuesta
Cisneros 
Sebastia</t>
      </text>
    </comment>
    <comment authorId="0" ref="G19">
      <text>
        <t xml:space="preserve">======
ID#AAACEvnePZY
Ayudantes De Guardia    (2026-08-02 17:25:32)
14:23HS.-</t>
      </text>
    </comment>
    <comment authorId="0" ref="H19">
      <text>
        <t xml:space="preserve">======
ID#AAACBvROzRI
Ayudantes De Guardia    (2026-08-03 17:20:24)
14:19</t>
      </text>
    </comment>
    <comment authorId="0" ref="I19">
      <text>
        <t xml:space="preserve">======
ID#AAACEzanGEk
Ayudantes De Guardia    (2026-08-04 17:13:06)
14:12 HS.-</t>
      </text>
    </comment>
    <comment authorId="0" ref="N52">
      <text>
        <t xml:space="preserve">======
ID#AAACD8WzD7Y
Ayudantes De Guardia    (2026-07-25 13:21:37)
SE RETIRA A LAS 18 DEBIDO A HORAS FRANCAS POR SERVICIO DEL 19/07.-
JS BENITEZ
AYU TIRAVANTI</t>
      </text>
    </comment>
    <comment authorId="0" ref="O19">
      <text>
        <t xml:space="preserve">======
ID#AAACFaAFWA0
Ayudantes De Guardia    (2026-08-10 14:25:55)
Cubre Puerto Madero.- 
Barros.-
------
ID#AAACFaAFW9A
Ayudantes De Guardia    (2026-08-10 17:25:21)
14:25</t>
      </text>
    </comment>
    <comment authorId="0" ref="R19">
      <text>
        <t xml:space="preserve">======
ID#AAACFkrQ8F8
Ayudantes De Guardia    (2026-08-13 18:01:14)
14:53</t>
      </text>
    </comment>
    <comment authorId="0" ref="S19">
      <text>
        <t xml:space="preserve">======
ID#AAACFlXut0U
Ayudantes De Guardia    (2026-08-14 17:25:46)
14:24HS.-</t>
      </text>
    </comment>
    <comment authorId="0" ref="T52">
      <text>
        <t xml:space="preserve">======
ID#AAACE9d4M4k
Ayudantes De Guardia    (2026-08-08 05:25:47)
FRANCO POR SCORING AUTORIZADO POR PPAL ARGUELLO.-
JS BENITEZ
AYU TIRAVANTI</t>
      </text>
    </comment>
    <comment authorId="0" ref="T19">
      <text>
        <t xml:space="preserve">======
ID#AAACFuEO5tg
Ayudantes De Guardia    (2026-08-15 16:18:34)
Siendo las 12:23hs se comunica PC Sanchez Iona informando que no se hara presente al servicio debido a fiebre.-
JS BENITEZ
AYU TIRAVANTI</t>
      </text>
    </comment>
    <comment authorId="0" ref="U19">
      <text>
        <t xml:space="preserve">======
ID#AAACFupIDLg
Ayudantes De Guardia    (2026-08-16 12:21:19)
Cubre Puerto Madero. 
Barros.-</t>
      </text>
    </comment>
    <comment authorId="0" ref="Y19">
      <text>
        <t xml:space="preserve">======
ID#AAACFxehLYw
Ayudantes De Guardia    (2026-08-20 14:21:46)
11:18 horas informó el PC Iona SANCHEZ que no asistirá al servicio debido a que posee dolor estomacal. Adeuda certificado médico.-
Barros.-
------
ID#AAACF1RFIrE
Ayudantes De Guardia    (2026-08-21 18:08:19)
Se recibe certificado medico de PC Sanchez Iona con fecha 20/08 indicando resposo por 48 Hs.-
CISNEROS
QUIROGA</t>
      </text>
    </comment>
    <comment authorId="0" ref="Z19">
      <text>
        <t xml:space="preserve">======
ID#AAACF1RFIqU
Ayudantes De Guardia    (2026-08-21 17:31:55)
EN CONSULTA</t>
      </text>
    </comment>
    <comment authorId="0" ref="AB85">
      <text>
        <t xml:space="preserve">======
ID#AAACE3uAN1Y
Ayudantes De Guardia    (2026-08-06 07:10:58)
Franco por presentismo. Autorizado por el Ppal. Kelly.-
JS. LANGE
AY. ARCE</t>
      </text>
    </comment>
    <comment authorId="0" ref="AA19">
      <text>
        <t xml:space="preserve">======
ID#AAACF29xfYI
Ayudantes De Guardia    (2026-08-22 17:14:20)
Ingreso 14:07Hs.</t>
      </text>
    </comment>
    <comment authorId="0" ref="AD19">
      <text>
        <t xml:space="preserve">======
ID#AAACFDX_Pj4
Ayudantes De Guardia    (2026-08-25 17:59:13)
14:48</t>
      </text>
    </comment>
    <comment authorId="0" ref="AF52">
      <text>
        <t xml:space="preserve">======
ID#AAACE0sgUnE
Ayudantes De Guardia    (2026-08-05 08:22:22)
FRANCO POR PRESENTISMO AUTORIZADO POR PPAL ARGUELLO.-
JS BENITEZ
AYU TIRAVANTI</t>
      </text>
    </comment>
    <comment authorId="0" ref="AF19">
      <text>
        <t xml:space="preserve">======
ID#AAACFEf4sSc
Ayudantes De Guardia    (2026-08-27 14:57:39)
Siendo las 11:54hs se comunica PC SANCHEZ Iona informando: Hola buen día, quería dar aviso que no me voy a poder presentar al servicio ya que me encuentro con fiebre. Enviara certificado
CISNEROS 
QUIROGA</t>
      </text>
    </comment>
    <comment authorId="0" ref="AG19">
      <text>
        <t xml:space="preserve">======
ID#AAACGJ8w-yA
Ayudantes De Guardia    (2026-08-28 13:37:37)
Cubre Puerto Madero.- 
Barros.-
------
ID#AAACGJ8w-10
Ayudantes De Guardia    (2026-08-28 17:26:59)
14:26HS</t>
      </text>
    </comment>
    <comment authorId="0" ref="F20">
      <text>
        <t xml:space="preserve">======
ID#AAACElkzWAw
Ayudantes De Guardia    (2026-08-01 19:01:27)
Ingreso 14:38Hs.</t>
      </text>
    </comment>
    <comment authorId="0" ref="G20">
      <text>
        <t xml:space="preserve">======
ID#AAACEvnePag
Ayudantes De Guardia    (2026-08-02 18:09:01)
15:07HS.-</t>
      </text>
    </comment>
    <comment authorId="0" ref="H20">
      <text>
        <t xml:space="preserve">======
ID#AAACBvROzSA
Ayudantes De Guardia    (2026-08-03 17:41:44)
14:40</t>
      </text>
    </comment>
    <comment authorId="0" ref="K86">
      <text>
        <t xml:space="preserve">======
ID#AAACE3uAORc
Ayudantes De Guardia    (2026-08-06 14:48:48)
Cubre Villa Lugano.- 
Barros.-</t>
      </text>
    </comment>
    <comment authorId="0" ref="I20">
      <text>
        <t xml:space="preserve">======
ID#AAACEzanGF0
Ayudantes De Guardia    (2026-08-04 17:33:37)
14:33HS.-</t>
      </text>
    </comment>
    <comment authorId="0" ref="L86">
      <text>
        <t xml:space="preserve">======
ID#AAACEM1uM7g
Ayudantes De Guardia    (2026-07-29 03:23:01)
CUBRE PC YASKULOWSKI AUTORIZADO POR PPAL MONTEROS
AY FERNANDEZ
JS MARTINEZ</t>
      </text>
    </comment>
    <comment authorId="0" ref="P86">
      <text>
        <t xml:space="preserve">======
ID#AAACFeh6JcU
Ayudantes De Guardia    (2026-08-11 17:12:35)
14:12</t>
      </text>
    </comment>
    <comment authorId="0" ref="Q86">
      <text>
        <t xml:space="preserve">======
ID#AAACFg3VQLU
Ayudantes De Guardia    (2026-08-12 17:26:05)
14:13HS.-</t>
      </text>
    </comment>
    <comment authorId="0" ref="T86">
      <text>
        <t xml:space="preserve">======
ID#AAACEM1uM7U
Ayudantes De Guardia    (2026-07-29 03:21:39)
CUBRE A PC YASKULOWSKI AUTORIZADO POR PPAL MONTEROS
AY FERNANDEZ
JS MARTINEZ</t>
      </text>
    </comment>
    <comment authorId="0" ref="W86">
      <text>
        <t xml:space="preserve">======
ID#AAACFwuLW48
Ayudantes De Guardia    (2026-08-18 13:40:40)
Siendo las 10:16 hrs, el PC Florencia CEBALLLOS informó que no asistirá al servicio debido a que se encuentra en camino a la guardia del Hospital PENNA. Adeuda certificado médico.-
Barros.-
------
ID#AAACFxgwuVs
Ayudantes De Guardia    (2026-08-19 13:10:27)
Se recibe certificado de PC Ceballos del 18/08 justificando ausencia.-
Cisneros
Couso</t>
      </text>
    </comment>
    <comment authorId="0" ref="X86">
      <text>
        <t xml:space="preserve">======
ID#AAACFxgwuVI
Ayudantes De Guardia    (2026-08-19 12:28:23)
se comunica e informa: ayer estuve bastante mal. 
Hoy un poco mejor, igualmente hoy tengo turno también para un control asique a penas me evalúen mando por este medio el certificado del día de hoy también que no podré asistir. 
CISNEROS 
SEBASTIA
------
ID#AAACFzattkU
Ayudantes De Guardia    (2026-08-21 10:47:17)
Se recibe certificado x 24hs 
CISNEROS 
QUIROGA</t>
      </text>
    </comment>
    <comment authorId="0" ref="Y86">
      <text>
        <t xml:space="preserve">======
ID#AAACFy0qoBI
Ayudantes De Guardia    (2026-08-20 17:27:37)
12:08HS Se comunica PC Ceballos manifestando que sigue sin poder moverse mucho. Por lo que no estaría asistiendo al servicio del día de la fecha.-
JS Aguirre
Ayte García
------
ID#AAACFzattkQ
Ayudantes De Guardia    (2026-08-21 10:37:47)
Se recibe certificado de PC Ceballos del 20/08 reposo por 48hs 
CISNEROS 
QUIROGA</t>
      </text>
    </comment>
    <comment authorId="0" ref="AB86">
      <text>
        <t xml:space="preserve">======
ID#AAACF4CqGRk
Ayudantes De Guardia    (2026-08-23 17:23:49)
LA MISMA 14:23 INFORMA QUE NO SE HARA PRESENTE 
SEBASTIA 
CISNEROS</t>
      </text>
    </comment>
    <comment authorId="0" ref="AC86">
      <text>
        <t xml:space="preserve">======
ID#AAACF4UxMPw
Ayudantes De Guardia    (2026-08-24 13:07:32)
Siendo las 10:03 hs se comunica el Pc CEballos Florencia infomando SIC Buenas tardes. 
Para recordar que hoy tengo el turno con cirugía. 
Yo había enviado ya el papel del turno hace unos días. 
Todavía no ingresé, pero en breve me llaman. 
Por lo que no asistiré a la guardia de el día de hoy. 
Envío constancia y novedades a penas las tenga. 
Por las dudas mi teléfono lo va tener mi mamá, por si me operan. 
Ella va avisar cualquier cosa.
Js Lahitte 
Ay Krakovsky
------
ID#AAACFDX_Pkc
Ayudantes De Guardia    (2026-08-25 19:54:38)
Se recibe certificado médico de PC Ceballos Florencia con fecha 24/08 indicando 72hs de reposo.-
CISNEROS 
QUIROGA</t>
      </text>
    </comment>
    <comment authorId="0" ref="AB53">
      <text>
        <t xml:space="preserve">======
ID#AAACE0sgUnI
Ayudantes De Guardia    (2026-08-05 08:22:50)
FRANCO POR PRESENTISMO AUTORIZADO POR PPAL ARGUELLO.-
JS BENITEZ
AYU TIRAVANTI</t>
      </text>
    </comment>
    <comment authorId="0" ref="AI86">
      <text>
        <t xml:space="preserve">======
ID#AAACGNYqgac
Ayudantes De Guardia    (2026-08-30 11:15:14)
08:08 horas informó el PC Florencia CEBALLOS que no podrá asistir al servicio debido a que posee turno médico, el día Lunes enviará las constancias correspondientes. Asimismo, informa haber interiorizado a la administración de su situación.- 
Barros.-</t>
      </text>
    </comment>
    <comment authorId="0" ref="AJ86">
      <text>
        <t xml:space="preserve">======
ID#AAACFHzHSus
Ayudantes De Guardia    (2026-08-31 12:05:18)
Siendo las 08:56hs se comunica PC Ceballos Florencia "Grupo F" TT informando: Hola buen día. 
Es para avisar que hoy tengo mi revisión con el médico, por lo cual no podré asistir a la guardia de hoy. Estaré enviando al email también
CISNEROS 
QUIROGA</t>
      </text>
    </comment>
    <comment authorId="0" ref="F87">
      <text>
        <t xml:space="preserve">======
ID#AAACElkzVyU
Ayudantes De Guardia    (2026-08-01 17:12:37)
Ingreso 14:09Hs.</t>
      </text>
    </comment>
    <comment authorId="0" ref="I54">
      <text>
        <t xml:space="preserve">======
ID#AAACEzanGCI
Ayudantes De Guardia    (2026-08-04 15:54:04)
Cubre Puerto Madero.-
Barros.-</t>
      </text>
    </comment>
    <comment authorId="0" ref="J54">
      <text>
        <t xml:space="preserve">======
ID#AAACE3uAMwM
Ayudantes De Guardia    (2026-08-05 17:14:02)
14:09</t>
      </text>
    </comment>
    <comment authorId="0" ref="L87">
      <text>
        <t xml:space="preserve">======
ID#AAACE9d4Ixs
Ayudantes De Guardia    (2026-08-07 17:19:24)
14:17</t>
      </text>
    </comment>
    <comment authorId="0" ref="N54">
      <text>
        <t xml:space="preserve">======
ID#AAACFlioRcM
División Centros de Monitoreo Urbano    (2026-08-14 18:04:52)
14:05 HS</t>
      </text>
    </comment>
    <comment authorId="0" ref="O54">
      <text>
        <t xml:space="preserve">======
ID#AAACFaAFW8s
Ayudantes De Guardia    (2026-08-10 17:13:02)
14:08HS.-</t>
      </text>
    </comment>
    <comment authorId="0" ref="P54">
      <text>
        <t xml:space="preserve">======
ID#AAACFeh6Jb0
Ayudantes De Guardia    (2026-08-11 17:08:29)
14:07</t>
      </text>
    </comment>
    <comment authorId="0" ref="Q54">
      <text>
        <t xml:space="preserve">======
ID#AAACFg3VQKY
Ayudantes De Guardia    (2026-08-12 17:17:45)
14:03HS.-</t>
      </text>
    </comment>
    <comment authorId="0" ref="P21">
      <text>
        <t xml:space="preserve">======
ID#AAACFY8BCRA
Ayudantes De Guardia    (2026-08-09 17:45:45)
14:45</t>
      </text>
    </comment>
    <comment authorId="0" ref="S87">
      <text>
        <t xml:space="preserve">======
ID#AAACFlXut08
Ayudantes De Guardia    (2026-08-14 17:32:45)
14:31HS.-</t>
      </text>
    </comment>
    <comment authorId="0" ref="T54">
      <text>
        <t xml:space="preserve">======
ID#AAACFuEO5uI
Ayudantes De Guardia    (2026-08-15 17:44:38)
14:07</t>
      </text>
    </comment>
    <comment authorId="0" ref="W87">
      <text>
        <t xml:space="preserve">======
ID#AAACFw3vL5Y
Ayudantes De Guardia    (2026-08-18 17:22:01)
14:07HS.-</t>
      </text>
    </comment>
    <comment authorId="0" ref="U21">
      <text>
        <t xml:space="preserve">======
ID#AAACE8ouunE
Ayudantes De Guardia    (2026-08-07 07:45:00)
FRANCO POR PRESENTISMO AUTORIZADO POR PPAL MONTEROS
AY FERNANDEZ
JS MARTINEZ</t>
      </text>
    </comment>
    <comment authorId="0" ref="V54">
      <text>
        <t xml:space="preserve">======
ID#AAACE0sgUnM
Ayudantes De Guardia    (2026-08-05 08:23:10)
FRANCO POR PRESENTISMO AUTORIZADO POR PPAL ARGUELLO.-
JS BENITEZ
AYU TIRAVANTI</t>
      </text>
    </comment>
    <comment authorId="0" ref="X87">
      <text>
        <t xml:space="preserve">======
ID#AAACFxygacw
Ayudantes De Guardia    (2026-08-19 17:11:20)
14:01</t>
      </text>
    </comment>
    <comment authorId="0" ref="Y87">
      <text>
        <t xml:space="preserve">======
ID#AAACFxehLYs
Ayudantes De Guardia    (2026-08-20 14:19:22)
11:16 horas el PC Raquel Martinez informa que se encuentra descompuesta, que no asistirá al servicio, adeuda certificado médico.-
Barros.-</t>
      </text>
    </comment>
    <comment authorId="0" ref="AB87">
      <text>
        <t xml:space="preserve">======
ID#AAACF3VocqM
Ayudantes De Guardia    (2026-08-23 12:48:25)
Se recibe certificado de PC Martinez Raquel del 23/08 reposo por 48hs
CISNEROS 
SEBASTIA
======
ID#AAACF3VocqI
Ayudantes De Guardia    (2026-08-23 12:48:23)
Buenos dias! Se recibe certificado de PC Martinez Raquel del 23/08 reposo por 48hs
CISNEROS 
QUIROGA</t>
      </text>
    </comment>
    <comment authorId="0" ref="AD87">
      <text>
        <t xml:space="preserve">======
ID#AAACF6albsE
Ayudantes De Guardia    (2026-08-25 13:44:02)
Siendo las 10:42hs se comunica PC Martinez Raquel Fernanda informando: Buen día, me comunico para informar que en el día de hoy continúo convaleciente por la neumonia ,no puedo presentarme al servicio .
Pido disculpas por las molestias ocasionadas y estaré enviando la constancia correspondiente.
CISNEROS 
QUIROGA</t>
      </text>
    </comment>
    <comment authorId="0" ref="AE87">
      <text>
        <t xml:space="preserve">======
ID#AAACFEf4rVA
Ayudantes De Guardia    (2026-08-26 17:17:48)
14:01HS</t>
      </text>
    </comment>
    <comment authorId="0" ref="AG54">
      <text>
        <t xml:space="preserve">======
ID#AAACGJ8w-08
Ayudantes De Guardia    (2026-08-28 17:04:38)
14:02HS</t>
      </text>
    </comment>
    <comment authorId="0" ref="AH54">
      <text>
        <t xml:space="preserve">======
ID#AAACGNYqgVQ
Ayudantes De Guardia    (2026-08-29 17:10:41)
14:07</t>
      </text>
    </comment>
    <comment authorId="0" ref="AG21">
      <text>
        <t xml:space="preserve">======
ID#AAACE8ouvGo
Ayudantes De Guardia    (2026-08-07 07:55:38)
FRANCO POR EVENTOS INTERVENIDOS MONITOREO AUTORIZADO POR PPAL MONTEROS
AY FERNANDEZ
JS MARTINEZ</t>
      </text>
    </comment>
    <comment authorId="0" ref="F22">
      <text>
        <t xml:space="preserve">======
ID#AAACFj6DptQ
Ayudantes De Guardia    (2026-08-13 15:33:51)
ENTRADA 14:05</t>
      </text>
    </comment>
    <comment authorId="0" ref="G22">
      <text>
        <t xml:space="preserve">======
ID#AAACFj6Dpzs
Ayudantes De Guardia    (2026-08-13 17:10:32)
ENTRADA 14:01</t>
      </text>
    </comment>
    <comment authorId="0" ref="J55">
      <text>
        <t xml:space="preserve">======
ID#AAACFlioRcQ
División Centros de Monitoreo Urbano    (2026-08-14 18:06:02)
14:05 HS</t>
      </text>
    </comment>
    <comment authorId="0" ref="N22">
      <text>
        <t xml:space="preserve">======
ID#AAACE8ouvGk
Ayudantes De Guardia    (2026-08-07 07:55:21)
FRANCO POR EVENTOS INTERVENIDOS MONITOREO AUTORIZADO POR PPAL MONTEROS
AY FERNANDEZ
JS MARTINEZ</t>
      </text>
    </comment>
    <comment authorId="0" ref="Q55">
      <text>
        <t xml:space="preserve">======
ID#AAACFg3VQKc
Ayudantes De Guardia    (2026-08-12 17:18:09)
14:10 HS.-</t>
      </text>
    </comment>
    <comment authorId="0" ref="S22">
      <text>
        <t xml:space="preserve">======
ID#AAACFlXut0w
División Centros de Monitoreo Urbano    (2026-08-14 17:30:36)
14:04HS</t>
      </text>
    </comment>
    <comment authorId="0" ref="V55">
      <text>
        <t xml:space="preserve">======
ID#AAACFvhluqY
Ayudantes De Guardia    (2026-08-17 17:09:40)
14:03</t>
      </text>
    </comment>
    <comment authorId="0" ref="U22">
      <text>
        <t xml:space="preserve">======
ID#AAACFlpviX8
Ayudantes De Guardia    (2026-08-14 20:03:10)
Cumple horario de 06 a 14 hrs. Solo por HOY.- 
Barros.-</t>
      </text>
    </comment>
    <comment authorId="0" ref="AA55">
      <text>
        <t xml:space="preserve">======
ID#AAACF29xfYo
Ayudantes De Guardia    (2026-08-22 17:21:09)
Ingreso 14:18Hs.</t>
      </text>
    </comment>
    <comment authorId="0" ref="AB88">
      <text>
        <t xml:space="preserve">======
ID#AAACF4CqGRU
Ayudantes De Guardia    (2026-08-23 17:20:17)
14:18</t>
      </text>
    </comment>
    <comment authorId="0" ref="AB55">
      <text>
        <t xml:space="preserve">======
ID#AAACF4BwPYQ
Ayudantes De Guardia    (2026-08-23 17:14:35)
14:08</t>
      </text>
    </comment>
    <comment authorId="0" ref="AE22">
      <text>
        <t xml:space="preserve">======
ID#AAACFEf4rIE
Ayudantes De Guardia    (2026-08-26 15:03:37)
Realiza horarios de 12 a 20 hrs. solo por hoy. 
Barros.-</t>
      </text>
    </comment>
    <comment authorId="0" ref="AF55">
      <text>
        <t xml:space="preserve">======
ID#AAACD8WzD7g
Ayudantes De Guardia    (2026-07-25 13:23:04)
SE RETIRA A LAS 18 DEBIDO A HORAS FRANCAS POR SERVICIO DEL 19/07.-
JS BENITEZ
AYU TIRAVANTI</t>
      </text>
    </comment>
    <comment authorId="0" ref="AG55">
      <text>
        <t xml:space="preserve">======
ID#AAACGJ8w-2k
Ayudantes De Guardia    (2026-08-28 17:57:33)
14:51HS</t>
      </text>
    </comment>
    <comment authorId="0" ref="AG22">
      <text>
        <t xml:space="preserve">======
ID#AAACGTcXLy0
División Centros de Monitoreo Urbano    (2026-09-01 10:53:50)
14:01</t>
      </text>
    </comment>
    <comment authorId="0" ref="AH55">
      <text>
        <t xml:space="preserve">======
ID#AAACGNYqgVE
Ayudantes De Guardia    (2026-08-29 17:09:10)
14:07</t>
      </text>
    </comment>
    <comment authorId="0" ref="F89">
      <text>
        <t xml:space="preserve">======
ID#AAACFj6Dps0
Ayudantes De Guardia    (2026-08-13 15:29:03)
ENTRADA 14:03</t>
      </text>
    </comment>
    <comment authorId="0" ref="K89">
      <text>
        <t xml:space="preserve">======
ID#AAACE3uANqI
Ayudantes De Guardia    (2026-08-06 05:24:46)
POR DEV. DE HORAS HACE DE 14 A 18HS.-
JS. LANGE
AY. ARCE</t>
      </text>
    </comment>
    <comment authorId="0" ref="M89">
      <text>
        <t xml:space="preserve">======
ID#AAACFloa6PQ
División Centros de Monitoreo Urbano    (2026-08-14 18:26:58)
14:02 HS</t>
      </text>
    </comment>
    <comment authorId="0" ref="R89">
      <text>
        <t xml:space="preserve">======
ID#AAACFj6Dpzc
Ayudantes De Guardia    (2026-08-13 17:08:40)
14:01</t>
      </text>
    </comment>
    <comment authorId="0" ref="Q56">
      <text>
        <t xml:space="preserve">======
ID#AAACFg3VQMY
Ayudantes De Guardia    (2026-08-12 17:41:05)
14:39HS.-</t>
      </text>
    </comment>
    <comment authorId="0" ref="S89">
      <text>
        <t xml:space="preserve">======
ID#AAACFlXut0M
Ayudantes De Guardia    (2026-08-14 17:25:15)
14:02HS.-</t>
      </text>
    </comment>
    <comment authorId="0" ref="X89">
      <text>
        <t xml:space="preserve">======
ID#AAACFxygac0
Ayudantes De Guardia    (2026-08-19 17:11:33)
14:01</t>
      </text>
    </comment>
    <comment authorId="0" ref="Z56">
      <text>
        <t xml:space="preserve">======
ID#AAACFx6eryI
Ayudantes De Guardia    (2026-08-19 20:00:47)
OS N° 6353</t>
      </text>
    </comment>
    <comment authorId="0" ref="AA56">
      <text>
        <t xml:space="preserve">======
ID#AAACFx6eryM
Ayudantes De Guardia    (2026-08-19 20:00:53)
OS N° 6353
------
ID#AAACF2tlS0M
Ayudantes De Guardia    (2026-08-22 12:54:23)
LUGANO.-
------
ID#AAACF29xfYU
Ayudantes De Guardia    (2026-08-22 17:19:27)
Ingreso 14:05Hs.</t>
      </text>
    </comment>
    <comment authorId="0" ref="AB56">
      <text>
        <t xml:space="preserve">======
ID#AAACFx6eryQ
Ayudantes De Guardia    (2026-08-19 20:00:59)
OS N° 6353</t>
      </text>
    </comment>
    <comment authorId="0" ref="AA23">
      <text>
        <t xml:space="preserve">======
ID#AAACE8ouunI
Ayudantes De Guardia    (2026-08-07 07:45:02)
FRANCO POR PRESENTISMO AUTORIZADO POR PPAL MONTEROS
AY FERNANDEZ
JS MARTINEZ</t>
      </text>
    </comment>
    <comment authorId="0" ref="AC56">
      <text>
        <t xml:space="preserve">======
ID#AAACD8WzD7k
Ayudantes De Guardia    (2026-07-25 13:23:15)
SE RETIRA A LAS 18 DEBIDO A HORAS FRANCAS POR SERVICIO DEL 19/07.-
JS BENITEZ
AYU TIRAVANTI</t>
      </text>
    </comment>
    <comment authorId="0" ref="AI89">
      <text>
        <t xml:space="preserve">======
ID#AAACE3uAN1c
Ayudantes De Guardia    (2026-08-06 07:11:45)
Franco por presentismo. Autorizado por el Ppal. Kelly.-
JS. LANGE
AY. ARCE</t>
      </text>
    </comment>
    <comment authorId="0" ref="I57">
      <text>
        <t xml:space="preserve">======
ID#AAACEzanGDs
Ayudantes De Guardia    (2026-08-04 16:33:22)
CUBRE PM.-</t>
      </text>
    </comment>
    <comment authorId="0" ref="J57">
      <text>
        <t xml:space="preserve">======
ID#AAACD8WzD8c
Ayudantes De Guardia    (2026-07-25 13:43:28)
SE RETIRA A LAS 18 DEBIDO A HORAS FRANCAS POR SERVICIO DEL 19/07.-
JS BENITEZ
AYU TIRAVANTI</t>
      </text>
    </comment>
    <comment authorId="0" ref="L24">
      <text>
        <t xml:space="preserve">======
ID#AAACEM1uM7Y
Ayudantes De Guardia    (2026-07-29 03:21:59)
CUBRE A PC CEBALLOS AUTORIZADO POR PPAL MONTEROS
AY FERNANDEZ
JS MARTINEZ</t>
      </text>
    </comment>
    <comment authorId="0" ref="U57">
      <text>
        <t xml:space="preserve">======
ID#AAACFuvRju4
Ayudantes De Guardia    (2026-08-16 16:17:45)
Cubre Puerto Madero.- 
Barros.-</t>
      </text>
    </comment>
    <comment authorId="0" ref="T24">
      <text>
        <t xml:space="preserve">======
ID#AAACEM1uM7Q
Ayudantes De Guardia    (2026-07-29 03:21:02)
CUBRE PC CEBALLOS AUTORIZADO POR PPAL MONTEROS
AY FERNANDEZ
JS MARTINEZ</t>
      </text>
    </comment>
    <comment authorId="0" ref="V57">
      <text>
        <t xml:space="preserve">======
ID#AAACFvhluqE
Ayudantes De Guardia    (2026-08-17 17:00:20)
MADERO</t>
      </text>
    </comment>
    <comment authorId="0" ref="U24">
      <text>
        <t xml:space="preserve">======
ID#AAACE8ouunM
Ayudantes De Guardia    (2026-08-07 07:45:04)
FRANCO POR PRESENTISMO AUTORIZADO POR PPAL MONTEROS
AY FERNANDEZ
JS MARTINEZ</t>
      </text>
    </comment>
    <comment authorId="0" ref="G25">
      <text>
        <t xml:space="preserve">======
ID#AAACEvneOk4
Ayudantes De Guardia    (2026-08-02 16:49:28)
CUBRE SECCIÓN LUGANO</t>
      </text>
    </comment>
    <comment authorId="0" ref="I25">
      <text>
        <t xml:space="preserve">======
ID#AAACEzanGFM
Ayudantes De Guardia    (2026-08-04 17:16:25)
14:13HS</t>
      </text>
    </comment>
    <comment authorId="0" ref="M25">
      <text>
        <t xml:space="preserve">======
ID#AAACFlXut1E
División Centros de Monitoreo Urbano    (2026-08-14 17:35:18)
14:11HS</t>
      </text>
    </comment>
    <comment authorId="0" ref="N25">
      <text>
        <t xml:space="preserve">======
ID#AAACFY8BCQo
Ayudantes De Guardia    (2026-08-09 17:30:33)
14:30</t>
      </text>
    </comment>
    <comment authorId="0" ref="O25">
      <text>
        <t xml:space="preserve">======
ID#AAACFaAFW8Y
Ayudantes De Guardia    (2026-08-10 17:09:50)
14:05HS.-</t>
      </text>
    </comment>
    <comment authorId="0" ref="R25">
      <text>
        <t xml:space="preserve">======
ID#AAACFj6Dpz4
Ayudantes De Guardia    (2026-08-13 17:18:39)
14:18</t>
      </text>
    </comment>
    <comment authorId="0" ref="S25">
      <text>
        <t xml:space="preserve">======
ID#AAACFlXutu8
Ayudantes De Guardia    (2026-08-14 15:51:18)
Cubre Villa Lugano.-
Barros.-</t>
      </text>
    </comment>
    <comment authorId="0" ref="T58">
      <text>
        <t xml:space="preserve">======
ID#AAACD8WzD7o
Ayudantes De Guardia    (2026-07-25 13:23:37)
SE RETIRA A LAS 18 DEBIDO A HORAS FRANCAS POR SERVICIO DEL 19/07.-
JS BENITEZ
AYU TIRAVANTI</t>
      </text>
    </comment>
    <comment authorId="0" ref="T25">
      <text>
        <t xml:space="preserve">======
ID#AAACFuEO5uQ
Ayudantes De Guardia    (2026-08-15 17:45:09)
14:11</t>
      </text>
    </comment>
    <comment authorId="0" ref="U25">
      <text>
        <t xml:space="preserve">======
ID#AAACFwt2RRQ
División Centros de Monitoreo Urbano    (2026-08-18 13:14:33)
14:10</t>
      </text>
    </comment>
    <comment authorId="0" ref="Y25">
      <text>
        <t xml:space="preserve">======
ID#AAACFy0qoAI
Ayudantes De Guardia    (2026-08-20 17:19:38)
14:18HS.-</t>
      </text>
    </comment>
    <comment authorId="0" ref="Z25">
      <text>
        <t xml:space="preserve">======
ID#AAACF1RFIm4
Ayudantes De Guardia    (2026-08-21 17:11:19)
14:11</t>
      </text>
    </comment>
    <comment authorId="0" ref="AA25">
      <text>
        <t xml:space="preserve">======
ID#AAACF29xfYQ
Ayudantes De Guardia    (2026-08-22 17:14:51)
Ingreso 14:08Hs.</t>
      </text>
    </comment>
    <comment authorId="0" ref="AD25">
      <text>
        <t xml:space="preserve">======
ID#AAACFDX_PjM
Ayudantes De Guardia    (2026-08-25 17:18:08)
14:12HS.-</t>
      </text>
    </comment>
    <comment authorId="0" ref="AE25">
      <text>
        <t xml:space="preserve">======
ID#AAACGJ8w-xw
División Centros de Monitoreo Urbano    (2026-08-28 13:16:56)
14:28 HS</t>
      </text>
    </comment>
    <comment authorId="0" ref="AF25">
      <text>
        <t xml:space="preserve">======
ID#AAACFEf4sVQ
Ayudantes De Guardia    (2026-08-27 17:19:45)
14:20HS.-</t>
      </text>
    </comment>
    <comment authorId="0" ref="AG25">
      <text>
        <t xml:space="preserve">======
ID#AAACGJ8w-1s
Ayudantes De Guardia    (2026-08-28 17:21:04)
14:19HS</t>
      </text>
    </comment>
    <comment authorId="0" ref="AI25">
      <text>
        <t xml:space="preserve">======
ID#AAACGNYqf9I
Ayudantes De Guardia    (2026-08-29 03:26:42)
Cubre al PC Valentina Guzman</t>
      </text>
    </comment>
    <comment authorId="0" ref="F26">
      <text>
        <t xml:space="preserve">======
ID#AAACFj6Dpso
Ayudantes De Guardia    (2026-08-13 15:27:45)
ENTRADA 14:01</t>
      </text>
    </comment>
    <comment authorId="0" ref="N26">
      <text>
        <t xml:space="preserve">======
ID#AAACFY8BCRc
Ayudantes De Guardia    (2026-08-09 17:57:10)
14:52</t>
      </text>
    </comment>
    <comment authorId="0" ref="R26">
      <text>
        <t xml:space="preserve">======
ID#AAACFj6Dpzg
Ayudantes De Guardia    (2026-08-13 17:08:57)
14:06</t>
      </text>
    </comment>
    <comment authorId="0" ref="AA26">
      <text>
        <t xml:space="preserve">======
ID#AAACFuejMxg
Ayudantes De Guardia    (2026-08-16 05:33:31)
CUBRE PC MORALES AUTORIZADO POR PPAL KELLY
AY FERNANDEZ
JS MARTINEZ</t>
      </text>
    </comment>
    <comment authorId="0" ref="AH26">
      <text>
        <t xml:space="preserve">======
ID#AAACFuejMxk
Ayudantes De Guardia    (2026-08-16 05:33:51)
CUBRE A PC MORALES AUTORIZADO POR PPAL KELLY
AY FERNANDEZ
JS MARTINEZ
------
ID#AAACGNYqgUs
Ayudantes De Guardia    (2026-08-29 14:24:19)
11:22 Hs. Se comunica PC ROMERO Karina informando no se hara presente debido a dolor de garganta y fiebre. Envia certificado.- 
AY FERNANDEZ
JS LANGE
------
ID#AAACGNYqgWw
Ayudantes De Guardia    (2026-08-29 23:19:59)
Se recibe certificado medico de PC Romero Karina con fecha 29/08 indicando reposo por 24 Hs.-
JS LEDESMA
AY PEREYRA</t>
      </text>
    </comment>
    <comment authorId="0" ref="R27">
      <text>
        <t xml:space="preserve">======
ID#AAACE8ouunU
Ayudantes De Guardia    (2026-08-07 07:45:29)
FRANCO POR PRESENTISMO AUTORIZADO POR PPAL MONTEROS
AY FERNANDEZ
JS MARTINEZ</t>
      </text>
    </comment>
    <comment authorId="0" ref="Y27">
      <text>
        <t xml:space="preserve">======
ID#AAACFx6erx0
Ayudantes De Guardia    (2026-08-19 19:59:54)
OS N° 6353</t>
      </text>
    </comment>
    <comment authorId="0" ref="AE27">
      <text>
        <t xml:space="preserve">======
ID#AAACFEf4rGs
Ayudantes De Guardia    (2026-08-26 13:44:58)
Cubre Puerto Madero.- 
Barros.-</t>
      </text>
    </comment>
    <comment authorId="0" ref="AG27">
      <text>
        <t xml:space="preserve">======
ID#AAACGJ8w-yE
Ayudantes De Guardia    (2026-08-28 13:38:02)
Cubre Puerto Madero.- 
Barros.-</t>
      </text>
    </comment>
    <comment authorId="0" ref="G28">
      <text>
        <t xml:space="preserve">======
ID#AAACEvneOlA
Ayudantes De Guardia    (2026-08-02 16:50:43)
CUBRE PUERTO MADERO</t>
      </text>
    </comment>
    <comment authorId="0" ref="K28">
      <text>
        <t xml:space="preserve">======
ID#AAACE3uAOpY
Ayudantes De Guardia    (2026-08-06 16:58:23)
CUBRE AL PC PEREZ AGUSTINA AUTORIZADO POR EL PPAL KELLY.
BARROS.-</t>
      </text>
    </comment>
    <comment authorId="0" ref="AD28">
      <text>
        <t xml:space="preserve">======
ID#AAACE8ouunQ
Ayudantes De Guardia    (2026-08-07 07:45:29)
FRANCO POR PRESENTISMO AUTORIZADO POR PPAL MONTEROS
AY FERNANDEZ
JS MARTINEZ</t>
      </text>
    </comment>
    <comment authorId="0" ref="AE28">
      <text>
        <t xml:space="preserve">======
ID#AAACE8ouvGg
Ayudantes De Guardia    (2026-08-07 07:55:07)
FRANCO POR EVENTOS INTERVENIDOS MONITOREO AUTORIZADO POR PPAL MONTEROS
AY FERNANDEZ
JS MARTINEZ</t>
      </text>
    </comment>
    <comment authorId="0" ref="AF28">
      <text>
        <t xml:space="preserve">======
ID#AAACEvICPJA
Ayudantes De Guardia    (2026-08-02 05:09:47)
LO CUBRE EL PC PEREZ AGUSTINA AUTORIZADO POR EL PPAL KELLY 
AY: CUELLO
JS: BENITEZ</t>
      </text>
    </comment>
    <comment authorId="0" ref="J62">
      <text>
        <t xml:space="preserve">======
ID#AAACE3uAMwQ
Ayudantes De Guardia    (2026-08-05 17:14:18)
14:12</t>
      </text>
    </comment>
    <comment authorId="0" ref="K62">
      <text>
        <t xml:space="preserve">======
ID#AAACFlioRdA
División Centros de Monitoreo Urbano    (2026-08-14 18:12:26)
14:01 HS</t>
      </text>
    </comment>
    <comment authorId="0" ref="M62">
      <text>
        <t xml:space="preserve">======
ID#AAACEjCapto
Ayudantes De Guardia    (2026-07-31 02:31:58)
Cubre PC LIGRESTI, Maira. Autorizado por el Ppal. Monteros.-
JS. LANGE
AY. ARCE</t>
      </text>
    </comment>
    <comment authorId="0" ref="R62">
      <text>
        <t xml:space="preserve">======
ID#AAACFg3VRq4
Ayudantes De Guardia    (2026-08-13 02:03:48)
Queda a presto para concurrir al Servicio de Control de Accesos. El mismo se llevará a cabo en el dia de mañana, JUEVES 13/08 con horario aproximado 16:30hs.
AY FERNANDEZ
JS MARTINEZ</t>
      </text>
    </comment>
    <comment authorId="0" ref="T62">
      <text>
        <t xml:space="preserve">======
ID#AAACEjCapts
Ayudantes De Guardia    (2026-07-31 02:32:53)
Cubre a PC LIGRESTI, Maira.-
JS. LANGE
AY. ARCE</t>
      </text>
    </comment>
    <comment authorId="0" ref="W29">
      <text>
        <t xml:space="preserve">======
ID#AAACFwXmNR0
Ayudantes De Guardia    (2026-08-18 13:07:02)
CAPACITACION.- 10 HS</t>
      </text>
    </comment>
    <comment authorId="0" ref="Y29">
      <text>
        <t xml:space="preserve">======
ID#AAACFx6erx4
Ayudantes De Guardia    (2026-08-19 20:00:01)
OS N° 6353
------
ID#AAACFy0qn8M
Ayudantes De Guardia    (2026-08-20 16:54:52)
CAPACITACIÓN</t>
      </text>
    </comment>
    <comment authorId="0" ref="AD62">
      <text>
        <t xml:space="preserve">======
ID#AAACFYv0mqQ
Ayudantes De Guardia    (2026-08-09 03:03:43)
Franco por scoring monitoreo. Autorizado por el Ppal. Berdun.-
JS. LANGE
AY. ARCE</t>
      </text>
    </comment>
    <comment authorId="0" ref="AI62">
      <text>
        <t xml:space="preserve">======
ID#AAACGNYqgPY
Ayudantes De Guardia    (2026-08-29 05:53:44)
OS 7237</t>
      </text>
    </comment>
    <comment authorId="0" ref="AJ62">
      <text>
        <t xml:space="preserve">======
ID#AAACGNYqgPc
Ayudantes De Guardia    (2026-08-29 05:53:57)
OS7236</t>
      </text>
    </comment>
    <comment authorId="0" ref="F63">
      <text>
        <t xml:space="preserve">======
ID#AAACEjCaqIE
Ayudantes De Guardia    (2026-07-31 05:59:17)
POR DEV. DE HORAS REALIZA DE 14 A 18HS.-
JS. LANGE
AY. ARCE</t>
      </text>
    </comment>
    <comment authorId="0" ref="N63">
      <text>
        <t xml:space="preserve">======
ID#AAACEvICPOI
Ayudantes De Guardia    (2026-08-02 07:54:05)
CUBRE A EL PC LACABA CAMILA AUTORIZADO POR EL PPAL MONTEROS. 
AY CUELLO 
JS BENITEZ</t>
      </text>
    </comment>
    <comment authorId="0" ref="R63">
      <text>
        <t xml:space="preserve">======
ID#AAACEvICPOM
Ayudantes De Guardia    (2026-08-02 07:54:35)
LO CUBRE EL PC LACABA AUTORIZADO POR EL PPAL MONTEROS 
JS BENITEZ 
AY CUELLO</t>
      </text>
    </comment>
    <comment authorId="0" ref="AA63">
      <text>
        <t xml:space="preserve">======
ID#AAACFuejMxo
Ayudantes De Guardia    (2026-08-16 05:34:06)
CUBRE A PC ROMERO AUTORIZADO POR PPAL KELLY
AY FERNANDEZ
JS MARTINEZ</t>
      </text>
    </comment>
    <comment authorId="0" ref="AH63">
      <text>
        <t xml:space="preserve">======
ID#AAACFuejMxs
Ayudantes De Guardia    (2026-08-16 05:34:41)
CUBRE PC ROMERO KARINA AUTORIZADO POR PPAL KELLY
AY FERNANDEZ
JS MARTINEZ</t>
      </text>
    </comment>
    <comment authorId="0" ref="AJ63">
      <text>
        <t xml:space="preserve">======
ID#AAACGNYqgP8
Ayudantes De Guardia    (2026-08-29 06:22:20)
OS 7246</t>
      </text>
    </comment>
    <comment authorId="0" ref="J64">
      <text>
        <t xml:space="preserve">======
ID#AAACE3uAMwY
Ayudantes De Guardia    (2026-08-05 17:19:28)
14:18</t>
      </text>
    </comment>
    <comment authorId="0" ref="K64">
      <text>
        <t xml:space="preserve">======
ID#AAACE3uAOqw
Ayudantes De Guardia    (2026-08-06 17:29:48)
14:13HS.-</t>
      </text>
    </comment>
    <comment authorId="0" ref="M64">
      <text>
        <t xml:space="preserve">======
ID#AAACFlioRdQ
División Centros de Monitoreo Urbano    (2026-08-14 18:13:59)
14:40 HS</t>
      </text>
    </comment>
    <comment authorId="0" ref="R64">
      <text>
        <t xml:space="preserve">======
ID#AAACFj6Dp0s
Ayudantes De Guardia    (2026-08-13 17:28:44)
14:20</t>
      </text>
    </comment>
    <comment authorId="0" ref="V64">
      <text>
        <t xml:space="preserve">======
ID#AAACFvhluqc
Ayudantes De Guardia    (2026-08-17 17:09:50)
14:04</t>
      </text>
    </comment>
    <comment authorId="0" ref="W64">
      <text>
        <t xml:space="preserve">======
ID#AAACFw3vL58
Ayudantes De Guardia    (2026-08-18 17:55:52)
14:49HS</t>
      </text>
    </comment>
    <comment authorId="0" ref="X64">
      <text>
        <t xml:space="preserve">======
ID#AAACFxygacs
Ayudantes De Guardia    (2026-08-19 17:02:50)
14:01</t>
      </text>
    </comment>
    <comment authorId="0" ref="AB64">
      <text>
        <t xml:space="preserve">======
ID#AAACEjCaqHs
Ayudantes De Guardia    (2026-07-31 05:57:45)
POR DEV. DE HORAS REALIZA DE 14 A 18HS.-
JS. LANGE
AY. ARCE
------
ID#AAACF4CqGR4
Ayudantes De Guardia    (2026-08-23 17:53:32)
14:39</t>
      </text>
    </comment>
    <comment authorId="0" ref="AC64">
      <text>
        <t xml:space="preserve">======
ID#AAACF4UxMWA
Ayudantes De Guardia    (2026-08-24 15:03:32)
Siendo las 11:58hs se comunica PC Paz Agustin informando SIC "Hola buen día, quería avisarles que hoy amanecí con dolor de garganta, tos y muchco dolor de cabeza, por lo tanto no voy a ir hoy a trabajar"
JS LAHITTE
AY LEIVAS
------
ID#AAACF6BwAbU
Ayudantes De Guardia    (2026-08-24 17:52:50)
Se recibe de PC Paz Agustín Daniel certificado médico de fecha 24/08 indicando reposo por 24 Hs.-
JS LAHITTE
AY LEIVAS</t>
      </text>
    </comment>
    <comment authorId="0" ref="AD64">
      <text>
        <t xml:space="preserve">======
ID#AAACFDX_PjE
Ayudantes De Guardia    (2026-08-25 17:17:13)
14:06HS.-</t>
      </text>
    </comment>
    <comment authorId="0" ref="AH64">
      <text>
        <t xml:space="preserve">======
ID#AAACGNYqgVY
Ayudantes De Guardia    (2026-08-29 17:15:39)
14:10</t>
      </text>
    </comment>
    <comment authorId="0" ref="AI64">
      <text>
        <t xml:space="preserve">======
ID#AAACGOBaAyA
Ayudantes De Guardia    (2026-08-30 12:13:13)
Cubre Villa Lugano.-</t>
      </text>
    </comment>
    <comment authorId="0" ref="AJ64">
      <text>
        <t xml:space="preserve">======
ID#AAACGNYqgQE
Ayudantes De Guardia    (2026-08-29 06:33:50)
OS 7251</t>
      </text>
    </comment>
    <comment authorId="0" ref="I32">
      <text>
        <t xml:space="preserve">======
ID#AAACEzanGCQ
Ayudantes De Guardia    (2026-08-04 15:54:13)
Cubre Puerto Madero.-
Barros.-</t>
      </text>
    </comment>
    <comment authorId="0" ref="K65">
      <text>
        <t xml:space="preserve">======
ID#AAACE3uAOnc
Ayudantes De Guardia    (2026-08-06 16:25:41)
CUBRE PUERTO MADERO.-
BARROS.-</t>
      </text>
    </comment>
    <comment authorId="0" ref="K32">
      <text>
        <t xml:space="preserve">======
ID#AAACE3uAOnI
Ayudantes De Guardia    (2026-08-06 16:21:03)
CUBRE PUERTO MADERO.- 
BARROS.-</t>
      </text>
    </comment>
    <comment authorId="0" ref="M65">
      <text>
        <t xml:space="preserve">======
ID#AAACFX566sA
Ayudantes De Guardia    (2026-08-08 16:41:48)
MADERO</t>
      </text>
    </comment>
    <comment authorId="0" ref="Q32">
      <text>
        <t xml:space="preserve">======
ID#AAACFg3VQAY
Ayudantes De Guardia    (2026-08-12 15:31:06)
Cubre Puerto Madero .- 
Barros.-</t>
      </text>
    </comment>
    <comment authorId="0" ref="V65">
      <text>
        <t xml:space="preserve">======
ID#AAACE3uAN1I
Ayudantes De Guardia    (2026-08-06 07:10:11)
Franco por presentismo. Autorizado por el Ppal. Kelly.-
JS. LANGE
AY. ARCE</t>
      </text>
    </comment>
    <comment authorId="0" ref="U32">
      <text>
        <t xml:space="preserve">======
ID#AAACFupIDME
Ayudantes De Guardia    (2026-08-16 12:42:31)
Cubre Puerto Madero.- 
Barros.-</t>
      </text>
    </comment>
    <comment authorId="0" ref="W65">
      <text>
        <t xml:space="preserve">======
ID#AAACFwx88-I
Ayudantes De Guardia    (2026-08-18 14:16:21)
Cumple servicio en Puerto Madero.-
Barros.-</t>
      </text>
    </comment>
    <comment authorId="0" ref="W32">
      <text>
        <t xml:space="preserve">======
ID#AAACFwvIwvE
Ayudantes De Guardia    (2026-08-18 13:52:38)
Cubre Villa Lugano .- 
Barros.-</t>
      </text>
    </comment>
    <comment authorId="0" ref="AB65">
      <text>
        <t xml:space="preserve">======
ID#AAACEjCaqH0
Ayudantes De Guardia    (2026-07-31 05:58:27)
POR DEV. DE HORAS REALIZA DE 14 A 18HS.-
JS. LANGE
AY. ARCE</t>
      </text>
    </comment>
    <comment authorId="0" ref="AG32">
      <text>
        <t xml:space="preserve">======
ID#AAACFEf4raA
Ayudantes De Guardia    (2026-08-26 20:49:09)
OS 7135.-
Barros.-
------
ID#AAACGJ8w-yM
Ayudantes De Guardia    (2026-08-28 13:39:08)
Cubre Puerto Madero.- 
Barros.-</t>
      </text>
    </comment>
    <comment authorId="0" ref="AH32">
      <text>
        <t xml:space="preserve">======
ID#AAACFEf4raE
Ayudantes De Guardia    (2026-08-26 20:49:14)
OS 7135.-
Barros.-
------
ID#AAACGNYqgSQ
Ayudantes De Guardia    (2026-08-29 09:47:14)
MADERO</t>
      </text>
    </comment>
    <comment authorId="0" ref="AI32">
      <text>
        <t xml:space="preserve">======
ID#AAACFEf4raI
Ayudantes De Guardia    (2026-08-26 20:49:17)
OS 7135.-
Barros.-</t>
      </text>
    </comment>
    <comment authorId="0" ref="I33">
      <text>
        <t xml:space="preserve">======
ID#AAACEzanGAo
Ayudantes De Guardia    (2026-08-04 15:40:46)
siendo las 10:49 Hs.- se comunica PC. Delvecchio informando que no asistira al servicio por motivos personales y de salud. Adeuda certificado medico.
JS: AGUIRRE
AY: PAZ</t>
      </text>
    </comment>
    <comment authorId="0" ref="J33">
      <text>
        <t xml:space="preserve">======
ID#AAACE3uAKSA
Ayudantes De Guardia    (2026-08-05 15:06:42)
Siendo las 11:59 se comunica PC Delvecchio Informando: Buenos días me dieron licencia de siete días en el CUP</t>
      </text>
    </comment>
    <comment authorId="0" ref="K66">
      <text>
        <t xml:space="preserve">======
ID#AAACEjCaqIo
Ayudantes De Guardia    (2026-07-31 06:02:03)
Cumple servicio de 14 a 18 Hs por devolucion de horas del dia 19/07</t>
      </text>
    </comment>
    <comment authorId="0" ref="Q33">
      <text>
        <t xml:space="preserve">======
ID#AAACE9d4M4g
Ayudantes De Guardia    (2026-08-08 05:25:05)
FRANCO POR SCORING AUTORIZADO POR PPAL ARGUELLO.-
JS BENITEZ
AYU TIRAVANTI
------
ID#AAACFg3VQJI
Ayudantes De Guardia    (2026-08-12 16:53:19)
Se recibe alta médico de PC Delvecchio Diana con fecha 12/8
Barros.-</t>
      </text>
    </comment>
    <comment authorId="0" ref="Z33">
      <text>
        <t xml:space="preserve">======
ID#AAACFArNZ4U
Ayudantes De Guardia    (2026-08-21 13:42:00)
Se comunica PC Delvecchio e informa : estoy con fiebre y no me baja y el cuerpo no me responde estoy muy decaída así que no podré ir hoy espero poder ir mañana según lo que tenga mil disculpas mandaré el certificado.-
CISNEROS 
SEBASTIA
------
ID#AAACF1V3ETE
Ayudantes De Guardia    (2026-08-21 19:52:29)
Se recibe certificado de PC Delvecchio del 21/08 justificando ausencia</t>
      </text>
    </comment>
    <comment authorId="0" ref="AA33">
      <text>
        <t xml:space="preserve">======
ID#AAACF29xfXM
Ayudantes De Guardia    (2026-08-22 16:44:04)
Ingreso 13:04Hs.</t>
      </text>
    </comment>
    <comment authorId="0" ref="AB33">
      <text>
        <t xml:space="preserve">======
ID#AAACF3VocqE
Ayudantes De Guardia    (2026-08-23 12:01:30)
Siendo las 08:59 hs se comunica PC DELVECCHIO Diana informando: Buenas estoy a la espera del medico a domicilio ya que estoy con un cuadro gripal por lo que no podré presentarme mil disculpas. Enviara Certificado.
CISNEROS
QUIROGA</t>
      </text>
    </comment>
    <comment authorId="0" ref="AC33">
      <text>
        <t xml:space="preserve">======
ID#AAACF4UxMQw
Ayudantes De Guardia    (2026-08-24 13:47:45)
siendo las 10:37 Se recibe de PC DELVECCHIO DIANA GABRIELA certificado medico con fecha 24/8 por 48hs.-.
js Lahitte
Ay Krakovsky</t>
      </text>
    </comment>
  </commentList>
  <extLst>
    <ext uri="GoogleSheetsCustomDataVersion2">
      <go:sheetsCustomData xmlns:go="http://customooxmlschemas.google.com/" r:id="rId1" roundtripDataSignature="AMtx7mjefEIMLMwjv3H9VO5qnvyWYMH8Fw=="/>
    </ext>
  </extL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H33">
      <text>
        <t xml:space="preserve">======
ID#AAACGNYqgXA
Ayudantes De Guardia    (2026-08-30 01:12:15)
22:08</t>
      </text>
    </comment>
    <comment authorId="0" ref="T17">
      <text>
        <t xml:space="preserve">======
ID#AAACFuSxM8A
Ayudantes De Guardia    (2026-08-15 22:37:42)
19:25 Hs Se comunica PC FEDELLE Sandra informando no se hara presente debido a dolor abdominal. Envia certificado
AY FERNANDEZ
JS MARTINEZ</t>
      </text>
    </comment>
    <comment authorId="0" ref="V50">
      <text>
        <t xml:space="preserve">======
ID#AAACFv3a5Sg
Ayudantes De Guardia    (2026-08-18 01:26:48)
Ingreso 22:26Hs.</t>
      </text>
    </comment>
    <comment authorId="0" ref="W50">
      <text>
        <t xml:space="preserve">======
ID#AAACFw7ABCI
Ayudantes De Guardia    (2026-08-18 22:12:25)
19:01Hs. Se comunica PC GUTIERREZ Amelia informando que el dia de hoy no se hara presente a la guardia debido a faringitis. envía certificado.
AY CUELLAR
JS MARTINEZ
------
ID#AAACFw7ABCY
Ayudantes De Guardia    (2026-08-18 22:55:16)
Se recibe constancia de atención de PC Gutierrez Amelia con fecha 18/08 por 24hs.-
AY FERNANDEZ
JS MARTINEZ</t>
      </text>
    </comment>
    <comment authorId="0" ref="X50">
      <text>
        <t xml:space="preserve">======
ID#AAACFyDV12g
Ayudantes De Guardia    (2026-08-19 23:17:06)
Siendo las 19:27hs se comunica PC Gutierrez Amelia informando que no se hara presente al servicio debido a faringitis.-
JS BENITEZ
AYU TIRAVANTI
------
ID#AAACFyDV12k
Ayudantes De Guardia    (2026-08-19 23:17:20)
Se recibe constancia de atención de PC Gutierrez Amelia con fecha 19/08 por 24hs.-</t>
      </text>
    </comment>
    <comment authorId="0" ref="Y50">
      <text>
        <t xml:space="preserve">======
ID#AAACFzattXA
Ayudantes De Guardia    (2026-08-20 22:12:36)
19:10Hs. Se comunica manifestando que no se hará presente al servicio debido a que sigue con faringitis. La misma refiere que envió certificado medico.-
JS LANGE
AY PEREYRA
------
ID#AAACFzattYA
Ayudantes De Guardia    (2026-08-20 22:32:30)
Se recibe certificado médico de PC Gutiérrez Amelia con fecha 20/08 por 48hs.-
JS LANGE
AY PEREYRA</t>
      </text>
    </comment>
    <comment authorId="0" ref="Y17">
      <text>
        <t xml:space="preserve">======
ID#AAACFzattbc
Ayudantes De Guardia    (2026-08-21 01:14:11)
Ingreso 22:03Hs.</t>
      </text>
    </comment>
    <comment authorId="0" ref="K67">
      <text>
        <t xml:space="preserve">======
ID#AAACFlXut0I
División Centros de Monitoreo Urbano    (2026-08-14 17:25:12)
22:22</t>
      </text>
    </comment>
    <comment authorId="0" ref="J34">
      <text>
        <t xml:space="preserve">======
ID#AAACE3uANKI
Ayudantes De Guardia    (2026-08-05 22:04:07)
19:02Hs. Se comunica PC GOMEZ, Clauda manifestando que no se hará presente al servicio debido a que se encuentra en el hospital con su hijo por crisis de asma. Enviará certificado médico.-
JS. LANGE
AY. ARCE</t>
      </text>
    </comment>
    <comment authorId="0" ref="L67">
      <text>
        <t xml:space="preserve">======
ID#AAACE9d4Lj4
Ayudantes De Guardia    (2026-08-08 01:24:21)
22:17</t>
      </text>
    </comment>
    <comment authorId="0" ref="K34">
      <text>
        <t xml:space="preserve">======
ID#AAACE3uAQMo
Ayudantes De Guardia    (2026-08-06 21:21:39)
Informa que su hijo continúa enfermo y que no asistirá al servicio.- 
Barros.-</t>
      </text>
    </comment>
    <comment authorId="0" ref="AC50">
      <text>
        <t xml:space="preserve">======
ID#AAACF6albn0
Ayudantes De Guardia    (2026-08-25 01:21:26)
22:10</t>
      </text>
    </comment>
    <comment authorId="0" ref="AD50">
      <text>
        <t xml:space="preserve">======
ID#AAACF8VkMIM
Ayudantes De Guardia    (2026-08-26 01:13:32)
22:06</t>
      </text>
    </comment>
    <comment authorId="0" ref="N34">
      <text>
        <t xml:space="preserve">======
ID#AAACFZ2cVto
Ayudantes De Guardia    (2026-08-09 22:08:01)
Siendo las 18:46 Hs. Se comunica PC. GOMEZ Claudia, informando que no se hará presente debido que se encuentra descompuesta. Se le consultó sí enviará certificado, sin respuesta al momento.
Ay. Barrios. 
Js. Martinez.-</t>
      </text>
    </comment>
    <comment authorId="0" ref="O34">
      <text>
        <t xml:space="preserve">======
ID#AAACFaAFXcE
Ayudantes De Guardia    (2026-08-10 23:16:26)
Siendo las 19:36hs se comunica PC Gomez Claudia informando que no se hara presente al servicio debido a que se encuentra en la guardia por vomitos y fiebre, indica que mañana si esta mejor trae el certificado.-
JS BENITEZ
AYU TIRAVANTI</t>
      </text>
    </comment>
    <comment authorId="0" ref="AE17">
      <text>
        <t xml:space="preserve">======
ID#AAACFEf4rnM
Ayudantes De Guardia    (2026-08-27 01:25:30)
Ingreso 22:13Hs.</t>
      </text>
    </comment>
    <comment authorId="0" ref="P34">
      <text>
        <t xml:space="preserve">======
ID#AAACFgVRl8g
Ayudantes De Guardia    (2026-08-11 23:37:59)
20:32Hs. Se comunica PC GOMEZ, Claudia manifestando que no se hará presente al servicio debido a gastroenteritis. La misma informa que en el Hospital no le otorgaron constancia/certificado.-
JS. LANGE
AY. ARCE</t>
      </text>
    </comment>
    <comment authorId="0" ref="Q34">
      <text>
        <t xml:space="preserve">======
ID#AAACFg3VRNs
Ayudantes De Guardia    (2026-08-13 01:26:17)
Se entabla comunicación con PC GOMEZ Claudia debido al retraso para asistir al servicio, la misma manifesto "Hola hoy no me toca es jueves de todas maneras sigo descompuesta" (SIC). Se le informo que el día de hoy poseia servicio la misma manifesto: "Perdón es que sigo con fiebre y estoy perdida estos días" (SIC) Se le consulto si iba a enviar certificado la misma informa que no dado que no le entregan certificado en la guardia. 
AY FERNANDEZ
JS MARTINEZ</t>
      </text>
    </comment>
    <comment authorId="0" ref="AH50">
      <text>
        <t xml:space="preserve">======
ID#AAACGNYqgWg
Ayudantes De Guardia    (2026-08-29 22:30:59)
19:30Hs. Se comunica PC GUTIERREZ, Amelia manifestando que no se hará presente al servicio debido a que su hija se encuentra con fiebre y anginas. Enviará certificado médico.-
JS. LEDESMA
AY. ARCE
------
ID#AAACGNYqgWo
Ayudantes De Guardia    (2026-08-29 22:45:09)
Se recibe constancia de atencion medica por familiar a cargo de PC Gutierrez Amelia con fecha 29/08 indicando reposo por 24 Hs.-
JS. LEDESMA
AY. ARCE</t>
      </text>
    </comment>
    <comment authorId="0" ref="S67">
      <text>
        <t xml:space="preserve">======
ID#AAACFY8A_-E
Ayudantes De Guardia    (2026-08-09 06:22:10)
Franco por scoring monitoreo. Autorizado por el Ppal. Berdun.-
JS. LANGE
AY. ARCE</t>
      </text>
    </comment>
    <comment authorId="0" ref="U34">
      <text>
        <t xml:space="preserve">======
ID#AAACFu3VNFU
Ayudantes De Guardia    (2026-08-16 22:16:52)
Siendo las 18:55hs se comunica PC Gomez Claudia informando que no se hara presente al servicio informando que no se hara presente al servicio debido a que no tiene quien cuide de su hijo.-
JS BENITEZ
AYU TIRAVANTI</t>
      </text>
    </comment>
    <comment authorId="0" ref="AJ17">
      <text>
        <t xml:space="preserve">======
ID#AAACD9eXd1s
Ayudantes De Guardia    (2026-07-25 22:09:06)
CUBRE A PC. PONCE DE LEON AUTORIZADO POR PPAL.ARGUELLO. 
Ay. Barrios. 
Js. Martinez.
------
ID#AAACGTcXLuY
División Centros de Monitoreo Urbano    (2026-09-01 10:44:10)
22:03 HS</t>
      </text>
    </comment>
    <comment authorId="0" ref="V34">
      <text>
        <t xml:space="preserve">======
ID#AAACFvs_dpg
Ayudantes De Guardia    (2026-08-17 21:16:33)
18:10Hs se comunica PC GOMEZ, Claudia informando que no se hará presente al servicio de ido a que no posee quien cuide a su hijo. Refiere que su JS está al tanto de la situación.-
JS LANGE.- 
Ayud. Soria.-</t>
      </text>
    </comment>
    <comment authorId="0" ref="K51">
      <text>
        <t xml:space="preserve">======
ID#AAACFlXutzs
División Centros de Monitoreo Urbano    (2026-08-14 17:15:22)
22:22</t>
      </text>
    </comment>
    <comment authorId="0" ref="AB67">
      <text>
        <t xml:space="preserve">======
ID#AAACF4Hn3Ms
Ayudantes De Guardia    (2026-08-23 21:55:58)
18:46Hs. Se comunica  manifestando que no se hará presente al servicio debido a que se encuentra con fiebre, tos y vomitos. Indica que enviará certificado medico.-
JS LEDESMA
AY PEREYRA
------
ID#AAACF4UxLw4
Ayudantes De Guardia    (2026-08-24 00:17:22)
Se recibe certificado indicando reposo por 48hs.-
JS LEDESMA
AY PEREYRA</t>
      </text>
    </comment>
    <comment authorId="0" ref="L51">
      <text>
        <t xml:space="preserve">======
ID#AAACE9d4Lj8
Ayudantes De Guardia    (2026-08-08 01:24:33)
22:17</t>
      </text>
    </comment>
    <comment authorId="0" ref="M51">
      <text>
        <t xml:space="preserve">======
ID#AAACFYpNyYM
Ayudantes De Guardia    (2026-08-08 22:43:26)
19:42Hs. Se comunica PC VEGA, Brisa manifestando que no se hará presente al servicio debido a que posee vómitos y mareos. Presentará certificado correspondiente.-
JS. LANGE
AY. ARCE
------
ID#AAACFY8BBg4
Ayudantes De Guardia    (2026-08-09 15:16:26)
Se recibe certificado medico de PC Brisa Vega, el mismo con fecha 08/08 indica 24 hs de reposo
CISNEROS 
QUIROGA</t>
      </text>
    </comment>
    <comment authorId="0" ref="AD67">
      <text>
        <t xml:space="preserve">======
ID#AAACF8VkMEI
Ayudantes De Guardia    (2026-08-25 22:52:03)
Siendo las 19hs, Se comunica el PC Galeano Axel informando que no se hara presente debido a que constinua con malestares. Enviara el certificado medico
AY CUELLO 
JS BENITEZ
------
ID#AAACFEf4rD0
Ayudantes De Guardia    (2026-08-26 10:41:14)
Se recibe certificado médico de PC Galeano Axel con fecha 25/8 por 24hs.-
JS AGUIRRE
AY LEIVAS</t>
      </text>
    </comment>
    <comment authorId="0" ref="AE67">
      <text>
        <t xml:space="preserve">======
ID#AAACFY8A_-Q
Ayudantes De Guardia    (2026-08-09 06:23:28)
Franco por scoring detenidos por monitoreo. Autorizado por el Ppal. Berdun.-
JS. LANGE
AY. ARCE</t>
      </text>
    </comment>
    <comment authorId="0" ref="AI67">
      <text>
        <t xml:space="preserve">======
ID#AAACGTcXLzA
División Centros de Monitoreo Urbano    (2026-09-01 11:05:41)
22.05 HS</t>
      </text>
    </comment>
    <comment authorId="0" ref="G68">
      <text>
        <t xml:space="preserve">======
ID#AAACEvfB1hE
Ayudantes De Guardia    (2026-08-03 01:12:44)
Ingreso 22:06Hs.</t>
      </text>
    </comment>
    <comment authorId="0" ref="L68">
      <text>
        <t xml:space="preserve">======
ID#AAACE9d4LjI
Ayudantes De Guardia    (2026-08-08 01:07:11)
22:02</t>
      </text>
    </comment>
    <comment authorId="0" ref="AB51">
      <text>
        <t xml:space="preserve">======
ID#AAACF4UxLv8
Ayudantes De Guardia    (2026-08-23 23:17:58)
19:59Hs se comunica PC VEGA, Brisa manifestando que no se hará presente debido a que se encuentra con fiebre y dolor de cuerpo. Enviará certificado médico
------
ID#AAACF4UxLxA
Ayudantes De Guardia    (2026-08-24 01:00:50)
Se recibe certificado con fecha 23/08 reposo por 24hs.-
JS LEDESMA
AY PEREYRA</t>
      </text>
    </comment>
    <comment authorId="0" ref="AC51">
      <text>
        <t xml:space="preserve">======
ID#AAACF6albn8
Ayudantes De Guardia    (2026-08-25 01:23:23)
22:15</t>
      </text>
    </comment>
    <comment authorId="0" ref="Q68">
      <text>
        <t xml:space="preserve">======
ID#AAACFY8A_-A
Ayudantes De Guardia    (2026-08-09 06:21:46)
Franco por scoring carta/frecuencia. Autorizado por el Ppal. Berdun.-
JS. LANGE
AY. ARCE</t>
      </text>
    </comment>
    <comment authorId="0" ref="R68">
      <text>
        <t xml:space="preserve">======
ID#AAACFY8A_-I
Ayudantes De Guardia    (2026-08-09 06:22:35)
Franco por scoring carta/frecuencia. Autorizado por el Ppal. Berdun.-
JS. LANGE
AY. ARCE</t>
      </text>
    </comment>
    <comment authorId="0" ref="S68">
      <text>
        <t xml:space="preserve">======
ID#AAACFY8A_-M
Ayudantes De Guardia    (2026-08-09 06:22:57)
Franco por detenidos por monitoreo. Autorizado por el Ppal. Berdun.-
JS. LANGE
AY. ARCE</t>
      </text>
    </comment>
    <comment authorId="0" ref="AI51">
      <text>
        <t xml:space="preserve">======
ID#AAACGOBaA1M
Ayudantes De Guardia    (2026-08-31 01:11:44)
22:05</t>
      </text>
    </comment>
    <comment authorId="0" ref="F52">
      <text>
        <t xml:space="preserve">======
ID#AAACEvICPEo
Ayudantes De Guardia    (2026-08-02 01:23:47)
LLEGO 22:09</t>
      </text>
    </comment>
    <comment authorId="0" ref="W68">
      <text>
        <t xml:space="preserve">======
ID#AAACFxBL2CA
Ayudantes De Guardia    (2026-08-19 01:13:04)
22:07 Hs.-</t>
      </text>
    </comment>
    <comment authorId="0" ref="F19">
      <text>
        <t xml:space="preserve">======
ID#AAACEvICPEs
Ayudantes De Guardia    (2026-08-02 01:24:38)
22:11</t>
      </text>
    </comment>
    <comment authorId="0" ref="G52">
      <text>
        <t xml:space="preserve">======
ID#AAACDnbx9V8
Ayudantes De Guardia    (2026-07-22 03:31:49)
Cubre al PC CHAUVIN por cdg autorizado por Ppal. Kelly.
Ayud. Aguilar
JS. Ledesma.-
------
ID#AAACEvfB1hQ
Ayudantes De Guardia    (2026-08-03 01:14:51)
Ingreso 22:07Hs.</t>
      </text>
    </comment>
    <comment authorId="0" ref="I19">
      <text>
        <t xml:space="preserve">======
ID#AAACE0sgUdQ
Ayudantes De Guardia    (2026-08-05 04:15:27)
22:12</t>
      </text>
    </comment>
    <comment authorId="0" ref="L52">
      <text>
        <t xml:space="preserve">======
ID#AAACE9d4LjQ
Ayudantes De Guardia    (2026-08-08 01:07:51)
22:06</t>
      </text>
    </comment>
    <comment authorId="0" ref="M52">
      <text>
        <t xml:space="preserve">======
ID#AAACFYtPUrk
Ayudantes De Guardia    (2026-08-09 01:26:22)
Ingreso 22:05Hs.</t>
      </text>
    </comment>
    <comment authorId="0" ref="N19">
      <text>
        <t xml:space="preserve">======
ID#AAACFlXuty8
División Centros de Monitoreo Urbano    (2026-08-14 17:04:08)
22:14</t>
      </text>
    </comment>
    <comment authorId="0" ref="P52">
      <text>
        <t xml:space="preserve">======
ID#AAACFgVRmIc
Ayudantes De Guardia    (2026-08-12 01:10:58)
22:06</t>
      </text>
    </comment>
    <comment authorId="0" ref="O19">
      <text>
        <t xml:space="preserve">======
ID#AAACFc75hUc
Ayudantes De Guardia    (2026-08-11 05:39:35)
22:12</t>
      </text>
    </comment>
    <comment authorId="0" ref="Q52">
      <text>
        <t xml:space="preserve">======
ID#AAACFg3VQuM
Ayudantes De Guardia    (2026-08-12 22:29:46)
Siendo las 19:16 Hs. Se comunica PC. CASTRO Tamara(Chacarita-TN), informando que no se hara presente debido a cuadro de gripe viral con fiebre. Envia certificado.
Ay. Barrios. 
Js. Martinez.-
------
ID#AAACFj6Dph4
Ayudantes De Guardia    (2026-08-13 13:20:27)
Se recibe constancia de atencion medica de PC Castro Laudani Tamara con fecha 12/08 indicando reposo por 24 Hs.-
COSNEROS 
QUIROGA</t>
      </text>
    </comment>
    <comment authorId="0" ref="T19">
      <text>
        <t xml:space="preserve">======
ID#AAACFuZIPX8
Ayudantes De Guardia    (2026-08-16 01:31:47)
22:06 HS</t>
      </text>
    </comment>
    <comment authorId="0" ref="F69">
      <text>
        <t xml:space="preserve">======
ID#AAACEMRs1Ok
Ayudantes De Guardia    (2026-07-28 19:13:53)
OS N 6284
------
ID#AAACEvICPFE
Ayudantes De Guardia    (2026-08-02 01:27:38)
22:26HS</t>
      </text>
    </comment>
    <comment authorId="0" ref="U19">
      <text>
        <t xml:space="preserve">======
ID#AAACFu3VNGI
Ayudantes De Guardia    (2026-08-16 23:01:02)
Siendo las 18:41hs se comunica PC Torales Araceli informando que no se hara presente al servicio debido a gastroenteritis, indica que envio el certificado medico.-
JS BENITEZ
AYU TIRAVANTI
------
ID#AAACFwgR7ag
Ayudantes De Guardia    (2026-08-18 10:37:05)
Se recibe de PC Araceli Torales Torales certificado medico con fecha 16/8 por 24hs.-
JS:AGUIRRE
AY: PAZ</t>
      </text>
    </comment>
    <comment authorId="0" ref="G69">
      <text>
        <t xml:space="preserve">======
ID#AAACEMRs1Oo
Ayudantes De Guardia    (2026-07-28 19:14:00)
OS N 6284</t>
      </text>
    </comment>
    <comment authorId="0" ref="X52">
      <text>
        <t xml:space="preserve">======
ID#AAACFyDV12o
Ayudantes De Guardia    (2026-08-19 23:18:07)
Siendo las 19:44hs se comunica PC Castro Tamara informando que no se hara presente al servicio debido a cervicalgia.-
JS BENITEZ
AYU TIRAVANTI
------
ID#AAACFyDV12s
Ayudantes De Guardia    (2026-08-19 23:18:23)
Se recibe constancia de atención de PC Laudani Tamara con fecha 19/08 por 24hs.-</t>
      </text>
    </comment>
    <comment authorId="0" ref="H3">
      <text>
        <t xml:space="preserve">======
ID#AAACFk1d3ic
Ayudantes De Guardia    (2026-08-13 20:38:28)
ENTRADA 22:09</t>
      </text>
    </comment>
    <comment authorId="0" ref="Y52">
      <text>
        <t xml:space="preserve">======
ID#AAACFzattbg
Ayudantes De Guardia    (2026-08-21 01:14:24)
Ingreso 22:04Hs.</t>
      </text>
    </comment>
    <comment authorId="0" ref="L69">
      <text>
        <t xml:space="preserve">======
ID#AAACE9d4Ljc
Ayudantes De Guardia    (2026-08-08 01:08:38)
22:07</t>
      </text>
    </comment>
    <comment authorId="0" ref="AB52">
      <text>
        <t xml:space="preserve">======
ID#AAACF4UxLxc
Ayudantes De Guardia    (2026-08-24 01:16:43)
Ingreso 22:10Hs.</t>
      </text>
    </comment>
    <comment authorId="0" ref="AC52">
      <text>
        <t xml:space="preserve">======
ID#AAACF6albns
Ayudantes De Guardia    (2026-08-25 01:20:44)
22:15</t>
      </text>
    </comment>
    <comment authorId="0" ref="L3">
      <text>
        <t xml:space="preserve">======
ID#AAACE9d4Ljk
Ayudantes De Guardia    (2026-08-08 01:15:05)
22:13</t>
      </text>
    </comment>
    <comment authorId="0" ref="AD52">
      <text>
        <t xml:space="preserve">======
ID#AAACF8VkMEM
Ayudantes De Guardia    (2026-08-25 22:52:32)
Siendo las 19:46hs se comunica el PC Castro Laudani informando que no se hara presente debido a que se encuentra con vomitos
AY CUELLO 
JS BENITEZ
------
ID#AAACFEf4rD8
Ayudantes De Guardia    (2026-08-26 10:41:39)
Se recibe certificado médico de PC Laudani Tamara con fecha 25/8 por 24hs.-
JS AGUIRRE
AY LEIVAS</t>
      </text>
    </comment>
    <comment authorId="0" ref="AF19">
      <text>
        <t xml:space="preserve">======
ID#AAACGJ5yOL8
Ayudantes De Guardia    (2026-08-27 21:37:01)
18:26Hs. Se comunica PC TORALES Araceli informando que no se presentara el dia de hoy por un cuadro gripal. Indica que envio certificado médico con validez de 48hs.
AY CUELLAR
JS LANGE
------
ID#AAACGJ8w_JA
Ayudantes De Guardia    (2026-08-29 00:15:21)
Se recibe certificado por reposo de 48hs.
AY Cuello
JS Benitez</t>
      </text>
    </comment>
    <comment authorId="0" ref="R69">
      <text>
        <t xml:space="preserve">======
ID#AAACFk9imeY
Ayudantes De Guardia    (2026-08-14 01:23:04)
22:05</t>
      </text>
    </comment>
    <comment authorId="0" ref="AH52">
      <text>
        <t xml:space="preserve">======
ID#AAACDnbx9WA
Ayudantes De Guardia    (2026-07-22 03:32:16)
Cambio de guardia con PC CHAUVIN Facundo autorizado por Ppal. Kelly.
Ayud. Aguilar
JS. Ledesma.-</t>
      </text>
    </comment>
    <comment authorId="0" ref="AI52">
      <text>
        <t xml:space="preserve">======
ID#AAACGOBaA1Q
Ayudantes De Guardia    (2026-08-31 01:12:06)
22:11</t>
      </text>
    </comment>
    <comment authorId="0" ref="AJ52">
      <text>
        <t xml:space="preserve">======
ID#AAACGTFtF4E
Ayudantes De Guardia    (2026-09-01 01:19:49)
22:03</t>
      </text>
    </comment>
    <comment authorId="0" ref="S3">
      <text>
        <t xml:space="preserve">======
ID#AAACFlss_Cg
Ayudantes De Guardia    (2026-08-15 01:29:58)
Ingreso 22:23Hs.</t>
      </text>
    </comment>
    <comment authorId="0" ref="J53">
      <text>
        <t xml:space="preserve">======
ID#AAACE3uANaM
Ayudantes De Guardia    (2026-08-06 01:50:50)
Ingreso 22:05Hs.</t>
      </text>
    </comment>
    <comment authorId="0" ref="Y3">
      <text>
        <t xml:space="preserve">======
ID#AAACFzattbo
Ayudantes De Guardia    (2026-08-21 01:14:51)
Ingreso 22:10Hs.</t>
      </text>
    </comment>
    <comment authorId="0" ref="Z3">
      <text>
        <t xml:space="preserve">======
ID#AAACFzattso
Ayudantes De Guardia    (2026-08-21 11:23:26)
ORDEN 6949</t>
      </text>
    </comment>
    <comment authorId="0" ref="L53">
      <text>
        <t xml:space="preserve">======
ID#AAACE9d4LjU
Ayudantes De Guardia    (2026-08-08 01:08:05)
22:07</t>
      </text>
    </comment>
    <comment authorId="0" ref="AC69">
      <text>
        <t xml:space="preserve">======
ID#AAACF6alboE
Ayudantes De Guardia    (2026-08-25 01:26:58)
22:03</t>
      </text>
    </comment>
    <comment authorId="0" ref="AD69">
      <text>
        <t xml:space="preserve">======
ID#AAACF8VkMIA
Ayudantes De Guardia    (2026-08-26 01:12:23)
22:05</t>
      </text>
    </comment>
    <comment authorId="0" ref="AE69">
      <text>
        <t xml:space="preserve">======
ID#AAACFEf4rnQ
Ayudantes De Guardia    (2026-08-27 01:25:46)
Ingreso 22:19Hs.</t>
      </text>
    </comment>
    <comment authorId="0" ref="AD3">
      <text>
        <t xml:space="preserve">======
ID#AAACF8VkMIE
Ayudantes De Guardia    (2026-08-26 01:13:05)
22:07</t>
      </text>
    </comment>
    <comment authorId="0" ref="AJ69">
      <text>
        <t xml:space="preserve">======
ID#AAACGTFtF4Q
Ayudantes De Guardia    (2026-09-01 01:25:03)
22:04</t>
      </text>
    </comment>
    <comment authorId="0" ref="T20">
      <text>
        <t xml:space="preserve">======
ID#AAACFuZIPYA
Ayudantes De Guardia    (2026-08-16 01:32:04)
22:01HS-</t>
      </text>
    </comment>
    <comment authorId="0" ref="G70">
      <text>
        <t xml:space="preserve">======
ID#AAACDnbx9V0
Ayudantes De Guardia    (2026-07-22 03:27:59)
Cambio de guardia con PC CASTRO LAUDANI Tamara autorizado por Ppal. Kelly .
Ayud. Aguilar
JS. Ledesma.-</t>
      </text>
    </comment>
    <comment authorId="0" ref="F4">
      <text>
        <t xml:space="preserve">======
ID#AAACEvICPE4
Ayudantes De Guardia    (2026-08-02 01:26:59)
22:18</t>
      </text>
    </comment>
    <comment authorId="0" ref="G4">
      <text>
        <t xml:space="preserve">======
ID#AAACEvfB1hU
Ayudantes De Guardia    (2026-08-03 01:15:22)
Ingreso 22:10Hs.</t>
      </text>
    </comment>
    <comment authorId="0" ref="H4">
      <text>
        <t xml:space="preserve">======
ID#AAACFk1d3jA
Ayudantes De Guardia    (2026-08-13 20:43:50)
ENTRADA 22:09</t>
      </text>
    </comment>
    <comment authorId="0" ref="K70">
      <text>
        <t xml:space="preserve">======
ID#AAACE8ah7PA
Ayudantes De Guardia    (2026-08-07 01:53:34)
Se entabla comunicación con el PC CHAUVIN Facundo debido al retraso para asistir al servicio el mismo manifiesta que se encuentra de licencia anual en la provincia de Cordoba Asimismo se compulsaron los registros donde no se posee novedad de haberse generado la licencia anual del mismo. Se retrasmite al area de administración para su verificación.
AY FERNANDEZ
JS MARTINEZ</t>
      </text>
    </comment>
    <comment authorId="0" ref="I4">
      <text>
        <t xml:space="preserve">======
ID#AAACD9eXd1k
Ayudantes De Guardia    (2026-07-25 22:08:12)
CUBRE A PC. FEDELLE SANDRA AUTORIZADO POR PPAL.ARGUELLO. 
Ay. Barrios. 
Js. Martinez.</t>
      </text>
    </comment>
    <comment authorId="0" ref="L4">
      <text>
        <t xml:space="preserve">======
ID#AAACE9d4LkM
Ayudantes De Guardia    (2026-08-08 01:37:20)
22:37</t>
      </text>
    </comment>
    <comment authorId="0" ref="O4">
      <text>
        <t xml:space="preserve">======
ID#AAACFaAFXcA
Ayudantes De Guardia    (2026-08-10 23:15:18)
Siendo las 19:30hs se comunica PC Ponce De Leon Cindy informando que no se hara presente al servicio debido a que se encuentra descompuesta.-
JS BENITEZ
AYU TIRAVANTI</t>
      </text>
    </comment>
    <comment authorId="0" ref="R70">
      <text>
        <t xml:space="preserve">======
ID#AAACFj6Dpwg
Ayudantes De Guardia    (2026-08-13 16:32:32)
Se comunica PC Chauvin ( turno noche) informando que no se hara presente debido a descompostura, y fiebre.
------
ID#AAACFk1DJt4
Ayudantes De Guardia    (2026-08-13 19:36:32)
Se recibe certificado médico de PC Chauvin Facundo con fecha 13/08 indicando 48 hs de reposo.</t>
      </text>
    </comment>
    <comment authorId="0" ref="AH53">
      <text>
        <t xml:space="preserve">======
ID#AAACFY8A_-c
Ayudantes De Guardia    (2026-08-09 06:24:32)
Franco por detenidos carta/frecuencia. Autorizado por el Ppal. Berdun.-
JS. LANGE
AY. ARCE</t>
      </text>
    </comment>
    <comment authorId="0" ref="Y70">
      <text>
        <t xml:space="preserve">======
ID#AAACFxygads
Ayudantes De Guardia    (2026-08-19 19:58:09)
OS N° 6353</t>
      </text>
    </comment>
    <comment authorId="0" ref="J54">
      <text>
        <t xml:space="preserve">======
ID#AAACE3uANaQ
Ayudantes De Guardia    (2026-08-06 01:51:03)
Ingreso 22:06Hs.</t>
      </text>
    </comment>
    <comment authorId="0" ref="AB70">
      <text>
        <t xml:space="preserve">======
ID#AAACF4UxLx8
Ayudantes De Guardia    (2026-08-24 01:27:51)
Ingreso 22:27Hs.</t>
      </text>
    </comment>
    <comment authorId="0" ref="Z4">
      <text>
        <t xml:space="preserve">======
ID#AAACFzattss
Ayudantes De Guardia    (2026-08-21 11:23:33)
ORDEN 6949
------
ID#AAACF1fnqYc
Ayudantes De Guardia    (2026-08-22 01:14:01)
22:11HS.-</t>
      </text>
    </comment>
    <comment authorId="0" ref="L54">
      <text>
        <t xml:space="preserve">======
ID#AAACE9d4LjY
Ayudantes De Guardia    (2026-08-08 01:08:21)
22:07</t>
      </text>
    </comment>
    <comment authorId="0" ref="AA4">
      <text>
        <t xml:space="preserve">======
ID#AAACF29xfdc
Ayudantes De Guardia    (2026-08-23 01:10:03)
22:08</t>
      </text>
    </comment>
    <comment authorId="0" ref="AC70">
      <text>
        <t xml:space="preserve">======
ID#AAACF6BwAdg
Ayudantes De Guardia    (2026-08-24 20:31:12)
siendo las 17:24 hs se comunica el PC Chauvin informando SIC "Buenas tardes, informo que no me podré presentar a la guardia porque estoy con fiebre, enviaré certificado"
js Lahitte 
ay Krakovsky
------
ID#AAACF6albrY
Ayudantes De Guardia    (2026-08-25 12:22:47)
Se recibe constancia de atencion medica de PC Chauvin Facundo con fecha 24/08 indicando reposo por 24 Hs.
CISNEROS 
QUIROGA</t>
      </text>
    </comment>
    <comment authorId="0" ref="AD70">
      <text>
        <t xml:space="preserve">======
ID#AAACF6albtI
Ayudantes De Guardia    (2026-08-25 15:01:43)
Se comunica PC Chauvin informando que no se hara presente ya que sigue con tos y fiebre.
cisneros 
sebastia
------
ID#AAACFDX_PkU
Ayudantes De Guardia    (2026-08-25 19:18:55)
Se recibe constancia de atención de PC Chauvin Facundo con fecha 25/08 por 24hs
CISNEROS 
QUIROGA</t>
      </text>
    </comment>
    <comment authorId="0" ref="AE70">
      <text>
        <t xml:space="preserve">======
ID#AAACFEf4rWs
Ayudantes De Guardia    (2026-08-26 18:34:07)
Siendo las 15:30Hs se comunica PC Chauvin Facundo informando SIC "Buen día, sigo con molestias y fiebre en la noche. Envío certificado médico, mil disculpas!"
JS AGUIRRE
AY LEIVAS
------
ID#AAACFEf4rWw
Ayudantes De Guardia    (2026-08-26 18:41:53)
Se recibe de PC Chauvin Facundo con fecha 26/08 por 24hs.-
JS AGUIRRE
AY LEIVAS</t>
      </text>
    </comment>
    <comment authorId="0" ref="AD4">
      <text>
        <t xml:space="preserve">======
ID#AAACF8VkMII
Ayudantes De Guardia    (2026-08-26 01:13:16)
22:08</t>
      </text>
    </comment>
    <comment authorId="0" ref="AE4">
      <text>
        <t xml:space="preserve">======
ID#AAACFEf4rd4
Ayudantes De Guardia    (2026-08-26 22:37:42)
19:26Hs. Se comunica PC Ponce de León, Cindy Maribel (Chacarita - turno noche) manifestando que no se hará presente al servicio debido a que se encuentra con tos y dolor de pecho. Enviara certificado medico.-
JS LEDESMA
AY PEREYRA
------
ID#AAACFEf4sW4
Ayudantes De Guardia    (2026-08-27 19:00:57)
Se recibe constancia de atención de PC Ponce de Leon Cindy con fecha 26/08 por 24hs.-
Cisneros
Couso</t>
      </text>
    </comment>
    <comment authorId="0" ref="AH70">
      <text>
        <t xml:space="preserve">======
ID#AAACDnbx9V4
Ayudantes De Guardia    (2026-07-22 03:30:20)
Cubre a PC CASTRO LAUDANI Tamara por CDG autorizado por Ppal. Kelly.
Ayud. Aguilar 
JS. Ledesma.-</t>
      </text>
    </comment>
    <comment authorId="0" ref="AJ4">
      <text>
        <t xml:space="preserve">======
ID#AAACD9eXd1w
Ayudantes De Guardia    (2026-07-25 22:09:16)
CUBRE PC. FEDELLE SANDRA AUTORIZADO POR PPAL.ARGUELLO. 
Ay. Barrios. 
Js. Martinez.</t>
      </text>
    </comment>
    <comment authorId="0" ref="F5">
      <text>
        <t xml:space="preserve">======
ID#AAACEvICPE0
Ayudantes De Guardia    (2026-08-02 01:26:47)
22:18 HS</t>
      </text>
    </comment>
    <comment authorId="0" ref="G5">
      <text>
        <t xml:space="preserve">======
ID#AAACEvfB1lw
Ayudantes De Guardia    (2026-08-03 01:57:45)
Ingreso 22:43Hs.</t>
      </text>
    </comment>
    <comment authorId="0" ref="H5">
      <text>
        <t xml:space="preserve">======
ID#AAACFk1d3ig
Ayudantes De Guardia    (2026-08-13 20:39:19)
ENTRADA 22:09</t>
      </text>
    </comment>
    <comment authorId="0" ref="I38">
      <text>
        <t xml:space="preserve">======
ID#AAACD8WzD8I
Ayudantes De Guardia    (2026-07-25 13:27:38)
INGRESA A LAS 23 Y SE RETIRA A LAS 05:30 DEBIDO A HORAS FRANCAS POR SERVICIO DEL 19/07.-
JS BENITEZ
AYU TIRAVANTI</t>
      </text>
    </comment>
    <comment authorId="0" ref="J5">
      <text>
        <t xml:space="preserve">======
ID#AAACEM1uM70
Ayudantes De Guardia    (2026-07-29 03:28:01)
CUBRE A PC RODRIGUEZ BAEZ MAXIMA AUTORIZADO POR PPAL MONTEROS
AY FERNANDEZ
JS MARTINEZ
------
ID#AAACE3uANak
Ayudantes De Guardia    (2026-08-06 01:52:15)
Ingreso 22:17Hs.</t>
      </text>
    </comment>
    <comment authorId="0" ref="L5">
      <text>
        <t xml:space="preserve">======
ID#AAACE9d4Ljo
Ayudantes De Guardia    (2026-08-08 01:15:21)
22:13</t>
      </text>
    </comment>
    <comment authorId="0" ref="M5">
      <text>
        <t xml:space="preserve">======
ID#AAACEM1uM78
Ayudantes De Guardia    (2026-07-29 03:28:49)
CUBRE RODRIGUEZ BAEZ AUTORIZADO POR PPAL MONTEROS
AY FERNANDEZ
JS MARTINEZ</t>
      </text>
    </comment>
    <comment authorId="0" ref="O5">
      <text>
        <t xml:space="preserve">======
ID#AAACFc75hUs
Ayudantes De Guardia    (2026-08-11 05:40:26)
22:15</t>
      </text>
    </comment>
    <comment authorId="0" ref="Q38">
      <text>
        <t xml:space="preserve">======
ID#AAACE0sgUn4
Ayudantes De Guardia    (2026-08-05 08:25:56)
FRANCO POR PRESENTISMO AUTORIZADO POR PPAL ARGUELLO.-
JS BENITEZ
AYU TIRAVANTI</t>
      </text>
    </comment>
    <comment authorId="0" ref="R5">
      <text>
        <t xml:space="preserve">======
ID#AAACFwiJMXA
División Centros de Monitoreo Urbano    (2026-08-18 10:53:23)
22:20 hs</t>
      </text>
    </comment>
    <comment authorId="0" ref="S5">
      <text>
        <t xml:space="preserve">======
ID#AAACFlss_Cc
Ayudantes De Guardia    (2026-08-15 01:29:42)
Ingreso 22:13Hs.</t>
      </text>
    </comment>
    <comment authorId="0" ref="T5">
      <text>
        <t xml:space="preserve">======
ID#AAACFuZIPX0
Ayudantes De Guardia    (2026-08-16 01:31:05)
22:23</t>
      </text>
    </comment>
    <comment authorId="0" ref="F55">
      <text>
        <t xml:space="preserve">======
ID#AAACFj6Dpq8
Ayudantes De Guardia    (2026-08-13 15:10:21)
ENTRADA 6:07</t>
      </text>
    </comment>
    <comment authorId="0" ref="G55">
      <text>
        <t xml:space="preserve">======
ID#AAACFj6Dpz8
Ayudantes De Guardia    (2026-08-13 17:18:45)
ENTRADA 18:04</t>
      </text>
    </comment>
    <comment authorId="0" ref="K55">
      <text>
        <t xml:space="preserve">======
ID#AAACE3uAQSM
Ayudantes De Guardia    (2026-08-06 22:18:36)
FA POR CAMBIO DE FUNCIONES
AY FERNANDEZ
JS MARTINEZ</t>
      </text>
    </comment>
    <comment authorId="0" ref="AE5">
      <text>
        <t xml:space="preserve">======
ID#AAACFEf4rnU
Ayudantes De Guardia    (2026-08-27 01:26:03)
Ingreso 22:21Hs.</t>
      </text>
    </comment>
    <comment authorId="0" ref="AF5">
      <text>
        <t xml:space="preserve">======
ID#AAACGJ8w-cI
Ayudantes De Guardia    (2026-08-28 01:16:52)
22:16</t>
      </text>
    </comment>
    <comment authorId="0" ref="R55">
      <text>
        <t xml:space="preserve">======
ID#AAACFg3VPDg
Ayudantes De Guardia    (2026-08-12 08:21:22)
Franco por presentismo. Autorizado por el Ppal. Kelly.-
JS. LANGE
AY. ARCE</t>
      </text>
    </comment>
    <comment authorId="0" ref="AJ5">
      <text>
        <t xml:space="preserve">======
ID#AAACGTFtF4k
Ayudantes De Guardia    (2026-09-01 01:26:12)
22:15</t>
      </text>
    </comment>
    <comment authorId="0" ref="J39">
      <text>
        <t xml:space="preserve">======
ID#AAACE3uANac
Ayudantes De Guardia    (2026-08-06 01:51:46)
Ingreso 21:32Hs.</t>
      </text>
    </comment>
    <comment authorId="0" ref="N6">
      <text>
        <t xml:space="preserve">======
ID#AAACFZ2cVts
Ayudantes De Guardia    (2026-08-09 22:10:38)
Siendo las 18:49 Hs. Se comunica PC. MARTINEZ, Daiana, informando que no se hara presente debido a que hace 10 (diez) días se encuentra sin agua y sin luz en su domicilio, lo que le impide asistir.</t>
      </text>
    </comment>
    <comment authorId="0" ref="R6">
      <text>
        <t xml:space="preserve">======
ID#AAACFk9imeQ
Ayudantes De Guardia    (2026-08-14 01:21:52)
22:01</t>
      </text>
    </comment>
    <comment authorId="0" ref="T6">
      <text>
        <t xml:space="preserve">======
ID#AAACE8ouuno
Ayudantes De Guardia    (2026-08-07 07:46:31)
FRANCO POR PRESENTISMO AUTORIZADO POR PPAL MONTEROS
AY FERNANDEZ
JS MARTINEZ</t>
      </text>
    </comment>
    <comment authorId="0" ref="Z39">
      <text>
        <t xml:space="preserve">======
ID#AAACE0sgUn8
Ayudantes De Guardia    (2026-08-05 08:26:13)
FRANCO POR PRESENTISMO AUTORIZADO POR PPAL ARGUELLO.-
JS BENITEZ
AYU TIRAVANTI</t>
      </text>
    </comment>
    <comment authorId="0" ref="AA6">
      <text>
        <t xml:space="preserve">======
ID#AAACF29xfa4
Ayudantes De Guardia    (2026-08-22 22:18:20)
19:16 el PC Daiana Elizabeth Martinez del grupo A TN informó que no asistirá al servicio debido a que se encuentra con faringitis. Enviará certificado médico.-
Barros.-</t>
      </text>
    </comment>
    <comment authorId="0" ref="R56">
      <text>
        <t xml:space="preserve">======
ID#AAACFk7ItGw
Ayudantes De Guardia    (2026-08-13 22:49:11)
Se recibe constancia de atención de PC Montiel Juan con fecha 13/08 por 24hs.</t>
      </text>
    </comment>
    <comment authorId="0" ref="L40">
      <text>
        <t xml:space="preserve">======
ID#AAACE9d4JCA
Ayudantes De Guardia    (2026-08-07 21:02:28)
Se recibe certificado médico de PC Alonso Jorge con fecha 07/08 indicando 30 días de reposo.
CISNEROS 
QUIROGA</t>
      </text>
    </comment>
    <comment authorId="0" ref="AJ56">
      <text>
        <t xml:space="preserve">======
ID#AAACGTFtF4w
Ayudantes De Guardia    (2026-09-01 01:31:32)
22:30</t>
      </text>
    </comment>
    <comment authorId="0" ref="S7">
      <text>
        <t xml:space="preserve">======
ID#AAACFwiJMXg
División Centros de Monitoreo Urbano    (2026-08-18 10:59:02)
22:07 hs</t>
      </text>
    </comment>
    <comment authorId="0" ref="M57">
      <text>
        <t xml:space="preserve">======
ID#AAACEjCaqIc
Ayudantes De Guardia    (2026-07-31 06:01:19)
Cumple servicio de 02 a 06Hs por devolucion de hs del dia 19/07</t>
      </text>
    </comment>
    <comment authorId="0" ref="R57">
      <text>
        <t xml:space="preserve">======
ID#AAACFlXutz4
División Centros de Monitoreo Urbano    (2026-08-14 17:17:52)
22:05</t>
      </text>
    </comment>
    <comment authorId="0" ref="F8">
      <text>
        <t xml:space="preserve">======
ID#AAACElkzWIc
Ayudantes De Guardia    (2026-08-01 23:30:20)
Siendo las 19:57hs, Se comunico el PC Celestino Candela informando que no se hara presente debido a que se encuentra con dolor de estomago y vomitos. Enviara certificado medico
AY CUELLO
JS BENITEZ
------
ID#AAACEvfB1bY
Ayudantes De Guardia    (2026-08-02 23:24:15)
Se recibe certificado médico de PC Celestino Candela de fecha 01/08 indicando reposo por 24 Hs.-
JS AGUIRRE
AY LEIVAS</t>
      </text>
    </comment>
    <comment authorId="0" ref="H41">
      <text>
        <t xml:space="preserve">======
ID#AAACFlXutzY
División Centros de Monitoreo Urbano    (2026-08-14 17:12:10)
22:09</t>
      </text>
    </comment>
    <comment authorId="0" ref="Y57">
      <text>
        <t xml:space="preserve">======
ID#AAACFxygado
Ayudantes De Guardia    (2026-08-19 19:57:49)
OS N° 6353</t>
      </text>
    </comment>
    <comment authorId="0" ref="J41">
      <text>
        <t xml:space="preserve">======
ID#AAACFk1d3iw
Ayudantes De Guardia    (2026-08-13 20:40:32)
ENTRADA 22:09</t>
      </text>
    </comment>
    <comment authorId="0" ref="AC57">
      <text>
        <t xml:space="preserve">======
ID#AAACF6albn4
Ayudantes De Guardia    (2026-08-25 01:23:08)
22:02</t>
      </text>
    </comment>
    <comment authorId="0" ref="M41">
      <text>
        <t xml:space="preserve">======
ID#AAACEM1uM8A
Ayudantes De Guardia    (2026-07-29 03:29:12)
CUBRE A PC RIGONI AUTORIZADO POR PPAL MONTEROS
AY FERNANDEZ
JS MARTINEZ</t>
      </text>
    </comment>
    <comment authorId="0" ref="AD57">
      <text>
        <t xml:space="preserve">======
ID#AAACF8VkMIQ
Ayudantes De Guardia    (2026-08-26 01:15:49)
22:08</t>
      </text>
    </comment>
    <comment authorId="0" ref="AH57">
      <text>
        <t xml:space="preserve">======
ID#AAACGNYqgXQ
Ayudantes De Guardia    (2026-08-30 01:20:15)
22:17</t>
      </text>
    </comment>
    <comment authorId="0" ref="AI57">
      <text>
        <t xml:space="preserve">======
ID#AAACGOBaA1k
Ayudantes De Guardia    (2026-08-31 01:51:07)
22:44</t>
      </text>
    </comment>
    <comment authorId="0" ref="S8">
      <text>
        <t xml:space="preserve">======
ID#AAACFltFXcU
Ayudantes De Guardia    (2026-08-14 21:56:55)
18:50Hs. Se comunica manifestando que no se hará presente al servicio del día de hoy debido a que se encuentra con estado gripal e infección urinaria. Enviara el certificado medico correspondiente.-
JS LANGE
AY PEREYRA</t>
      </text>
    </comment>
    <comment authorId="0" ref="T8">
      <text>
        <t xml:space="preserve">======
ID#AAACFuSxM7c
Ayudantes De Guardia    (2026-08-15 22:02:52)
18:54 Hs Se comunica PC CELESTINO Candela informando no se hara presente debido a infección urinaria. Envia certificado.- 
AY FERNANDEZ
JS MARTINEZ</t>
      </text>
    </comment>
    <comment authorId="0" ref="Y8">
      <text>
        <t xml:space="preserve">======
ID#AAACFzattX8
Ayudantes De Guardia    (2026-08-20 22:31:54)
19:23Hs. Se comunica manifestando que no se hará presente al servicio debido a que no tiene con quien dejar a su hijo ya que su abuela, quien es la persona que lo cuida, se descompuso. 
JS LANGE
AY PEREYRA</t>
      </text>
    </comment>
    <comment authorId="0" ref="J25">
      <text>
        <t xml:space="preserve">======
ID#AAACE3uANWs
Ayudantes De Guardia    (2026-08-06 01:03:25)
Ingreso 22:02Hs.</t>
      </text>
    </comment>
    <comment authorId="0" ref="K25">
      <text>
        <t xml:space="preserve">======
ID#AAACFlXutzA
División Centros de Monitoreo Urbano    (2026-08-14 17:04:57)
22:42</t>
      </text>
    </comment>
    <comment authorId="0" ref="AC41">
      <text>
        <t xml:space="preserve">======
ID#AAACF6albno
Ayudantes De Guardia    (2026-08-25 01:20:30)
22:15</t>
      </text>
    </comment>
    <comment authorId="0" ref="O25">
      <text>
        <t xml:space="preserve">======
ID#AAACFc75hUY
Ayudantes De Guardia    (2026-08-11 05:39:06)
22:05</t>
      </text>
    </comment>
    <comment authorId="0" ref="AF41">
      <text>
        <t xml:space="preserve">======
ID#AAACGJ8w-cM
Ayudantes De Guardia    (2026-08-28 01:17:02)
22:16</t>
      </text>
    </comment>
    <comment authorId="0" ref="P25">
      <text>
        <t xml:space="preserve">======
ID#AAACFeh6KnM
Ayudantes De Guardia    (2026-08-11 21:40:36)
18:39Hs. Se comunica PC CAMPOS GUTIERREZ, Angie manifestando que no se hará presente al servicio debido a fiebre. Presentará certificado médico.-
JS. LANGE
AY. ARCE
------
ID#AAACFgPtDGo
Ayudantes De Guardia    (2026-08-11 23:13:33)
Se recibe constancia de atención de PC Campos Gutierrez Angie con fecha 11/08 por 24 hs.-
JS. LANGE
AY. ARCE</t>
      </text>
    </comment>
    <comment authorId="0" ref="AG41">
      <text>
        <t xml:space="preserve">======
ID#AAACGJ8w_N4
Ayudantes De Guardia    (2026-08-29 01:46:41)
22:16</t>
      </text>
    </comment>
    <comment authorId="0" ref="AH41">
      <text>
        <t xml:space="preserve">======
ID#AAACGNYqgXI
Ayudantes De Guardia    (2026-08-30 01:12:45)
22:06</t>
      </text>
    </comment>
    <comment authorId="0" ref="U25">
      <text>
        <t xml:space="preserve">======
ID#AAACFu8_xAY
Ayudantes De Guardia    (2026-08-17 01:39:07)
22:32</t>
      </text>
    </comment>
    <comment authorId="0" ref="V25">
      <text>
        <t xml:space="preserve">======
ID#AAACFv3a5Sc
Ayudantes De Guardia    (2026-08-18 01:26:43)
Ingreso 22:26Hs.</t>
      </text>
    </comment>
    <comment authorId="0" ref="H9">
      <text>
        <t xml:space="preserve">======
ID#AAACExfrUwQ
Ayudantes De Guardia    (2026-08-03 21:51:42)
18:50 Hs Se comunica PC VEIDOVSKY Maximo informando no se hara presente debido a fiebre. Envia certificado.-
AY FERNANDEZ
JS MARTINEZ
------
ID#AAACExfrUw8
Ayudantes De Guardia    (2026-08-03 22:14:29)
Se recibe constancia de atención de PC Veidovsky con fecha 03/08 indicando 24 hs de reposo.
AY FERNANDEZ
JS MARTINEZ</t>
      </text>
    </comment>
    <comment authorId="0" ref="Z25">
      <text>
        <t xml:space="preserve">======
ID#AAACF1fnqYk
Ayudantes De Guardia    (2026-08-22 02:15:00)
22:56 HS.</t>
      </text>
    </comment>
    <comment authorId="0" ref="AB25">
      <text>
        <t xml:space="preserve">======
ID#AAACF4Hn3Mo
Ayudantes De Guardia    (2026-08-23 21:39:25)
18:36Hs. Se comunica  manifestando que no se hará presente al servicio debido a que se encuentra con vomitos y fiebre. Indica haber enviado certificado médico.-
JS LEDESMA
AY PEREYRA
------
ID#AAACF4Hn3M4
Ayudantes De Guardia    (2026-08-23 22:19:01)
Se recibe certificado de PC Campos Gutierrez del 23/08 reposo por 24hs.-
JS LEDESMA
AY PEREYRA</t>
      </text>
    </comment>
    <comment authorId="0" ref="AC25">
      <text>
        <t xml:space="preserve">======
ID#AAACF6alboA
Ayudantes De Guardia    (2026-08-25 01:25:08)
22:04</t>
      </text>
    </comment>
    <comment authorId="0" ref="O9">
      <text>
        <t xml:space="preserve">======
ID#AAACFc75hUg
Ayudantes De Guardia    (2026-08-11 05:39:54)
22:12</t>
      </text>
    </comment>
    <comment authorId="0" ref="AH58">
      <text>
        <t xml:space="preserve">======
ID#AAACF4UxLyg
Ayudantes De Guardia    (2026-08-24 02:05:38)
Franco por presentismo del mes de Julio. Autorizado por el Ppal. Berdun.-
JS LEDESMA
AY PEREYRA</t>
      </text>
    </comment>
    <comment authorId="0" ref="AG25">
      <text>
        <t xml:space="preserve">======
ID#AAACFEf4rZc
Ayudantes De Guardia    (2026-08-26 20:33:06)
OS 7135.-
Barros.-
------
ID#AAACGJ8w_Is
Ayudantes De Guardia    (2026-08-28 23:28:41)
Siendo las 20:04hs, se comunica el PC Campos Judith informando que no asistira el servicio debido a que se encuentra descompuesta. Enviara el certificado medico.
AY CUELLO
JS BENITEZ
------
ID#AAACGJ8w_Nk
Ayudantes De Guardia    (2026-08-29 01:29:02)
SE RECIBE CERTIFICADO POR 48HS DE REPOSO 
AY CUELLO
JS BENITEZ</t>
      </text>
    </comment>
    <comment authorId="0" ref="AH25">
      <text>
        <t xml:space="preserve">======
ID#AAACFEf4rZg
Ayudantes De Guardia    (2026-08-26 20:33:11)
OS 7135.-
Barros.-</t>
      </text>
    </comment>
    <comment authorId="0" ref="AJ58">
      <text>
        <t xml:space="preserve">======
ID#AAACGTFtF4I
Ayudantes De Guardia    (2026-09-01 01:21:32)
22:03</t>
      </text>
    </comment>
    <comment authorId="0" ref="AI25">
      <text>
        <t xml:space="preserve">======
ID#AAACFEf4rZk
Ayudantes De Guardia    (2026-08-26 20:33:16)
OS 7135.-
Barros.-</t>
      </text>
    </comment>
    <comment authorId="0" ref="J26">
      <text>
        <t xml:space="preserve">======
ID#AAACE3uANaY
Ayudantes De Guardia    (2026-08-06 01:51:35)
Ingreso 22:06Hs.
------
ID#AAACE3uAOAs
Ayudantes De Guardia    (2026-08-06 10:36:20)
Se retira 03:30 hrs. 
Barros.-</t>
      </text>
    </comment>
    <comment authorId="0" ref="Z9">
      <text>
        <t xml:space="preserve">======
ID#AAACF1fnqYM
Ayudantes De Guardia    (2026-08-22 00:34:55)
Se recibe certificado médico de PC Veidovsky Maximo con fecha 21/08 por 48 hs.-</t>
      </text>
    </comment>
    <comment authorId="0" ref="K26">
      <text>
        <t xml:space="preserve">======
ID#AAACE3uAOAw
Ayudantes De Guardia    (2026-08-06 10:36:37)
07:26 hrs. el PC Natalia CABRAL, perteneciente al Grupo "C" turno noche, que debido a que posee una infección urinaria, no asistirá al servicio del día de hoy.-
Barros.-
------
ID#AAACE3uAOxQ
Ayudantes De Guardia    (2026-08-06 18:41:23)
Se recibe de PC Cabral Natalia licencia médica de fecha 06/08 indicando reposo por 48 Hs.-
JS: AGUIRRE
AY:PAZ</t>
      </text>
    </comment>
    <comment authorId="0" ref="N26">
      <text>
        <t xml:space="preserve">======
ID#AAACFY8BCRU
Ayudantes De Guardia    (2026-08-09 17:53:39)
Siendo las 14:50 hs se comunica PC Cabral Natalia informado: Envío certificado medico vía mail por ausencia al servicio el día de hoy y mañana debido a infección urinaria que todavía no mejoro. Disculpen las molestias.
CISNEROS
QUIROGA
------
ID#AAACFY8BCRo
Ayudantes De Guardia    (2026-08-09 18:03:38)
Se recibe certificado de PC Cabral Carolina con fecha 09/08 informando 48 hs. de reposo</t>
      </text>
    </comment>
    <comment authorId="0" ref="AD9">
      <text>
        <t xml:space="preserve">======
ID#AAACFy0qoJg
Ayudantes De Guardia    (2026-08-20 19:05:46)
Se genera Licencia por Examen de PC Veidovsky Rubén de fecha 25/08.-
JS Aguirre
Ayte Garcia</t>
      </text>
    </comment>
    <comment authorId="0" ref="P26">
      <text>
        <t xml:space="preserve">======
ID#AAACFeh6KlU
Ayudantes De Guardia    (2026-08-11 20:55:01)
Siendo las 17:43hs se comunica PC Cabral Natalia informando: Buenas tardes, envío certificado medico vía mail, ya que sigo con mucho dolor a la altura del riñón debido a la infección urinaria.
CISNEROS 
QUIROGA
------
ID#AAACFeh6Knc
Ayudantes De Guardia    (2026-08-11 21:51:40)
Se recibe certificado médico de PC Cabral Natalia con fecha 11/08 indicando 48 hs de reposo.-
JS. LANGE
AY. ARCE</t>
      </text>
    </comment>
    <comment authorId="0" ref="U26">
      <text>
        <t xml:space="preserve">======
ID#AAACFu8_xAA
Ayudantes De Guardia    (2026-08-17 01:24:23)
22:02</t>
      </text>
    </comment>
    <comment authorId="0" ref="V26">
      <text>
        <t xml:space="preserve">======
ID#AAACFvgiWLE
Ayudantes De Guardia    (2026-08-17 16:12:59)
La misma informa: quería avisar que no voy a presentarme a servicio hoy, ya que desde que volví estoy con muchísimo dolor tan cual la infección urinaria 
CISNEROS 
SEBASTIA
------
ID#AAACFvuCynk
Ayudantes De Guardia    (2026-08-17 22:17:12)
Se recibe certificado de PC Natalia Cabral con fecha 17/08. Reposo 24hs.
JS LANGE
AY PEREYRA</t>
      </text>
    </comment>
    <comment authorId="0" ref="N43">
      <text>
        <t xml:space="preserve">======
ID#AAACD8WzD8Q
Ayudantes De Guardia    (2026-07-25 13:29:50)
SE RETIRA A LAS 02 DEBIDO A HORAS FRANCAS POR SERVICIO DEL 19/07.-
JS BENITEZ
AYU TIRAVANTI</t>
      </text>
    </comment>
    <comment authorId="0" ref="N10">
      <text>
        <t xml:space="preserve">======
ID#AAACFlXuty0
División Centros de Monitoreo Urbano    (2026-08-14 17:01:25)
22:12</t>
      </text>
    </comment>
    <comment authorId="0" ref="O43">
      <text>
        <t xml:space="preserve">======
ID#AAACE0sgUoA
Ayudantes De Guardia    (2026-08-05 08:26:33)
FRANCO POR PRESENTISMO AUTORIZADO POR PPAL ARGUELLO.-
JS BENITEZ
AYU TIRAVANTI</t>
      </text>
    </comment>
    <comment authorId="0" ref="AG26">
      <text>
        <t xml:space="preserve">======
ID#AAACFEf4rZo
Ayudantes De Guardia    (2026-08-26 20:33:34)
OS 7135.-
Barros.-</t>
      </text>
    </comment>
    <comment authorId="0" ref="AH26">
      <text>
        <t xml:space="preserve">======
ID#AAACFEf4rZs
Ayudantes De Guardia    (2026-08-26 20:33:39)
OS 7135.-
Barros.-
------
ID#AAACGNYqgUw
Ayudantes De Guardia    (2026-08-29 14:47:30)
11:39 Hs Se comunica PC CABRAL Natalia, informando que no podrá asistir a la guardia del día de la fecha por presentar fuerte dolor de espalda, tras haber sufrido una torcedura de pie al finalizar la guardia anterior. Refiere que el día lunes será evaluada por su obstetra y posteriormente remitirá el correspondiente certificado médico.
AY FERNANDEZ
JS LANGE
------
ID#AAACGNYqgVw
Ayudantes De Guardia    (2026-08-29 19:04:18)
Se recibe constancia de atencion medica de PC Cabral Natalia con fecha 29/08 indicando reposo por 24 Hs.-
AY FERNANDEZ
JS LANGE</t>
      </text>
    </comment>
    <comment authorId="0" ref="AI26">
      <text>
        <t xml:space="preserve">======
ID#AAACFEf4rZw
Ayudantes De Guardia    (2026-08-26 20:33:43)
OS 7135.-
Barros.-</t>
      </text>
    </comment>
    <comment authorId="0" ref="X10">
      <text>
        <t xml:space="preserve">======
ID#AAACFyPOSls
Ayudantes De Guardia    (2026-08-20 01:22:07)
22:03</t>
      </text>
    </comment>
    <comment authorId="0" ref="AG43">
      <text>
        <t xml:space="preserve">======
ID#AAACE9d4M5s
Ayudantes De Guardia    (2026-08-08 05:38:01)
FRANCO POR SCORING AUTORIZADO POR PPAL ARGUELLO.-
JS BENITEZ
AYU TIRAVANTI</t>
      </text>
    </comment>
    <comment authorId="0" ref="AH43">
      <text>
        <t xml:space="preserve">======
ID#AAACE9d4M5w
Ayudantes De Guardia    (2026-08-08 05:38:27)
FRANCO POR DETENIDOS AUTORIZADO POR PPAL ARGUELLO.-
JS BENITEZ
AYU TIRAVANTI</t>
      </text>
    </comment>
    <comment authorId="0" ref="V27">
      <text>
        <t xml:space="preserve">======
ID#AAACFvuCyo4
Ayudantes De Guardia    (2026-08-17 23:16:09)
LUGANO.-</t>
      </text>
    </comment>
    <comment authorId="0" ref="H44">
      <text>
        <t xml:space="preserve">======
ID#AAACFk1d3iM
Ayudantes De Guardia    (2026-08-13 20:36:33)
ENTRADA 22:03</t>
      </text>
    </comment>
    <comment authorId="0" ref="N44">
      <text>
        <t xml:space="preserve">======
ID#AAACFZ2aPDM
Ayudantes De Guardia    (2026-08-09 21:32:21)
Siendo las 18:24 Hs. Se comunica PC. SANTUCHO, Rodrigo informando que no se hara presente debido a un cuadro de gastroenteritis. Envia certificado. 
Ay. Barrios. 
Js. Martinez.-
------
ID#AAACFZ2aPDQ
Ayudantes De Guardia    (2026-08-09 21:33:20)
Se recibe Certificado medico de PC Santucho Rodrigo con fecha 09/08 indicando 24 hs de reposo. 
Ay. Barrios. 
Js. Martinez.-</t>
      </text>
    </comment>
    <comment authorId="0" ref="P44">
      <text>
        <t xml:space="preserve">======
ID#AAACFgVRmIk
Ayudantes De Guardia    (2026-08-12 01:12:28)
22:05</t>
      </text>
    </comment>
    <comment authorId="0" ref="Q44">
      <text>
        <t xml:space="preserve">======
ID#AAACFg3VRD8
Ayudantes De Guardia    (2026-08-12 22:53:13)
Se recibe de PC SANTUCHO RODRIGO certificado medico con fecha 12/8 por 24hs.-
AY FERNANDEZ
JS MARTINEZ</t>
      </text>
    </comment>
    <comment authorId="0" ref="AI27">
      <text>
        <t xml:space="preserve">======
ID#AAACGOBaA1Y
Ayudantes De Guardia    (2026-08-31 01:19:59)
21:36 HS. Se hace presente en la sala PC SCHIRRIPA Esteban inforamndo que se va a dirigir hacia la guardia medica de su obra social debido a que mientras concurria al servicio se cayo de su motovehiculo.
AY FERNANDEZ
JS LANGE
------
ID#AAACGTcXL0k
Ayudantes De Guardia    (2026-09-01 12:32:35)
Se recibe certificado medico PC Schirripa Esteban de fechas 30/08 indicando reposo por 72 hs.-
JS AGUIRRE
AY LEIVAS.-</t>
      </text>
    </comment>
    <comment authorId="0" ref="U44">
      <text>
        <t xml:space="preserve">======
ID#AAACFu5Y3G8
Ayudantes De Guardia    (2026-08-17 00:10:20)
Siendo las 19:15hs se comunica PC Santucho Rodrigo informando que no se hara presente al servicio debido a que se encuentra cursando un cuadro de gastroenteritis.-
JS BENITEZ
AYU TIRAVANTI
------
ID#AAACFu8_xA0
Ayudantes De Guardia    (2026-08-17 01:50:21)
Se recibe certificado medico de PC Santucho Rodrigo de fechas 16/08 indicando reposo opr 24 hs</t>
      </text>
    </comment>
    <comment authorId="0" ref="V44">
      <text>
        <t xml:space="preserve">======
ID#AAACFvoH3JU
Ayudantes De Guardia    (2026-08-17 20:03:38)
Se comunica PC Santucho Rodrigo informando que continúa con gastroenterocolitis. No se hará presente
CISNEROS 
SEBASTIA
------
ID#AAACFvsF6xM
Ayudantes De Guardia    (2026-08-17 21:05:04)
Se recibe certificado con reposo por 24Hs.-
JS LANGE.-
Ayud. Soria.-</t>
      </text>
    </comment>
    <comment authorId="0" ref="I28">
      <text>
        <t xml:space="preserve">======
ID#AAACExfrUrU
Ayudantes De Guardia    (2026-08-03 20:44:09)
Se genera licencia por examen de PC Lobos Lucrecia con fecha 04/08.-
cisneros 
sebastia
------
ID#AAACFZ7XhA0
Ayudantes De Guardia    (2026-08-09 22:22:00)
Se recibe licencia por examen de PC Lobos Lucrecia con fecha 04/08.
Ay. Barrios. 
Js. Martinez.</t>
      </text>
    </comment>
    <comment authorId="0" ref="Z44">
      <text>
        <t xml:space="preserve">======
ID#AAACFxygadw
Ayudantes De Guardia    (2026-08-19 19:58:28)
OS N° 6353</t>
      </text>
    </comment>
    <comment authorId="0" ref="J28">
      <text>
        <t xml:space="preserve">======
ID#AAACE3uANaU
Ayudantes De Guardia    (2026-08-06 01:51:19)
Ingreso 22:06Hs.</t>
      </text>
    </comment>
    <comment authorId="0" ref="AA44">
      <text>
        <t xml:space="preserve">======
ID#AAACFx6erxg
Ayudantes De Guardia    (2026-08-19 19:58:34)
OS N° 6353
------
ID#AAACF29xfZs
Ayudantes De Guardia    (2026-08-22 20:15:34)
17:13Hs se comunica PC SANTUCHO, Rodrigo manifestando que no se hara presente debido a que se encuentra cursando un cuadro de rinofaringitis. Enviara certificado medico .-
JS LEDESMA.-
Ayud. Soria.-</t>
      </text>
    </comment>
    <comment authorId="0" ref="AB44">
      <text>
        <t xml:space="preserve">======
ID#AAACFx6erxk
Ayudantes De Guardia    (2026-08-19 19:58:41)
OS N° 6353</t>
      </text>
    </comment>
    <comment authorId="0" ref="P28">
      <text>
        <t xml:space="preserve">======
ID#AAACFgVRl8c
Ayudantes De Guardia    (2026-08-11 23:35:53)
20:28Hs. Se comunica PC LOBOS, Lucrecia manifestando que no se hará presente al servicio debido a dolores de estomago. Presentará certificado médico.-
JS. LANGE
AY. ARCE
------
ID#AAACFgVRl9M
Ayudantes De Guardia    (2026-08-11 23:50:22)
Se recibe certificado con reposo por 24Hs.- 
JS LANGE
Ayud. Soria</t>
      </text>
    </comment>
    <comment authorId="0" ref="Q28">
      <text>
        <t xml:space="preserve">======
ID#AAACFg3VQas
Ayudantes De Guardia    (2026-08-12 20:45:28)
17:37 hrs. el PC Lucrecia LOBOS informa continuar descompuesta, por tal motivo hoy no se presentará al servicio.- 
Barros.-
------
ID#AAACFg3VRD4
Ayudantes De Guardia    (2026-08-12 22:52:59)
Se recibe constancia de atención de PC Lobos Lucrecia con fecha 12/08 por 24hs.-
AY FERNANDEZ
JS MARTINEZ</t>
      </text>
    </comment>
    <comment authorId="0" ref="AH44">
      <text>
        <t xml:space="preserve">======
ID#AAACGNYqgWY
Ayudantes De Guardia    (2026-08-29 21:20:30)
18:18Hs. Se comunica PC SANTUCHO, Rodrigo manifestando que no se hará presente al servicio debido a "infección del tracto respiratorio". Enviará certificado médico.-
JS. LEDESMA
AY. ARCE</t>
      </text>
    </comment>
    <comment authorId="0" ref="U28">
      <text>
        <t xml:space="preserve">======
ID#AAACFu8_xAE
Ayudantes De Guardia    (2026-08-17 01:24:52)
22:13</t>
      </text>
    </comment>
    <comment authorId="0" ref="V28">
      <text>
        <t xml:space="preserve">======
ID#AAACFv3a5SU
Ayudantes De Guardia    (2026-08-18 01:25:30)
Ingreso 22:18Hs.</t>
      </text>
    </comment>
    <comment authorId="0" ref="H45">
      <text>
        <t xml:space="preserve">======
ID#AAACFk1d3iI
Ayudantes De Guardia    (2026-08-13 20:34:26)
ENTRADA 21:23</t>
      </text>
    </comment>
    <comment authorId="0" ref="Z28">
      <text>
        <t xml:space="preserve">======
ID#AAACFwEHNTE
Ayudantes De Guardia    (2026-08-18 02:32:40)
Cambio de guardia con PC Orrego, Pamela autorizado por Ppal. Kelly.-
JS LANGE
AY PEREYRA</t>
      </text>
    </comment>
    <comment authorId="0" ref="AA28">
      <text>
        <t xml:space="preserve">======
ID#AAACF29xfdg
Ayudantes De Guardia    (2026-08-23 01:14:29)
22:10</t>
      </text>
    </comment>
    <comment authorId="0" ref="AB28">
      <text>
        <t xml:space="preserve">======
ID#AAACF4UxLxk
Ayudantes De Guardia    (2026-08-24 01:17:10)
Ingreso 22:15Hs.</t>
      </text>
    </comment>
    <comment authorId="0" ref="AC28">
      <text>
        <t xml:space="preserve">======
ID#AAACF6alboI
Ayudantes De Guardia    (2026-08-25 01:30:10)
22:15</t>
      </text>
    </comment>
    <comment authorId="0" ref="AE28">
      <text>
        <t xml:space="preserve">======
ID#AAACFwEHNS8
Ayudantes De Guardia    (2026-08-18 02:31:46)
Cubre a PC Orrego, Pamela.-
JS LANGE
AY PEREYRA
------
ID#AAACFEf4rnY
Ayudantes De Guardia    (2026-08-27 01:26:55)
Ingreso 22:26Hs.</t>
      </text>
    </comment>
    <comment authorId="0" ref="AG28">
      <text>
        <t xml:space="preserve">======
ID#AAACGJ8w_N0
Ayudantes De Guardia    (2026-08-29 01:45:07)
22:36</t>
      </text>
    </comment>
    <comment authorId="0" ref="T45">
      <text>
        <t xml:space="preserve">======
ID#AAACE0sgUoE
Ayudantes De Guardia    (2026-08-05 08:26:50)
FRANCO POR PRESENTISMO AUTORIZADO POR PPAL ARGUELLO.-
JS BENITEZ
AYU TIRAVANTI</t>
      </text>
    </comment>
    <comment authorId="0" ref="F62">
      <text>
        <t xml:space="preserve">======
ID#AAACElkzWIY
Ayudantes De Guardia    (2026-08-01 23:29:50)
Siendo las 19:45hs, Se comunica el PC Cejas Nicolas informando que no se va hacer presente debido a que se encuentr con gastroenteritis. Enviara el certificado
JS: BENITEZ
AY: CUELLO
Buen día. Se recibe certificado médico de PC Cejas Miguel de fecha 01/08 indicando reposo por 24 Hs.-
JS Aguirre
Garcia</t>
      </text>
    </comment>
    <comment authorId="0" ref="G62">
      <text>
        <t xml:space="preserve">======
ID#AAACEvfB1iw
Ayudantes De Guardia    (2026-08-03 01:19:26)
Ingreso 22:16Hs.</t>
      </text>
    </comment>
    <comment authorId="0" ref="Z45">
      <text>
        <t xml:space="preserve">======
ID#AAACFx6erxo
Ayudantes De Guardia    (2026-08-19 19:58:47)
OS N° 6353</t>
      </text>
    </comment>
    <comment authorId="0" ref="K62">
      <text>
        <t xml:space="preserve">======
ID#AAACE8ah6og
Ayudantes De Guardia    (2026-08-07 01:09:52)
Ingreso 22:08Hs.</t>
      </text>
    </comment>
    <comment authorId="0" ref="AA45">
      <text>
        <t xml:space="preserve">======
ID#AAACFx6erxs
Ayudantes De Guardia    (2026-08-19 19:58:54)
OS N° 6353</t>
      </text>
    </comment>
    <comment authorId="0" ref="L62">
      <text>
        <t xml:space="preserve">======
ID#AAACE9d4Ljg
Ayudantes De Guardia    (2026-08-08 01:12:01)
22:10</t>
      </text>
    </comment>
    <comment authorId="0" ref="AB45">
      <text>
        <t xml:space="preserve">======
ID#AAACFx6erxw
Ayudantes De Guardia    (2026-08-19 19:59:01)
OS N° 6353</t>
      </text>
    </comment>
    <comment authorId="0" ref="M62">
      <text>
        <t xml:space="preserve">======
ID#AAACFYtPUr0
Ayudantes De Guardia    (2026-08-09 01:27:29)
Ingreso 22:22Hs.</t>
      </text>
    </comment>
    <comment authorId="0" ref="N29">
      <text>
        <t xml:space="preserve">======
ID#AAACE0sgUns
Ayudantes De Guardia    (2026-08-05 08:25:10)
FRANCO POR PRESENTISMO AUTORIZADO POR PPAL ARGUELLO.-
JS BENITEZ
AYU TIRAVANTI</t>
      </text>
    </comment>
    <comment authorId="0" ref="AF45">
      <text>
        <t xml:space="preserve">======
ID#AAACGJ8w-b8
Ayudantes De Guardia    (2026-08-28 00:19:44)
21:06 Hs Se comunica PC GODOY ALMICAR Manuel informando no se hara presente debido a gripe.
AY FERNANDEZ
JS LANGE</t>
      </text>
    </comment>
    <comment authorId="0" ref="AG45">
      <text>
        <t xml:space="preserve">======
ID#AAACGJ8w-w4
Ayudantes De Guardia    (2026-08-28 12:45:16)
Cubre Puerto Madero.- 
Barros.-
------
ID#AAACGJ8w_OA
Ayudantes De Guardia    (2026-08-29 01:53:04)
Siendo las 20:43hs el PC Godoy Amilcar informa que se dirige a la guardia debido a que se encuentra descompuesto, se le indico que envie el certificado medico-
AY CUELLO 
JS BENITEZ</t>
      </text>
    </comment>
    <comment authorId="0" ref="AH45">
      <text>
        <t xml:space="preserve">======
ID#AAACGNYqgWk
Ayudantes De Guardia    (2026-08-29 22:39:30)
Puerto Madero</t>
      </text>
    </comment>
    <comment authorId="0" ref="S62">
      <text>
        <t xml:space="preserve">======
ID#AAACFwlVF_M
División Centros de Monitoreo Urbano    (2026-08-18 11:46:07)
22:01 HS</t>
      </text>
    </comment>
    <comment authorId="0" ref="W62">
      <text>
        <t xml:space="preserve">======
ID#AAACFxBL2B8
Ayudantes De Guardia    (2026-08-19 01:12:48)
22:04 HS.</t>
      </text>
    </comment>
    <comment authorId="0" ref="X62">
      <text>
        <t xml:space="preserve">======
ID#AAACFyPOSl4
Ayudantes De Guardia    (2026-08-20 01:22:56)
22:07</t>
      </text>
    </comment>
    <comment authorId="0" ref="Y62">
      <text>
        <t xml:space="preserve">======
ID#AAACFzattbk
Ayudantes De Guardia    (2026-08-21 01:14:37)
Ingreso 22:04Hs.</t>
      </text>
    </comment>
    <comment authorId="0" ref="AB62">
      <text>
        <t xml:space="preserve">======
ID#AAACF4UxLxg
Ayudantes De Guardia    (2026-08-24 01:16:55)
Ingreso 22:15Hs.</t>
      </text>
    </comment>
    <comment authorId="0" ref="AI62">
      <text>
        <t xml:space="preserve">======
ID#AAACGOBaA1U
Ayudantes De Guardia    (2026-08-31 01:13:17)
22:03</t>
      </text>
    </comment>
    <comment authorId="0" ref="AJ62">
      <text>
        <t xml:space="preserve">======
ID#AAACGTFtF4U
Ayudantes De Guardia    (2026-09-01 01:25:27)
22:07</t>
      </text>
    </comment>
    <comment authorId="0" ref="F63">
      <text>
        <t xml:space="preserve">======
ID#AAACElkzWBc
Ayudantes De Guardia    (2026-08-01 19:15:06)
Se recibe constancia de atencion medica de PC Orrego Pamela con fecha 01/08 indicando reposo por 24 Hs.-
JS. LANGE
AY. ARCE</t>
      </text>
    </comment>
    <comment authorId="0" ref="G63">
      <text>
        <t xml:space="preserve">======
ID#AAACEvfB1as
Ayudantes De Guardia    (2026-08-02 22:56:13)
19:47Hs. Se comunica PC ORREGO, Pamela manifestando que no se hará presente al servicio debido a que continua sintiendose mal. Enviará certificado médico.-
JS. LANGE
AY. ARCE
------
ID#AAACEvfB2mY
Ayudantes De Guardia    (2026-08-03 11:50:28)
Se recibe certificado de PC Orrego del 02/08 reposo por 48hs
CISNEROS
QUIROGA</t>
      </text>
    </comment>
    <comment authorId="0" ref="K63">
      <text>
        <t xml:space="preserve">======
ID#AAACE8Bp7_4
Ayudantes De Guardia    (2026-08-07 00:40:54)
21:38 Hs Se comunica PC ORREGO Pamela informando no se hara presente debido a que continua con licencia medica. La misma informa que dio aviso al area de administración
AY FERNANDEZ
JS MARTINEZ
------
ID#AAACE8Bp8Ac
Ayudantes De Guardia    (2026-08-07 00:43:34)
Envia certificado medico con fecha 06/08 reposo 72 hs.-
AY FERNANDEZ
JS MARTINEZ</t>
      </text>
    </comment>
    <comment authorId="0" ref="K30">
      <text>
        <t xml:space="preserve">======
ID#AAACE3uAQYo
Ayudantes De Guardia    (2026-08-06 22:24:41)
LUGANO</t>
      </text>
    </comment>
    <comment authorId="0" ref="P63">
      <text>
        <t xml:space="preserve">======
ID#AAACFehyKCc
Ayudantes De Guardia    (2026-08-11 22:09:58)
19:08Hs. Se comunica PC ORREGO, Pamela manifestando que "Era para avisar que sigo con licencia médica ya que hace un rato me vio el médico y no tuve mejoría con la medicación y sumado a eso tengo a la bebé y al del medio enfermos. Envío certificado médico al email.".-
JS. LANGE
AY. ARCE</t>
      </text>
    </comment>
    <comment authorId="0" ref="Q30">
      <text>
        <t xml:space="preserve">======
ID#AAACE9d4M5k
Ayudantes De Guardia    (2026-08-08 05:36:37)
FRANCO POR SCORING AUTORIZADO POR PPAL ARGUELLO.-
JS BENITEZ
AYU TIRAVANTI</t>
      </text>
    </comment>
    <comment authorId="0" ref="S63">
      <text>
        <t xml:space="preserve">======
ID#AAACFlo2CKk
Ayudantes De Guardia    (2026-08-14 19:46:18)
Se recibe certificado médico de PC Orrego Pamela con fecha 14/08 indicando 48 hs de reposo.-
JS: AGUIRRE
AY: PAZ</t>
      </text>
    </comment>
    <comment authorId="0" ref="F14">
      <text>
        <t xml:space="preserve">======
ID#AAACEvICPEw
Ayudantes De Guardia    (2026-08-02 01:25:32)
22:12hS</t>
      </text>
    </comment>
    <comment authorId="0" ref="X63">
      <text>
        <t xml:space="preserve">======
ID#AAACFyOKIfU
Ayudantes De Guardia    (2026-08-20 00:42:22)
madero</t>
      </text>
    </comment>
    <comment authorId="0" ref="W30">
      <text>
        <t xml:space="preserve">======
ID#AAACFw7ABB8
Ayudantes De Guardia    (2026-08-18 21:19:24)
LUGANO</t>
      </text>
    </comment>
    <comment authorId="0" ref="Y63">
      <text>
        <t xml:space="preserve">======
ID#AAACFzattNo
Ayudantes De Guardia    (2026-08-20 21:27:26)
Se recibe constancia de atención de PC Orrego Pamela con fecha 20/08 por 24hs.-
JS LANGE
AY PEREYRA</t>
      </text>
    </comment>
    <comment authorId="0" ref="Z63">
      <text>
        <t xml:space="preserve">======
ID#AAACF1fnqY0
Ayudantes De Guardia    (2026-08-22 04:38:25)
Cubre a PC Lobos, Lucrecia.-
JS LANGE
AY PEREYRA</t>
      </text>
    </comment>
    <comment authorId="0" ref="Z30">
      <text>
        <t xml:space="preserve">======
ID#AAACE0sgUnw
Ayudantes De Guardia    (2026-08-05 08:25:22)
FRANCO POR PRESENTISMO AUTORIZADO POR PPAL ARGUELLO.-
JS BENITEZ
AYU TIRAVANTI</t>
      </text>
    </comment>
    <comment authorId="0" ref="AD63">
      <text>
        <t xml:space="preserve">======
ID#AAACF8VkMH4
Ayudantes De Guardia    (2026-08-26 01:07:50)
se recibe certificado por familiar a cargo por 48hs 
AY Cuello
JS Benitez</t>
      </text>
    </comment>
    <comment authorId="0" ref="AE63">
      <text>
        <t xml:space="preserve">======
ID#AAACFwEHNS0
Ayudantes De Guardia    (2026-08-18 02:31:20)
Cambio de guardia con PC Lobos, Lucrecia autorizado por Ppal. Kelly.-
JS LANGE
AY PEREYRA
------
ID#AAACF8VkMHs
Ayudantes De Guardia    (2026-08-26 01:02:46)
licencia por familiar a cargo. 
AY CUELLO 
JS: BENITEZ</t>
      </text>
    </comment>
    <comment authorId="0" ref="AI63">
      <text>
        <t xml:space="preserve">======
ID#AAACGOBaAz4
Ayudantes De Guardia    (2026-08-30 21:42:18)
18:33 Hs Se comunica PC ORREGO Pamela informando no se hara presente debido a infección urinaria. Envia certificado.-
AY FERNANDEZ
JS LANGE
------
ID#AAACGOBaA0o
Ayudantes De Guardia    (2026-08-31 01:03:02)
Se recibe de PC Orrego Pamela certificado médico de fecha 30/08 indicando reposo por 48 Hs.-
AY FERNANDEZ
JS LANGE</t>
      </text>
    </comment>
    <comment authorId="0" ref="AH30">
      <text>
        <t xml:space="preserve">======
ID#AAACGNYqgXE
Ayudantes De Guardia    (2026-08-30 01:12:26)
22:08</t>
      </text>
    </comment>
    <comment authorId="0" ref="AJ63">
      <text>
        <t xml:space="preserve">======
ID#AAACFH9QwIY
Ayudantes De Guardia    (2026-09-01 00:27:18)
SE RECIBE CERTIFICADO CON 48HS DE REPOSO POR FAMILIAR  A CARGO. 
AY CUELLO 
JS BENITEZ</t>
      </text>
    </comment>
    <comment authorId="0" ref="T14">
      <text>
        <t xml:space="preserve">======
ID#AAACFuZIPX4
Ayudantes De Guardia    (2026-08-16 01:31:27)
22:09 HS</t>
      </text>
    </comment>
    <comment authorId="0" ref="U14">
      <text>
        <t xml:space="preserve">======
ID#AAACFu8_xAI
Ayudantes De Guardia    (2026-08-17 01:25:09)
22:17</t>
      </text>
    </comment>
    <comment authorId="0" ref="K64">
      <text>
        <t xml:space="preserve">======
ID#AAACE3uAQQ8
Ayudantes De Guardia    (2026-08-06 21:53:02)
18:43 Hs Se comunica PC PEREIRA Brisa informando no se hara presente debido a fiebre. Envia certificado.- 
AY FERNANDEZ
JS MARTINEZ
------
ID#AAACE3uAQRQ
Ayudantes De Guardia    (2026-08-06 22:00:03)
Se recibe constancia de atención de PC Pereira Brisa con fecha 06/08 por 24hs.
ay fernandez
js martinez</t>
      </text>
    </comment>
    <comment authorId="0" ref="AA14">
      <text>
        <t xml:space="preserve">======
ID#AAACF29xfdw
Ayudantes De Guardia    (2026-08-23 01:22:16)
22:20</t>
      </text>
    </comment>
    <comment authorId="0" ref="S64">
      <text>
        <t xml:space="preserve">======
ID#AAACFluLzy0
Ayudantes De Guardia    (2026-08-14 22:24:28)
Se recibe constancia de atencion con fecha 14/08 indicando reposo por 24Hs.
JS LANGE
AY PEREYRA</t>
      </text>
    </comment>
    <comment authorId="0" ref="U31">
      <text>
        <t xml:space="preserve">======
ID#AAACE9d4M5o
Ayudantes De Guardia    (2026-08-08 05:37:43)
FRANCO POR SCORING AUTORIZADO POR PPAL ARGUELLO.-
JS BENITEZ
AYU TIRAVANTI</t>
      </text>
    </comment>
    <comment authorId="0" ref="W31">
      <text>
        <t xml:space="preserve">======
ID#AAACFw7ABCA
Ayudantes De Guardia    (2026-08-18 21:19:53)
MADERO</t>
      </text>
    </comment>
    <comment authorId="0" ref="AA31">
      <text>
        <t xml:space="preserve">======
ID#AAACE0sgUn0
Ayudantes De Guardia    (2026-08-05 08:25:37)
FRANCO POR PRESENTISMO AUTORIZADO POR PPAL ARGUELLO.-
JS BENITEZ
AYU TIRAVANTI</t>
      </text>
    </comment>
    <comment authorId="0" ref="O15">
      <text>
        <t xml:space="preserve">======
ID#AAACFc75hUw
Ayudantes De Guardia    (2026-08-11 05:40:44)
22:16</t>
      </text>
    </comment>
    <comment authorId="0" ref="AI64">
      <text>
        <t xml:space="preserve">======
ID#AAACGOBaA0w
Ayudantes De Guardia    (2026-08-31 01:06:56)
Se comunico PC PEREIRA Brisa informando no se hará presente a la guardia debido a que estaría con fiebre y dolor de cuerpo. La misma indica que envio certificado.
AY CUELLAR
JS LANGE
------
ID#AAACGOBaA00
Ayudantes De Guardia    (2026-08-31 01:07:04)
Se recibe de PC Pereira Diniz Brisa certificado médico de fecha 30/08 indicando reposo por 24 Hs.-
AY FERNANDEZ
JS LANGE</t>
      </text>
    </comment>
    <comment authorId="0" ref="AI31">
      <text>
        <t xml:space="preserve">======
ID#AAACGOBaA1I
Ayudantes De Guardia    (2026-08-31 01:11:28)
22:01</t>
      </text>
    </comment>
    <comment authorId="0" ref="S15">
      <text>
        <t xml:space="preserve">======
ID#AAACFlss_CY
Ayudantes De Guardia    (2026-08-15 01:29:35)
Ingreso 22:23Hs.</t>
      </text>
    </comment>
    <comment authorId="0" ref="U15">
      <text>
        <t xml:space="preserve">======
ID#AAACFu3VNFs
Ayudantes De Guardia    (2026-08-16 23:00:03)
Buenas tardes, siendo las 18:32hs se comunica PC Romero Valentina informando que no se hara presente al servicio debido a que se encuentra descompuesta, enviara certificado medico.-
JS BENITEZ
AYU TIRAVANTI
------
ID#AAACFvhlyk8
Ayudantes De Guardia    (2026-08-17 17:54:27)
Se recibe certificado de PC Valentina Romero con fecha 16/08- Reposo 24hs.
Cisneros
Couso</t>
      </text>
    </comment>
    <comment authorId="0" ref="I32">
      <text>
        <t xml:space="preserve">======
ID#AAACE0sgUdM
Ayudantes De Guardia    (2026-08-05 04:15:07)
22:10</t>
      </text>
    </comment>
    <comment authorId="0" ref="J32">
      <text>
        <t xml:space="preserve">======
ID#AAACE3uANag
Ayudantes De Guardia    (2026-08-06 01:52:00)
Ingreso 22:11Hs.</t>
      </text>
    </comment>
    <comment authorId="0" ref="N32">
      <text>
        <t xml:space="preserve">======
ID#AAACFlXutzI
División Centros de Monitoreo Urbano    (2026-08-14 17:07:50)
22:55</t>
      </text>
    </comment>
    <comment authorId="0" ref="P32">
      <text>
        <t xml:space="preserve">======
ID#AAACFgVRmIo
Ayudantes De Guardia    (2026-08-12 01:13:00)
22:04</t>
      </text>
    </comment>
    <comment authorId="0" ref="AF15">
      <text>
        <t xml:space="preserve">======
ID#AAACGJ8w-bE
Ayudantes De Guardia    (2026-08-27 22:18:48)
Siendo las 19:13 Hs. Se comunica PC. ROMERO Valentina (Chacarita-TN), informando que no se hará presente debido a que se encuentra descompuesta. Envía certificado medico.
Ay. Barrios. 
Js. LANGE</t>
      </text>
    </comment>
    <comment authorId="0" ref="AG15">
      <text>
        <t xml:space="preserve">======
ID#AAACGJ8w_Io
Ayudantes De Guardia    (2026-08-28 23:22:12)
Siendo las 19:53Hs. Se comunica PC. ROMERO Valentina (Chacarita-TN), informando que no se hará presente debido a que se encuentra descompuesta. Envía certificado medico.
AY  CUELLO
JS BENITEZ
------
ID#AAACGNYqgVg
Ayudantes De Guardia    (2026-08-29 17:16:28)
Se recibe constancia de atencion medica de PC Romero Valentina con fecha 28/08 indicando reposo por 24 Hs.-
AY FERNANDEZ
JS LANGE</t>
      </text>
    </comment>
    <comment authorId="0" ref="F49">
      <text>
        <t xml:space="preserve">======
ID#AAACFj6DpwU
Ayudantes De Guardia    (2026-08-13 16:25:27)
ENTRADA 22:02</t>
      </text>
    </comment>
    <comment authorId="0" ref="W65">
      <text>
        <t xml:space="preserve">======
ID#AAACFw7ABCU
Ayudantes De Guardia    (2026-08-18 22:54:48)
Se recibe alta médica de PC Martinez Cohen Belen con fecha 18/08.-
AY FERNANDEZ
JS MARTINEZ
------
ID#AAACFw7ABCc
Ayudantes De Guardia    (2026-08-18 23:05:55)
Se recibe certificado médico de PC Martinez Cohen por familiar a cargo con fecha 18/08 por 48hs.-
AY FERNANDEZ
JS MARTINEZ</t>
      </text>
    </comment>
    <comment authorId="0" ref="G16">
      <text>
        <t xml:space="preserve">======
ID#AAACEvfB1hM
Ayudantes De Guardia    (2026-08-03 01:14:37)
Ingreso 22:06Hs.</t>
      </text>
    </comment>
    <comment authorId="0" ref="Y65">
      <text>
        <t xml:space="preserve">======
ID#AAACFy0qoKg
Ayudantes De Guardia    (2026-08-20 19:13:08)
Se recibe de PC Martinez Cohen certificado medico con fecha 20/08 x 30 dias.-
JS Aguirre
Ayte Garcia</t>
      </text>
    </comment>
    <comment authorId="0" ref="J49">
      <text>
        <t xml:space="preserve">======
ID#AAACE3uANWo
Ayudantes De Guardia    (2026-08-06 01:03:13)
Ingreso 22:02Hs.</t>
      </text>
    </comment>
    <comment authorId="0" ref="K49">
      <text>
        <t xml:space="preserve">======
ID#AAACFlXutzk
División Centros de Monitoreo Urbano    (2026-08-14 17:13:52)
22:10</t>
      </text>
    </comment>
    <comment authorId="0" ref="L49">
      <text>
        <t xml:space="preserve">======
ID#AAACE9d4Ljs
Ayudantes De Guardia    (2026-08-08 01:15:35)
22:15</t>
      </text>
    </comment>
    <comment authorId="0" ref="M49">
      <text>
        <t xml:space="preserve">======
ID#AAACFYtPUrw
Ayudantes De Guardia    (2026-08-09 01:27:16)
Ingreso 22:13Hs.</t>
      </text>
    </comment>
    <comment authorId="0" ref="N16">
      <text>
        <t xml:space="preserve">======
ID#AAACFlXuty4
División Centros de Monitoreo Urbano    (2026-08-14 17:02:29)
22:05</t>
      </text>
    </comment>
    <comment authorId="0" ref="O16">
      <text>
        <t xml:space="preserve">======
ID#AAACFc75hUk
Ayudantes De Guardia    (2026-08-11 05:40:08)
22:13</t>
      </text>
    </comment>
    <comment authorId="0" ref="R49">
      <text>
        <t xml:space="preserve">======
ID#AAACFk9imec
Ayudantes De Guardia    (2026-08-14 01:23:19)
22:06</t>
      </text>
    </comment>
    <comment authorId="0" ref="S16">
      <text>
        <t xml:space="preserve">======
ID#AAACFlxgKZw
Ayudantes De Guardia    (2026-08-14 23:17:48)
PUERTO MADERO.-</t>
      </text>
    </comment>
    <comment authorId="0" ref="T16">
      <text>
        <t xml:space="preserve">======
ID#AAACFuRqv0U
Ayudantes De Guardia    (2026-08-15 21:25:15)
MADERO</t>
      </text>
    </comment>
    <comment authorId="0" ref="V49">
      <text>
        <t xml:space="preserve">======
ID#AAACFvuCyoU
Ayudantes De Guardia    (2026-08-17 23:02:49)
19:52Hs se comunica PC GONZALEZ, Ezequiel manifestando que no se hará presente debido a que se encuentra con náuseas y vómitos. Enviará certificado médico.-
JS LANGE.-
Ayud. SORIA.-</t>
      </text>
    </comment>
    <comment authorId="0" ref="U16">
      <text>
        <t xml:space="preserve">======
ID#AAACFu8_xAM
Ayudantes De Guardia    (2026-08-17 01:25:39)
22:04</t>
      </text>
    </comment>
    <comment authorId="0" ref="W49">
      <text>
        <t xml:space="preserve">======
ID#AAACFxBL2CE
Ayudantes De Guardia    (2026-08-19 01:13:30)
22:12 HS.-</t>
      </text>
    </comment>
    <comment authorId="0" ref="Y49">
      <text>
        <t xml:space="preserve">======
ID#AAACFzattZw
Ayudantes De Guardia    (2026-08-20 23:15:39)
Servicio camion .-</t>
      </text>
    </comment>
    <comment authorId="0" ref="K66">
      <text>
        <t xml:space="preserve">======
ID#AAACEjCaqHw
Ayudantes De Guardia    (2026-07-31 05:57:57)
Cumple servicio de 02 a 06Hs por devolución de hs del dia 19/07.-</t>
      </text>
    </comment>
    <comment authorId="0" ref="L66">
      <text>
        <t xml:space="preserve">======
ID#AAACE9d4LjM
Ayudantes De Guardia    (2026-08-08 01:07:34)
22:04</t>
      </text>
    </comment>
    <comment authorId="0" ref="AB49">
      <text>
        <t xml:space="preserve">======
ID#AAACFY8A_-U
Ayudantes De Guardia    (2026-08-09 06:23:55)
Franco por scoring carta/frecuencia. Autorizado por el Ppal. Berdun.-
JS. LANGE
AY. ARCE</t>
      </text>
    </comment>
    <comment authorId="0" ref="M66">
      <text>
        <t xml:space="preserve">======
ID#AAACFYtPUro
Ayudantes De Guardia    (2026-08-09 01:26:39)
Ingreso 22:10Hs.</t>
      </text>
    </comment>
    <comment authorId="0" ref="AC49">
      <text>
        <t xml:space="preserve">======
ID#AAACF6albnw
Ayudantes De Guardia    (2026-08-25 01:20:58)
22:10</t>
      </text>
    </comment>
    <comment authorId="0" ref="AF16">
      <text>
        <t xml:space="preserve">======
ID#AAACGJ8w-bU
Ayudantes De Guardia    (2026-08-27 22:29:06)
PUERTO MADERO</t>
      </text>
    </comment>
    <comment authorId="0" ref="AG16">
      <text>
        <t xml:space="preserve">======
ID#AAACGJ8w_Nw
Ayudantes De Guardia    (2026-08-29 01:43:58)
22:13</t>
      </text>
    </comment>
    <comment authorId="0" ref="AH49">
      <text>
        <t xml:space="preserve">======
ID#AAACGNYqgW8
Ayudantes De Guardia    (2026-08-30 01:12:01)
22:08</t>
      </text>
    </comment>
    <comment authorId="0" ref="F50">
      <text>
        <t xml:space="preserve">======
ID#AAACElkzWBw
Ayudantes De Guardia    (2026-08-01 19:26:16)
16:20Hs. Se comunica PC GUTIERREZ, Amelina manifestando que no se hará presente al servicio debido a fiebre y malestar. Enviará certificado médico.-
JS. LANGE
AY. ARCE
------
ID#AAACElkzWDY
Ayudantes De Guardia    (2026-08-01 19:47:46)
Se recibe constancia de atencion medica de PC Gutierrez Amelia con fecha 01/08 indicando reposo por 24 Hs.-
JS. LANGE
AY. ARCE</t>
      </text>
    </comment>
    <comment authorId="0" ref="X66">
      <text>
        <t xml:space="preserve">======
ID#AAACFyOKIfM
Ayudantes De Guardia    (2026-08-20 00:42:15)
madero</t>
      </text>
    </comment>
    <comment authorId="0" ref="W33">
      <text>
        <t xml:space="preserve">======
ID#AAACFw7ABCE
Ayudantes De Guardia    (2026-08-18 21:21:43)
LUGANO</t>
      </text>
    </comment>
    <comment authorId="0" ref="Y66">
      <text>
        <t xml:space="preserve">======
ID#AAACFzattZs
Ayudantes De Guardia    (2026-08-20 23:15:31)
Servicio camion .-</t>
      </text>
    </comment>
    <comment authorId="0" ref="J50">
      <text>
        <t xml:space="preserve">======
ID#AAACE3uANWk
Ayudantes De Guardia    (2026-08-06 01:03:00)
Ingreso 22:02Hs.</t>
      </text>
    </comment>
    <comment authorId="0" ref="I17">
      <text>
        <t xml:space="preserve">======
ID#AAACD9eXd1o
Ayudantes De Guardia    (2026-07-25 22:08:34)
CUBRE PC. PONCE DE LEON AUTORIZADO POR PPAL.ARGUELLO. 
Ay. Barrios. 
Js. Martinez.</t>
      </text>
    </comment>
    <comment authorId="0" ref="L50">
      <text>
        <t xml:space="preserve">======
ID#AAACE9d4JD8
Ayudantes De Guardia    (2026-08-07 21:44:49)
Buenas tardes, siendo las 18:26hs se comunica PC Gutierrez Amelia informando que no se hara presente al servicio debido a que su hija se encuentra con fiebre, enviara certificado.-
JS BENITEZ
AYU TIRAVANTI
------
ID#AAACE9d4JEA
Ayudantes De Guardia    (2026-08-07 21:50:54)
Se recibe constancia de atención de PC Gutierrez Amelia con fecha 07/08 por 24 hs.</t>
      </text>
    </comment>
    <comment authorId="0" ref="M50">
      <text>
        <t xml:space="preserve">======
ID#AAACFX5669A
Ayudantes De Guardia    (2026-08-08 22:06:41)
19:04Hs. Se comunica PC GUTIERREZ, Amelia manigestando que no se hará presente al servicio debido a que su hija continúa con fiebre.-
JS. LANGE
AY. ARCE
------
ID#AAACFX5669Q
Ayudantes De Guardia    (2026-08-08 22:34:20)
Se recibe de PC Gutierrez Amelia certificado medico con fecha 8/8 por 24hs.-
JS. LANGE
AY. ARCE</t>
      </text>
    </comment>
    <comment authorId="0" ref="AC33">
      <text>
        <t xml:space="preserve">======
ID#AAACF3VocoY
Ayudantes De Guardia    (2026-08-23 06:57:47)
FRANCO POR PRESENTISMO AUTORIZADO POR EL PPAL MONTEROS
AY CUELLO
JS BENITEZ</t>
      </text>
    </comment>
    <comment authorId="0" ref="M17">
      <text>
        <t xml:space="preserve">======
ID#AAACFYtPUrs
Ayudantes De Guardia    (2026-08-09 01:26:58)
Ingreso 22:13Hs.</t>
      </text>
    </comment>
    <comment authorId="0" ref="N17">
      <text>
        <t xml:space="preserve">======
ID#AAACFaAFVDw
Ayudantes De Guardia    (2026-08-09 23:24:23)
Siendo las 20:17 Hs. Se comunica PC. FEDELLE Sandra, informando que no se hara presente al servicio debido a que se encuentra en la guardia por dolor abdominal. Envia certificado.
Ay. Barrios. 
Js. Martinez-</t>
      </text>
    </comment>
    <comment authorId="0" ref="P50">
      <text>
        <t xml:space="preserve">======
ID#AAACFeh6Kmc
Ayudantes De Guardia    (2026-08-11 21:23:05)
18:19Hs. Se comunica PC GUTIERREZ, Amelia manifestando que no se hará presente al servicio debido a que su hija continua con fiebre. Presentará certificado médico.-
JS. LANGE
AY- ARCE
------
ID#AAACFeh6Kng
Ayudantes De Guardia    (2026-08-11 21:55:01)
Se recibe constancia de atención de Pc Gutierrez Amelia con fecha 11/08 por 24 hs (familiar a cargo).-
JS. LANGE
AY. ARCE</t>
      </text>
    </comment>
    <comment authorId="0" ref="Q50">
      <text>
        <t xml:space="preserve">======
ID#AAACFg3VRD0
Ayudantes De Guardia    (2026-08-12 22:52:37)
Se recibe de PC Gutierrez Amelia certificado por familiar a cargo con fecha 12/8 por 48hs.-
AY FERNANDEZ
JS MARTINEZ</t>
      </text>
    </comment>
  </commentList>
  <extLst>
    <ext uri="GoogleSheetsCustomDataVersion2">
      <go:sheetsCustomData xmlns:go="http://customooxmlschemas.google.com/" r:id="rId1" roundtripDataSignature="AMtx7mjm5keMRoXj1t1p7UBd/65lWCsGnw=="/>
    </ext>
  </extL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D58">
      <text>
        <t xml:space="preserve">======
ID#AAACE0sgUng
Ayudantes De Guardia    (2026-08-05 08:24:13)
FRANCO POR PRESENTISMO AUTORIZADO POR PPAL ARGUELLO.-
JS BENITEZ
AYU TIRAVANTI</t>
      </text>
    </comment>
    <comment authorId="0" ref="G67">
      <text>
        <t xml:space="preserve">======
ID#AAACEvICPFc
Ayudantes De Guardia    (2026-08-02 02:07:15)
23:07</t>
      </text>
    </comment>
    <comment authorId="0" ref="H67">
      <text>
        <t xml:space="preserve">======
ID#AAACEvfB1jo
Ayudantes De Guardia    (2026-08-03 01:32:00)
Ingreso 22:31Hs.</t>
      </text>
    </comment>
    <comment authorId="0" ref="M67">
      <text>
        <t xml:space="preserve">======
ID#AAACE9d4LkI
Ayudantes De Guardia    (2026-08-08 01:36:59)
22:36</t>
      </text>
    </comment>
    <comment authorId="0" ref="N67">
      <text>
        <t xml:space="preserve">======
ID#AAACFYtPUsE
Ayudantes De Guardia    (2026-08-09 01:38:08)
Ingreso 22:33Hs.</t>
      </text>
    </comment>
    <comment authorId="0" ref="W42">
      <text>
        <t xml:space="preserve">======
ID#AAACE3uAN1A
Ayudantes De Guardia    (2026-08-06 07:08:00)
Franco por presentismo. Autorizado por el Ppal. Kelly.-
JS. LANGE
AY. ARCE</t>
      </text>
    </comment>
    <comment authorId="0" ref="Y67">
      <text>
        <t xml:space="preserve">======
ID#AAACFyDV12c
Ayudantes De Guardia    (2026-08-19 22:11:19)
Siendo las 19:04hs se comunica PC Reinaga Martin de la sección Puerto Madero informando que no se hara presente al servicio debido a una herida en el abdomen, el mismo se encuentra en la guardia y enviara certificado medico.-
JS BENITEZ
AYU TIRAVANTI</t>
      </text>
    </comment>
    <comment authorId="0" ref="Z67">
      <text>
        <t xml:space="preserve">======
ID#AAACFzattcI
Ayudantes De Guardia    (2026-08-21 01:23:15)
Ingreso 22:21Hs.</t>
      </text>
    </comment>
    <comment authorId="0" ref="AI42">
      <text>
        <t xml:space="preserve">======
ID#AAACEjCaqPI
Ayudantes De Guardia    (2026-07-31 07:56:03)
POR DEV. DE HORAS HACE DE 14 A 18HS.-
JS. LANGE
AY. ARCE</t>
      </text>
    </comment>
    <comment authorId="0" ref="AC67">
      <text>
        <t xml:space="preserve">======
ID#AAACF4UxLx4
Ayudantes De Guardia    (2026-08-24 01:25:47)
Ingreso 22:24Hs.</t>
      </text>
    </comment>
    <comment authorId="0" ref="AD67">
      <text>
        <t xml:space="preserve">======
ID#AAACF6albng
Ayudantes De Guardia    (2026-08-25 00:43:10)
21:41 Hs Se comunica PC REINAGA Martin informando no se hara presente debido a vomito y diarrea. Envia certificado. 
AY FERNANDEZ
JS LANGE
------
ID#AAACF6albr8
Ayudantes De Guardia    (2026-08-25 13:01:41)
Se recibe constancia de atencion medica de PC Reinaga Martin con fecha 24/08 indicando reposo por 24 Hs.
CISNEROS 
QUIROGA</t>
      </text>
    </comment>
    <comment authorId="0" ref="W59">
      <text>
        <t xml:space="preserve">======
ID#AAACFv3a5SE
Ayudantes De Guardia    (2026-08-18 01:24:48)
Ingreso 22:24Hs.</t>
      </text>
    </comment>
    <comment authorId="0" ref="AF67">
      <text>
        <t xml:space="preserve">======
ID#AAACFEf4riM
Ayudantes De Guardia    (2026-08-26 23:00:54)
19:53Hs. Se comunica PC Reinaga, Martin (Madero – turno noche) manifestando que no se hará presente al servicio debido a que su madre se encuentra con infeccion urinaria y no hay quien se quede al cuidado de ella y su hermana.-
JS LEDESMA
AY PEREYRA</t>
      </text>
    </comment>
    <comment authorId="0" ref="AJ67">
      <text>
        <t xml:space="preserve">======
ID#AAACGOBaA1s
Ayudantes De Guardia    (2026-08-31 01:53:35)
22:25</t>
      </text>
    </comment>
    <comment authorId="0" ref="I68">
      <text>
        <t xml:space="preserve">======
ID#AAACElkzVx8
Ayudantes De Guardia    (2026-08-01 16:52:09)
Por orden de la superioridad devuelve guardia por ausencia del 31/07.-
JS LANGE
AY PEREYRA</t>
      </text>
    </comment>
    <comment authorId="0" ref="Z51">
      <text>
        <t xml:space="preserve">======
ID#AAACFzattbs
Ayudantes De Guardia    (2026-08-21 01:15:53)
Ingreso 22:02Hs.</t>
      </text>
    </comment>
    <comment authorId="0" ref="K35">
      <text>
        <t xml:space="preserve">======
ID#AAACE1I_f-s
Ayudantes De Guardia    (2026-08-05 00:06:37)
servicio en sala de situaciones complejas a las 12hs.-</t>
      </text>
    </comment>
    <comment authorId="0" ref="L35">
      <text>
        <t xml:space="preserve">======
ID#AAACEzanGA4
Ayudantes De Guardia    (2026-08-04 15:45:56)
Afectado la Os. 6422-.-
Barros.-</t>
      </text>
    </comment>
    <comment authorId="0" ref="G60">
      <text>
        <t xml:space="preserve">======
ID#AAACEN0xPN4
Ayudantes De Guardia    (2026-07-30 13:59:45)
Devolucion de guardia a PC Reinoso Matias el dia 01/08 por ausencia del 28/07.-
CISNEROS 
QUIROGA
------
ID#AAACEvICPFQ
Ayudantes De Guardia    (2026-08-02 01:35:07)
22:34</t>
      </text>
    </comment>
    <comment authorId="0" ref="Q35">
      <text>
        <t xml:space="preserve">======
ID#AAACFdFK2NQ
Ayudantes De Guardia    (2026-08-11 09:38:18)
orden 6671</t>
      </text>
    </comment>
    <comment authorId="0" ref="R35">
      <text>
        <t xml:space="preserve">======
ID#AAACE9d4Lis
Ayudantes De Guardia    (2026-08-08 00:58:15)
ORDEN DE SERVICIO CONSTITUCION 6627</t>
      </text>
    </comment>
    <comment authorId="0" ref="K60">
      <text>
        <t xml:space="preserve">======
ID#AAACE3uANaE
Ayudantes De Guardia    (2026-08-06 01:50:13)
Ingreso 22:48Hs.</t>
      </text>
    </comment>
    <comment authorId="0" ref="U35">
      <text>
        <t xml:space="preserve">======
ID#AAACFlG7kso
Ayudantes De Guardia    (2026-08-14 06:05:11)
CUBREA A PC OBISPO VALERIA EN SECCION CHACARITA DEBIDO A CAMBIO DE GUARDIA.-
JS BENITEZ
AYU TIRAVANTI</t>
      </text>
    </comment>
    <comment authorId="0" ref="AK51">
      <text>
        <t xml:space="preserve">======
ID#AAACE8ouuns
Ayudantes De Guardia    (2026-08-07 07:46:54)
FRANCO POR PRESENTISMO AUTORIZADO POR PPAL MONTEROS
AY FERNANDEZ
JS MARTINEZ</t>
      </text>
    </comment>
    <comment authorId="0" ref="V35">
      <text>
        <t xml:space="preserve">======
ID#AAACFlG7ksk
Ayudantes De Guardia    (2026-08-14 06:04:20)
CAMBIO DE GUARDIA CON PC OBISPO VALERIA AUTORIZADO POR PPAL MONTEROS.-
JS BENITEZ
AYU TIRAVANTI</t>
      </text>
    </comment>
    <comment authorId="0" ref="H52">
      <text>
        <t xml:space="preserve">======
ID#AAACEvfB1Vg
Ayudantes De Guardia    (2026-08-02 21:52:35)
18:50Hs. Se comunica PC ALVAREZ, Laura manifestando que no se hará presente al servicio debido a dolor de oído. Enviará certificado médico.-
JS. LANGE
AY. ARCE</t>
      </text>
    </comment>
    <comment authorId="0" ref="G19">
      <text>
        <t xml:space="preserve">======
ID#AAACElkzVCg
Ayudantes De Guardia    (2026-08-01 09:21:47)
Ingreso 06:07Hs.</t>
      </text>
    </comment>
    <comment authorId="0" ref="W35">
      <text>
        <t xml:space="preserve">======
ID#AAACD8WzD78
Ayudantes De Guardia    (2026-07-25 13:25:44)
SE RETIRA A LAS 18 DEBIDO A HORAS FRANCAS POR SERVICIO DEL 19/07.-
JS BENITEZ
AYU TIRAVANTI</t>
      </text>
    </comment>
    <comment authorId="0" ref="X35">
      <text>
        <t xml:space="preserve">======
ID#AAACFlxOXsE
Ayudantes De Guardia    (2026-08-14 22:43:52)
OS 6817 ONCE - 17 A 22Hs.</t>
      </text>
    </comment>
    <comment authorId="0" ref="Q60">
      <text>
        <t xml:space="preserve">======
ID#AAACFgVRmIU
Ayudantes De Guardia    (2026-08-12 01:09:28)
22:07</t>
      </text>
    </comment>
    <comment authorId="0" ref="K19">
      <text>
        <t xml:space="preserve">======
ID#AAACE0sgUpw
Ayudantes De Guardia    (2026-08-05 09:10:02)
06:12 HORAS</t>
      </text>
    </comment>
    <comment authorId="0" ref="AJ43">
      <text>
        <t xml:space="preserve">======
ID#AAACGOBaAyo
Centro de Monitoreo Urbano    (2026-08-30 17:14:37)
14:11 HS</t>
      </text>
    </comment>
    <comment authorId="0" ref="M52">
      <text>
        <t xml:space="preserve">======
ID#AAACE9d4Lj0
Ayudantes De Guardia    (2026-08-08 01:23:30)
22:23</t>
      </text>
    </comment>
    <comment authorId="0" ref="V60">
      <text>
        <t xml:space="preserve">======
ID#AAACFu68B-o
Ayudantes De Guardia    (2026-08-17 01:56:15)
22:54</t>
      </text>
    </comment>
    <comment authorId="0" ref="N52">
      <text>
        <t xml:space="preserve">======
ID#AAACE8ouvGw
Ayudantes De Guardia    (2026-08-07 07:56:24)
FRANCO POR PROCEDIMIENTOS CON IMPUTADOS CARTA/FRECUENCIA AUTORIZADO POR PPAL MONTEROS
AY FERNANDEZ
JS MARTINEZ</t>
      </text>
    </comment>
    <comment authorId="0" ref="W60">
      <text>
        <t xml:space="preserve">======
ID#AAACFvx8J6U
Ayudantes De Guardia    (2026-08-18 01:07:43)
Ingreso 22:07Hs.</t>
      </text>
    </comment>
    <comment authorId="0" ref="O52">
      <text>
        <t xml:space="preserve">======
ID#AAACFZ7XhBI
Ayudantes De Guardia    (2026-08-09 22:33:03)
19:09HS. Se comunica PC. ALVAREZ Laura (Puerto Madero) informando que no se hará presente debido a dolor de muela. Envía certificado.
Ay. Barrios. 
Js. Martinez.</t>
      </text>
    </comment>
    <comment authorId="0" ref="H44">
      <text>
        <t xml:space="preserve">======
ID#AAACEjCaqIQ
Ayudantes De Guardia    (2026-07-31 06:00:29)
Cumple servicio de 14 a 18 hs por devolucion de horas del dia 19/07</t>
      </text>
    </comment>
    <comment authorId="0" ref="AA60">
      <text>
        <t xml:space="preserve">======
ID#AAACF1fnqY8
Ayudantes De Guardia    (2026-08-22 04:41:53)
19:57 Hs Se comunica PC REINOSO Matias no se hara presente al servicio debido a que no tiene con quien dejar a la hija. 
AY FERNANDEZ
JS MARTINEZ</t>
      </text>
    </comment>
    <comment authorId="0" ref="AG60">
      <text>
        <t xml:space="preserve">======
ID#AAACGJ8w-kA
Ayudantes De Guardia    (2026-08-28 02:25:20)
23:14</t>
      </text>
    </comment>
    <comment authorId="0" ref="AI60">
      <text>
        <t xml:space="preserve">======
ID#AAACGNYqgXM
Ayudantes De Guardia    (2026-08-30 01:13:01)
22:12</t>
      </text>
    </comment>
    <comment authorId="0" ref="AA52">
      <text>
        <t xml:space="preserve">======
ID#AAACF1fnqXc
Ayudantes De Guardia    (2026-08-21 23:57:03)
20:53 hs. Se comunica PC Álvarez Laura, quien informa que no se hará presente debido a que su madre, quien se encuentra a cargo del cuidado de sus hijos, se encuentra descompuesta, presentando un ataque de asma, motivo por el cual no cuenta con una persona con quien dejar a los menores.
AY FERNANDEZ
JS MARTINEZ</t>
      </text>
    </comment>
    <comment authorId="0" ref="L36">
      <text>
        <t xml:space="preserve">======
ID#AAACE9d4HN0
Ayudantes De Guardia    (2026-08-07 13:29:21)
Se recibe certificado medico de PC Yufra Yohanna con fecha 06/08 indicando reposo hasta el 03/09 inclusive.-
CISNEROS 
QUIRORGA</t>
      </text>
    </comment>
    <comment authorId="0" ref="G28">
      <text>
        <t xml:space="preserve">======
ID#AAACD8eZoqw
Ayudantes De Guardia    (2026-07-24 23:34:36)
CAMION ONCE 6229 17 A 22HS.</t>
      </text>
    </comment>
    <comment authorId="0" ref="AF52">
      <text>
        <t xml:space="preserve">======
ID#AAACFEf4rnc
Ayudantes De Guardia    (2026-08-27 01:28:56)
Ingreso 22:25Hs.</t>
      </text>
    </comment>
    <comment authorId="0" ref="I61">
      <text>
        <t xml:space="preserve">======
ID#AAACD8WzD8U
Ayudantes De Guardia    (2026-07-25 13:31:51)
SE RETIRA A LAS 02 DEBIDO A HORAS FRANCAS POR SERVICIO DEL 19/07.-
JS BENITEZ
AYU TIRAVANTI</t>
      </text>
    </comment>
    <comment authorId="0" ref="K61">
      <text>
        <t xml:space="preserve">======
ID#AAACE3uANaI
Ayudantes De Guardia    (2026-08-06 01:50:18)
Ingreso 22:38Hs.</t>
      </text>
    </comment>
    <comment authorId="0" ref="AC44">
      <text>
        <t xml:space="preserve">======
ID#AAACE3uAN1E
Ayudantes De Guardia    (2026-08-06 07:08:12)
Franco por presentismo. Autorizado por el Ppal. Kelly.-
JS. LANGE
AY. ARCE</t>
      </text>
    </comment>
    <comment authorId="0" ref="H53">
      <text>
        <t xml:space="preserve">======
ID#AAACEvfB1jk
Ayudantes De Guardia    (2026-08-03 01:31:58)
Ingreso 22:31Hs.</t>
      </text>
    </comment>
    <comment authorId="0" ref="Q61">
      <text>
        <t xml:space="preserve">======
ID#AAACFgVRmOM
Ayudantes De Guardia    (2026-08-12 02:14:11)
Ingreso 22:44Hs.</t>
      </text>
    </comment>
    <comment authorId="0" ref="P28">
      <text>
        <t xml:space="preserve">======
ID#AAACE9d4Lik
Ayudantes De Guardia    (2026-08-08 00:57:35)
ORDEN DE SERVICIO CONSTITUCION 6627</t>
      </text>
    </comment>
    <comment authorId="0" ref="L20">
      <text>
        <t xml:space="preserve">======
ID#AAACE3uAN-o
Ayudantes De Guardia    (2026-08-06 09:36:38)
06:30HS.-</t>
      </text>
    </comment>
    <comment authorId="0" ref="N53">
      <text>
        <t xml:space="preserve">======
ID#AAACFYtPUsI
Ayudantes De Guardia    (2026-08-09 01:42:48)
Ingreso 22:39Hs.</t>
      </text>
    </comment>
    <comment authorId="0" ref="M20">
      <text>
        <t xml:space="preserve">======
ID#AAACE8ouuls
Ayudantes De Guardia    (2026-08-07 07:04:50)
04:03 Hs Se comunica PC RAMOS Lorena informando no se hara presente debido a que no tiene con quien dejar a su hijo.- 
AY FERNANDEZ
JS MARTINEZ</t>
      </text>
    </comment>
    <comment authorId="0" ref="V61">
      <text>
        <t xml:space="preserve">======
ID#AAACE0sgUno
Ayudantes De Guardia    (2026-08-05 08:24:55)
FRANCO POR PRESENTISMO AUTORIZADO POR PPAL ARGUELLO.-
JS BENITEZ
AYU TIRAVANTI</t>
      </text>
    </comment>
    <comment authorId="0" ref="W61">
      <text>
        <t xml:space="preserve">======
ID#AAACFv3a5SA
Ayudantes De Guardia    (2026-08-18 01:17:04)
Ingreso 22:16Hs.</t>
      </text>
    </comment>
    <comment authorId="0" ref="N20">
      <text>
        <t xml:space="preserve">======
ID#AAACE9d4NOs
Ayudantes De Guardia    (2026-08-08 09:30:25)
06:20</t>
      </text>
    </comment>
    <comment authorId="0" ref="Z28">
      <text>
        <t xml:space="preserve">======
ID#AAACFy0qoHE
Ayudantes De Guardia    (2026-08-20 18:23:22)
16 horas implanta en Servicio 6936.-
Barros.-</t>
      </text>
    </comment>
    <comment authorId="0" ref="AB61">
      <text>
        <t xml:space="preserve">======
ID#AAACE9d4M6I
Ayudantes De Guardia    (2026-08-08 05:39:49)
FRANCO POR SCORING AUTORIZADO POR PPAL ARGUELLO.-
JS BENITEZ
AYU TIRAVANTI</t>
      </text>
    </comment>
    <comment authorId="0" ref="AJ36">
      <text>
        <t xml:space="preserve">======
ID#AAACFEf4sYQ
Ayudantes De Guardia    (2026-08-27 20:35:35)
Se genera licencia por maternidad al PC Yufra Yohanna Belen desde el 30/08 al 27/12 inclusive.-
CISNEROS 
QUIROGA</t>
      </text>
    </comment>
    <comment authorId="0" ref="AC61">
      <text>
        <t xml:space="preserve">======
ID#AAACE9d4M6M
Ayudantes De Guardia    (2026-08-08 05:40:02)
FRANCO POR DETENIDOS AUTORIZADO POR PPAL ARGUELLO.-
JS BENITEZ
AYU TIRAVANTI</t>
      </text>
    </comment>
    <comment authorId="0" ref="L12">
      <text>
        <t xml:space="preserve">======
ID#AAACE3uAN-k
Ayudantes De Guardia    (2026-08-06 09:36:20)
COMANDO.-</t>
      </text>
    </comment>
    <comment authorId="0" ref="W20">
      <text>
        <t xml:space="preserve">======
ID#AAACFvN0URQ
Centro de Monitoreo Urbano    (2026-08-17 09:22:34)
LLEGO A LAS 6:22 HS</t>
      </text>
    </comment>
    <comment authorId="0" ref="G4">
      <text>
        <t xml:space="preserve">======
ID#AAACElkzVCw
Ayudantes De Guardia    (2026-08-01 09:25:52)
Ingreso 06:11Hs.</t>
      </text>
    </comment>
    <comment authorId="0" ref="AF28">
      <text>
        <t xml:space="preserve">======
ID#AAACF8VkMEo
Ayudantes De Guardia    (2026-08-25 23:58:52)
Cumple orden de servicio N° 7117 a las 14:30hs.</t>
      </text>
    </comment>
    <comment authorId="0" ref="X20">
      <text>
        <t xml:space="preserve">======
ID#AAACFupIob0
Ayudantes De Guardia    (2026-08-16 13:14:08)
FA autorizado por el Subcrio LOBOS, evento relevante 48748701.-
Barros.-</t>
      </text>
    </comment>
    <comment authorId="0" ref="H4">
      <text>
        <t xml:space="preserve">======
ID#AAACEvICPPY
Ayudantes De Guardia    (2026-08-02 09:11:33)
06:12</t>
      </text>
    </comment>
    <comment authorId="0" ref="AG28">
      <text>
        <t xml:space="preserve">======
ID#AAACE8ouvGc
Ayudantes De Guardia    (2026-08-07 07:54:49)
FRANCO POR EVENTOS INTERVENIDOS MONITOREO AUTORIZADO POR PPAL MONTEROS
AY FERNANDEZ
JS MARTINEZ</t>
      </text>
    </comment>
    <comment authorId="0" ref="AC20">
      <text>
        <t xml:space="preserve">======
ID#AAACF3Vocpc
Ayudantes De Guardia    (2026-08-23 09:29:03)
06:30</t>
      </text>
    </comment>
    <comment authorId="0" ref="O37">
      <text>
        <t xml:space="preserve">======
ID#AAACFY8BCQc
Ayudantes De Guardia    (2026-08-09 17:15:05)
LLEGO A LAS 14:15</t>
      </text>
    </comment>
    <comment authorId="0" ref="G29">
      <text>
        <t xml:space="preserve">======
ID#AAACElkzVyc
Ayudantes De Guardia    (2026-08-01 17:14:19)
Ingreso 14:12Hs.</t>
      </text>
    </comment>
    <comment authorId="0" ref="AF53">
      <text>
        <t xml:space="preserve">======
ID#AAACFEf4rng
Ayudantes De Guardia    (2026-08-27 01:29:08)
Ingreso 22:20Hs.</t>
      </text>
    </comment>
    <comment authorId="0" ref="Q37">
      <text>
        <t xml:space="preserve">======
ID#AAACE9d4Lio
Ayudantes De Guardia    (2026-08-08 00:58:02)
ORDEN DE SERVICIO ONCE 6626
------
ID#AAACFeh6Jcw
Ayudantes De Guardia    (2026-08-11 17:18:49)
sin efecto.</t>
      </text>
    </comment>
    <comment authorId="0" ref="I29">
      <text>
        <t xml:space="preserve">======
ID#AAACBvROzRM
Ayudantes De Guardia    (2026-08-03 17:21:02)
LLEGO A LAS 14:20 HS</t>
      </text>
    </comment>
    <comment authorId="0" ref="AJ20">
      <text>
        <t xml:space="preserve">======
ID#AAACGNYqgZ8
Centro de Monitoreo Urbano    (2026-08-30 09:23:15)
06:22 HS</t>
      </text>
    </comment>
    <comment authorId="0" ref="M29">
      <text>
        <t xml:space="preserve">======
ID#AAACE9d4Iw8
Ayudantes De Guardia    (2026-08-07 17:07:47)
LLEGO A LAS 14:07</t>
      </text>
    </comment>
    <comment authorId="0" ref="V37">
      <text>
        <t xml:space="preserve">======
ID#AAACFlss_Co
Ayudantes De Guardia    (2026-08-15 01:39:11)
Sala de situaciones complejas, 11:00hs. OS 6855 RIVER PLATE vs. ARGENTINOS JUNIORS.-</t>
      </text>
    </comment>
    <comment authorId="0" ref="N29">
      <text>
        <t xml:space="preserve">======
ID#AAACE9d4NQs
Ayudantes De Guardia    (2026-08-08 10:21:10)
SALA DE SITUACIONES DE 12 A FINALIZAR
AY FERNANDEZ
JS MARTINEZ</t>
      </text>
    </comment>
    <comment authorId="0" ref="W37">
      <text>
        <t xml:space="preserve">======
ID#AAACFlxOXr0
Ayudantes De Guardia    (2026-08-14 22:42:48)
OS 6818 CONSTITUCION - 17 A 22Hs.</t>
      </text>
    </comment>
    <comment authorId="0" ref="H21">
      <text>
        <t xml:space="preserve">======
ID#AAACEvICPPU
Ayudantes De Guardia    (2026-08-02 09:11:19)
06:12</t>
      </text>
    </comment>
    <comment authorId="0" ref="AJ45">
      <text>
        <t xml:space="preserve">======
ID#AAACGOBaAys
Centro de Monitoreo Urbano    (2026-08-30 17:14:49)
14:11 HS</t>
      </text>
    </comment>
    <comment authorId="0" ref="AB37">
      <text>
        <t xml:space="preserve">======
ID#AAACF29xfZM
Ayudantes De Guardia    (2026-08-22 19:19:27)
RELEVO OS 7019.-</t>
      </text>
    </comment>
    <comment authorId="0" ref="T29">
      <text>
        <t xml:space="preserve">======
ID#AAACFg3VQmU
Ayudantes De Guardia    (2026-08-12 21:30:43)
ORDEN 6739</t>
      </text>
    </comment>
    <comment authorId="0" ref="AC37">
      <text>
        <t xml:space="preserve">======
ID#AAACFzattW8
División Centros de Monitoreo Urbano    (2026-08-20 22:09:24)
Se retira 20:00hs por devolución de servicio del 16/08</t>
      </text>
    </comment>
    <comment authorId="0" ref="U29">
      <text>
        <t xml:space="preserve">======
ID#AAACE9d4Li8
Ayudantes De Guardia    (2026-08-08 00:59:06)
ORDEN DE SERVICIO ONCE 6626</t>
      </text>
    </comment>
    <comment authorId="0" ref="M21">
      <text>
        <t xml:space="preserve">======
ID#AAACE3uAP6I
Ayudantes De Guardia    (2026-08-06 20:56:50)
Siendo las 17:50 Hs. se comunica Aux. Mirta Runge informando que no asistirá al servicio de mañana debido a que se encuentra con fiebre y ya envió certificado correspondiente.
JS: AGUIRRE
AY: PAZ</t>
      </text>
    </comment>
    <comment authorId="0" ref="N21">
      <text>
        <t xml:space="preserve">======
ID#AAACEgdho4s
Ayudantes De Guardia    (2026-07-30 17:48:34)
CUBRE A AUX RECCHIA 
CISNEROS 
SEBASTIA</t>
      </text>
    </comment>
    <comment authorId="0" ref="AF4">
      <text>
        <t xml:space="preserve">======
ID#AAACF8VkMCo
Ayudantes De Guardia    (2026-08-25 22:25:17)
CUMPLE SERVICIO orden de servicio N°7108/ comando unificado- 10HS A TERMINAR</t>
      </text>
    </comment>
    <comment authorId="0" ref="AG37">
      <text>
        <t xml:space="preserve">======
ID#AAACFEf4sVE
Ayudantes De Guardia    (2026-08-27 17:14:16)
14:16 HORAS</t>
      </text>
    </comment>
    <comment authorId="0" ref="AH37">
      <text>
        <t xml:space="preserve">======
ID#AAACGJ8w-us
Ayudantes De Guardia    (2026-08-28 11:20:09)
14:30 Os. 7185.- 
Barros.-</t>
      </text>
    </comment>
    <comment authorId="0" ref="Z29">
      <text>
        <t xml:space="preserve">======
ID#AAACFyVCvb0
Ayudantes De Guardia    (2026-08-20 04:20:16)
AFECTADA A ORDEN DE SERVICIO 6936 16hs. herrera 2424
======
ID#AAACFlxOXsU
Ayudantes De Guardia    (2026-08-14 22:45:27)
OS 6817 ONCE- 15 A 20Hs.
------
ID#AAACFxehLYQ
Ayudantes De Guardia    (2026-08-20 14:16:37)
sin efecto- 
Barros.-</t>
      </text>
    </comment>
    <comment authorId="0" ref="AB29">
      <text>
        <t xml:space="preserve">======
ID#AAACF29xfYc
Ayudantes De Guardia    (2026-08-22 17:20:28)
Ingreso 14:15Hs.</t>
      </text>
    </comment>
    <comment authorId="0" ref="AF29">
      <text>
        <t xml:space="preserve">======
ID#AAACF8VkMEU
Ayudantes De Guardia    (2026-08-25 23:03:38)
CUMPLE SERVICIO orden de servicio N°7108/ comando unificado- 16HS A TERMINAR</t>
      </text>
    </comment>
    <comment authorId="0" ref="AG29">
      <text>
        <t xml:space="preserve">======
ID#AAACFEf4sOo
Ayudantes De Guardia    (2026-08-27 09:48:31)
OS 7026 DE 15 a 20 hs</t>
      </text>
    </comment>
    <comment authorId="0" ref="Z54">
      <text>
        <t xml:space="preserve">======
ID#AAACFaAFVkA
Ayudantes De Guardia    (2026-08-10 07:31:55)
Franco por presentismo autorizado por PPAL. KELLY. 
Ay. Barrios. 
Js. Martinez.</t>
      </text>
    </comment>
    <comment authorId="0" ref="AI21">
      <text>
        <t xml:space="preserve">======
ID#AAACEgdho4w
Ayudantes De Guardia    (2026-07-30 17:49:05)
CUBRE  AUX RUNGE 
CISNEROS 
SEBASTIA</t>
      </text>
    </comment>
    <comment authorId="0" ref="S30">
      <text>
        <t xml:space="preserve">======
ID#AAACE9d4Liw
Ayudantes De Guardia    (2026-08-08 00:58:32)
ORDEN DE SERVICIO ONCE 6626
sin efecto
------
ID#AAACFktWDvY
Ayudantes De Guardia    (2026-08-13 19:01:29)
17 Hs a 22 Hs</t>
      </text>
    </comment>
    <comment authorId="0" ref="N22">
      <text>
        <t xml:space="preserve">======
ID#AAACEjCaq4Q
Ayudantes De Guardia    (2026-07-31 18:23:51)
Franco autorizado debido a que rinde examen de la diplomatura de videoseguridad.
JS: AGUIRRE
AY: PAZ</t>
      </text>
    </comment>
    <comment authorId="0" ref="AG5">
      <text>
        <t xml:space="preserve">======
ID#AAACFEf4sPE
Ayudantes De Guardia    (2026-08-27 10:10:07)
6:15</t>
      </text>
    </comment>
    <comment authorId="0" ref="AB30">
      <text>
        <t xml:space="preserve">======
ID#AAACE8ouuo8
Ayudantes De Guardia    (2026-08-07 07:52:43)
FRANCO POR EVENTO INTERVENIDO CARTA/FRECUENCIA AUTORIZADO POR PPAL MONTEROS
AY FERNANDEZ
JS MARTINEZ</t>
      </text>
    </comment>
    <comment authorId="0" ref="AE30">
      <text>
        <t xml:space="preserve">======
ID#AAACF6albm8
Ayudantes De Guardia    (2026-08-24 23:19:05)
Orden de Servicio Nro. 7066 - SERVICIOS PREVENCIONALES - OPERACIÓN MURO - ZONA SUR - SUPERINTENDENCIA PACIFICACIÓN DE BARRIOS
De 17:30hs a finalizar:</t>
      </text>
    </comment>
    <comment authorId="0" ref="AG30">
      <text>
        <t xml:space="preserve">======
ID#AAACFEf4sTU
Ayudantes De Guardia    (2026-08-27 15:35:55)
Se comunica Auxiliar Sosa Noelia informando que no se hara presente por malestar gastrointestinal
cisneros 
sebastia</t>
      </text>
    </comment>
    <comment authorId="0" ref="M6">
      <text>
        <t xml:space="preserve">======
ID#AAACE9Uau9U
Ayudantes De Guardia    (2026-08-07 09:07:01)
COMANDO</t>
      </text>
    </comment>
    <comment authorId="0" ref="AD22">
      <text>
        <t xml:space="preserve">======
ID#AAACF4UxMNA
Ayudantes De Guardia    (2026-08-24 09:29:35)
Se hizo presente el Pc Juan Barrancos a la sala, el mismo da aviso que se encuentra con malestar, retirándose a la guardia
Asi mismo el mencionado indicó que se dirige a una guardia médica a fin de enviar el CM correspondiente.-
JS LAHITTE 
AY KRAKOVSKY
------
ID#AAACF6albrg
Ayudantes De Guardia    (2026-08-25 12:25:52)
Se recibe constancia de atencion medica de PC Barrancos Juan Carlos con fecha 24/08 justificando el dia.-
CISNEROS 
QUIROGA</t>
      </text>
    </comment>
    <comment authorId="0" ref="G31">
      <text>
        <t xml:space="preserve">======
ID#AAACElkzWA0
Ayudantes De Guardia    (2026-08-01 19:05:08)
Ingreso 14:24Hs.</t>
      </text>
    </comment>
    <comment authorId="0" ref="H31">
      <text>
        <t xml:space="preserve">======
ID#AAACEvnePZg
Ayudantes De Guardia    (2026-08-02 17:30:43)
14:30</t>
      </text>
    </comment>
    <comment authorId="0" ref="Y6">
      <text>
        <t xml:space="preserve">======
ID#AAACFxygadc
Ayudantes De Guardia    (2026-08-19 18:08:28)
comando</t>
      </text>
    </comment>
    <comment authorId="0" ref="AJ14">
      <text>
        <t xml:space="preserve">======
ID#AAACF4BwPYI
Ayudantes De Guardia    (2026-08-23 16:56:51)
CG CUBRE ORDONEZ .-
CISNEROS 
SEBASTIA</t>
      </text>
    </comment>
    <comment authorId="0" ref="AB6">
      <text>
        <t xml:space="preserve">======
ID#AAACF1fnqZQ
Ayudantes De Guardia    (2026-08-22 06:20:42)
AFECTADO A OS 7019
AY FERNANDEZ
JS MARTINEZ</t>
      </text>
    </comment>
    <comment authorId="0" ref="V31">
      <text>
        <t xml:space="preserve">======
ID#AAACE8ouunY
Ayudantes De Guardia    (2026-08-07 07:45:30)
FRANCO POR PRESENTISMO AUTORIZADO POR PPAL MONTEROS
AY FERNANDEZ
JS MARTINEZ</t>
      </text>
    </comment>
    <comment authorId="0" ref="AE6">
      <text>
        <t xml:space="preserve">======
ID#AAACF6albnA
Ayudantes De Guardia    (2026-08-24 23:19:28)
Orden de Servicio Nro. 7066 - SERVICIOS PREVENCIONALES - OPERACIÓN MURO - ZONA SUR - SUPERINTENDENCIA PACIFICACIÓN DE BARRIOS
De 17:30hs a finalizar:</t>
      </text>
    </comment>
    <comment authorId="0" ref="AA31">
      <text>
        <t xml:space="preserve">======
ID#AAACF1V3ERs
Ayudantes De Guardia    (2026-08-21 18:44:07)
14:15 HORAS</t>
      </text>
    </comment>
    <comment authorId="0" ref="K15">
      <text>
        <t xml:space="preserve">======
ID#AAACE1I_f-M
Ayudantes De Guardia    (2026-08-04 23:51:52)
comando a las 12hs.-</t>
      </text>
    </comment>
    <comment authorId="0" ref="N15">
      <text>
        <t xml:space="preserve">======
ID#AAACEgdho4c
Ayudantes De Guardia    (2026-07-30 17:47:51)
CUBRE A AUX RUNGE 
CISNEROS 
SEBASTIA</t>
      </text>
    </comment>
    <comment authorId="0" ref="O15">
      <text>
        <t xml:space="preserve">======
ID#AAACFY8BARA
Ayudantes De Guardia    (2026-08-09 09:20:56)
06:15</t>
      </text>
    </comment>
    <comment authorId="0" ref="V7">
      <text>
        <t xml:space="preserve">======
ID#AAACE9d4I80
Ayudantes De Guardia    (2026-08-07 19:08:25)
Franco por Presentismo autorizado por Subcomisario Lobos.-</t>
      </text>
    </comment>
    <comment authorId="0" ref="AI15">
      <text>
        <t xml:space="preserve">======
ID#AAACEgdho4o
Ayudantes De Guardia    (2026-07-30 17:48:09)
CUBRE AUX RUNGE 
CISNEROS 
SEBASTIA</t>
      </text>
    </comment>
    <comment authorId="0" ref="AJ7">
      <text>
        <t xml:space="preserve">======
ID#AAACF4BwPYM
Ayudantes De Guardia    (2026-08-23 16:57:22)
CG CUBRE A KHUN .-
CISNEROS 
SEBASTIA</t>
      </text>
    </comment>
    <comment authorId="0" ref="AI65">
      <text>
        <t xml:space="preserve">======
ID#AAACFYv0mqw
Ayudantes De Guardia    (2026-08-09 03:09:24)
Franco por scoring carta/frecuencia. Autorizado por el Ppal. Berdun.-
JS. LANGE
AY. ARCE</t>
      </text>
    </comment>
    <comment authorId="0" ref="N41">
      <text>
        <t xml:space="preserve">======
ID#AAACFX5661E
Ayudantes De Guardia    (2026-08-08 17:53:36)
SE RETIRA 18HS POR DEVOLUCIÓN DE HORAS
AY FERNANDEZ
JS HERRERA</t>
      </text>
    </comment>
    <comment authorId="0" ref="R41">
      <text>
        <t xml:space="preserve">======
ID#AAACFg3VQMw
Ayudantes De Guardia    (2026-08-12 17:45:41)
14:32 HS</t>
      </text>
    </comment>
    <comment authorId="0" ref="U8">
      <text>
        <t xml:space="preserve">======
ID#AAACFg3VQns
Ayudantes De Guardia    (2026-08-12 21:53:25)
Scoring Julio. Autorizó la Subcrio LOBOS.-
Barros.-</t>
      </text>
    </comment>
    <comment authorId="0" ref="V8">
      <text>
        <t xml:space="preserve">======
ID#AAACEM4-8sM
Ayudantes De Guardia    (2026-07-29 20:20:07)
Franco autorizado por el Ppal. ARGUELLO.-
Barros.-</t>
      </text>
    </comment>
    <comment authorId="0" ref="Y41">
      <text>
        <t xml:space="preserve">======
ID#AAACFlxOXsM
Ayudantes De Guardia    (2026-08-14 22:44:40)
OS 6818 CONSTITUCION - 17 A 22Hs.
------
ID#AAACFxygadU
Ayudantes De Guardia    (2026-08-19 17:45:55)
SIN EFECTO
------
ID#AAACFxygadY
Ayudantes De Guardia    (2026-08-19 18:07:39)
en consulta</t>
      </text>
    </comment>
    <comment authorId="0" ref="Z8">
      <text>
        <t xml:space="preserve">======
ID#AAACFg3VQoU
Ayudantes De Guardia    (2026-08-12 21:59:39)
Franco por Detenidos. Autorizó el Subcrio LOBOS.- 
Barros.-</t>
      </text>
    </comment>
    <comment authorId="0" ref="AC41">
      <text>
        <t xml:space="preserve">======
ID#AAACF4Hm9Vg
Ayudantes De Guardia    (2026-08-23 19:08:23)
LLLEGADA TARDE 14:10HS</t>
      </text>
    </comment>
    <comment authorId="0" ref="AI41">
      <text>
        <t xml:space="preserve">======
ID#AAACFYv0mqs
Ayudantes De Guardia    (2026-08-09 03:08:56)
Franco por detenidos por carta/frecuencia. Autorizado por el Ppal. Berdun.-
JS. LANGE
AY. ARCE</t>
      </text>
    </comment>
    <comment authorId="0" ref="AK41">
      <text>
        <t xml:space="preserve">======
ID#AAACGNTAehE
Ayudantes De Guardia    (2026-08-29 02:39:49)
Constitucion N°7223 17 a 22hs</t>
      </text>
    </comment>
  </commentList>
  <extLst>
    <ext uri="GoogleSheetsCustomDataVersion2">
      <go:sheetsCustomData xmlns:go="http://customooxmlschemas.google.com/" r:id="rId1" roundtripDataSignature="AMtx7mhmR8qFL+9uyLlsUZe2L8sAv+mY6w=="/>
    </ext>
  </extL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W67">
      <text>
        <t xml:space="preserve">======
ID#AAACEjCaqHo
Ayudantes De Guardia    (2026-07-31 05:57:22)
Cumple servicio de 00 a 04Hs por devolución de Hs del dia 19/07.-</t>
      </text>
    </comment>
    <comment authorId="0" ref="AC67">
      <text>
        <t xml:space="preserve">======
ID#AAACE3uAN00
Ayudantes De Guardia    (2026-08-06 07:07:13)
Franco por presentismo. Autorizado por el Ppal. Kelly.-
JS. LANGE
AY. ARCE</t>
      </text>
    </comment>
    <comment authorId="0" ref="AJ67">
      <text>
        <t xml:space="preserve">======
ID#AAACGOBaA1o
Ayudantes De Guardia    (2026-08-31 01:52:51)
22:50</t>
      </text>
    </comment>
    <comment authorId="0" ref="G68">
      <text>
        <t xml:space="preserve">======
ID#AAACEvICPFA
Ayudantes De Guardia    (2026-08-02 01:27:29)
22:27</t>
      </text>
    </comment>
    <comment authorId="0" ref="K68">
      <text>
        <t xml:space="preserve">======
ID#AAACE3uANaA
Ayudantes De Guardia    (2026-08-06 01:49:45)
Ingreso 22:05Hs.</t>
      </text>
    </comment>
    <comment authorId="0" ref="R68">
      <text>
        <t xml:space="preserve">======
ID#AAACFg3VQGs
Ayudantes De Guardia    (2026-08-12 16:00:22)
12:50 horas se comunicó el PC Tomás QUAGLIA informando que el día de mañana no se reincorporará debido a que presente un certificado médico por 72 hrs.- En cuanto uds informen, se plasma.- 
Barros.-
------
ID#AAACFg3VQH8
Ayudantes De Guardia    (2026-08-12 16:14:08)
Se recibe de PC Tomás QUAGLIA certificado medico con fecha 12/8 por 48hs.-
js: Aguirre
ay: Paz</t>
      </text>
    </comment>
    <comment authorId="0" ref="L60">
      <text>
        <t xml:space="preserve">======
ID#AAACE8iydqs
Ayudantes De Guardia    (2026-08-07 02:54:59)
INGRESA A LAS 00 DEBIDO A HORAS FRANCAS POR SERVICIO DEL 19/07.-
JS: MARTINEZ
AY: MARTIN</t>
      </text>
    </comment>
    <comment authorId="0" ref="O60">
      <text>
        <t xml:space="preserve">======
ID#AAACFaAFVGU
Ayudantes De Guardia    (2026-08-10 01:18:54)
22:18</t>
      </text>
    </comment>
    <comment authorId="0" ref="X68">
      <text>
        <t xml:space="preserve">======
ID#AAACFxBL2B4
Ayudantes De Guardia    (2026-08-19 01:12:28)
22:12</t>
      </text>
    </comment>
    <comment authorId="0" ref="Q60">
      <text>
        <t xml:space="preserve">======
ID#AAACFgVRmIY
Ayudantes De Guardia    (2026-08-12 01:09:40)
22:08</t>
      </text>
    </comment>
    <comment authorId="0" ref="Z68">
      <text>
        <t xml:space="preserve">======
ID#AAACFzattbw
Ayudantes De Guardia    (2026-08-21 01:16:32)
Ingreso 22:11Hs.</t>
      </text>
    </comment>
    <comment authorId="0" ref="R60">
      <text>
        <t xml:space="preserve">======
ID#AAACExfrW2c
Ayudantes De Guardia    (2026-08-04 07:43:54)
CUBRE PC GARCIA PAULA AUTORIZADO POR PPAL KELLY
AY FERNANDEZ
JS MARTINEZ</t>
      </text>
    </comment>
    <comment authorId="0" ref="AC68">
      <text>
        <t xml:space="preserve">======
ID#AAACF4UxLxo
Ayudantes De Guardia    (2026-08-24 01:17:47)
Ingreso 22:16Hs.</t>
      </text>
    </comment>
    <comment authorId="0" ref="U60">
      <text>
        <t xml:space="preserve">======
ID#AAACExfrW2U
Ayudantes De Guardia    (2026-08-04 07:43:11)
CUBRE A PC GARCIA PAULA AUTORIZADO POR PPAL KELLY
AY FERNANDEZ
JS MARTINEZ</t>
      </text>
    </comment>
    <comment authorId="0" ref="O52">
      <text>
        <t xml:space="preserve">======
ID#AAACFaAFVGQ
Ayudantes De Guardia    (2026-08-10 01:18:51)
22:18</t>
      </text>
    </comment>
    <comment authorId="0" ref="W60">
      <text>
        <t xml:space="preserve">======
ID#AAACE0sgUnk
Ayudantes De Guardia    (2026-08-05 08:24:29)
FRANCO POR PRESENTISMO AUTORIZADO POR PPAL ARGUELLO.-
JS BENITEZ
AYU TIRAVANTI</t>
      </text>
    </comment>
    <comment authorId="0" ref="X60">
      <text>
        <t xml:space="preserve">======
ID#AAACFw7ABB0
Ayudantes De Guardia    (2026-08-18 20:40:49)
17:38 horas el PC MERZARIO informa continuar con malestar. Adeuda certificado médico.-
Barros.-</t>
      </text>
    </comment>
    <comment authorId="0" ref="R19">
      <text>
        <t xml:space="preserve">======
ID#AAACFg3VP2w
Ayudantes De Guardia    (2026-08-12 12:40:10)
Siendo las 06:18 Hs.- se comunica Aux. Tobares Sabrina informando "Buen día , quería avisar que no me voy a presentar a la guardia ya que mis hijos no tienen clases en el jardín y no cuento con quien los cuide. Cabe destacar que solicité cambios de guardia recibiendo como respuesta NO o directamente sin recibir respuesta, envié Mail por cambio por mi misma el cual no me autorizaron. Muchas gracias." (SIC)
JS:AGUIRRE
AY: PAZ</t>
      </text>
    </comment>
    <comment authorId="0" ref="AC60">
      <text>
        <t xml:space="preserve">======
ID#AAACF4UxLxs
Ayudantes De Guardia    (2026-08-24 01:17:53)
Ingreso 22:16Hs.</t>
      </text>
    </comment>
    <comment authorId="0" ref="U52">
      <text>
        <t xml:space="preserve">======
ID#AAACE8ouunw
Ayudantes De Guardia    (2026-08-07 07:47:11)
FRANCO POR PRESENTISMO AUTORIZADO POR PPAL MONTEROS
AY FERNANDEZ
JS MARTINEZ</t>
      </text>
    </comment>
    <comment authorId="0" ref="H69">
      <text>
        <t xml:space="preserve">======
ID#AAACEvfB1aw
Ayudantes De Guardia    (2026-08-02 22:58:15)
19:49Hs. Se comunica PC. CARRERA, Debora manifestando que no se hará presente al servicio debido a dolor lumbar. Enviará certificado médico.-
JS. LANGE
AY. ARCE
------
ID#AAACEvfB2mc
Ayudantes De Guardia    (2026-08-03 11:54:35)
se recibe certificado de PC Carrera Debora del 02/08 justificando ausencia
CISNEROS 
QUIROGA</t>
      </text>
    </comment>
    <comment authorId="0" ref="AJ60">
      <text>
        <t xml:space="preserve">======
ID#AAACGOBaA1A
Ayudantes De Guardia    (2026-08-31 01:10:56)
22:06</t>
      </text>
    </comment>
    <comment authorId="0" ref="AC19">
      <text>
        <t xml:space="preserve">======
ID#AAACF3VocpY
Ayudantes De Guardia    (2026-08-23 09:28:31)
se comuna Auxiliar Tobares Sabrina , seccion Lugano, informa que no se hara presente por dolor de cintura.
CISNEROS 
SEBASTIA
------
ID#AAACF4Hm9Vw
Ayudantes De Guardia    (2026-08-23 20:30:50)
Se recibe certificado de Aux Tobares del 23/08 reposo por 72hs
CISNEROS 
QUIROGA</t>
      </text>
    </comment>
    <comment authorId="0" ref="P69">
      <text>
        <t xml:space="preserve">======
ID#AAACFeh6Kns
Ayudantes De Guardia    (2026-08-11 22:01:11)
Se recibe certificado médico de PC Carrera Debora con fecha 10/08 indicando 48 hs de reposo.
JS. LANGE
AY. ARCE</t>
      </text>
    </comment>
    <comment authorId="0" ref="Q69">
      <text>
        <t xml:space="preserve">======
ID#AAACFg3VRMs
Ayudantes De Guardia    (2026-08-13 01:11:02)
17:46 horas Se comunica PC Carrera Debora de sección Lugano e informa: Me dieron reposo de 48 horas por extracción de muela. Y 48hs por dolor lumbar.🤦🏽‍♀️ Enviare certificado de ambos.
AY FERNANDEZ
JS MARTINEZ</t>
      </text>
    </comment>
    <comment authorId="0" ref="R69">
      <text>
        <t xml:space="preserve">======
ID#AAACFg3VRqg
Ayudantes De Guardia    (2026-08-13 01:57:48)
La misma no se hace presente al servicio informando que el día de ayer envio certificado médico por lumbalgia. 
AY FERNANDEZ
JS MARTINEZ
------
ID#AAACFj6Dpg0
Ayudantes De Guardia    (2026-08-13 13:03:35)
Se recibe constancia de atencion medica de PC Carrera Debora justificando el dia 12/08.-
CISNEROS 
QUIROGA</t>
      </text>
    </comment>
    <comment authorId="0" ref="T69">
      <text>
        <t xml:space="preserve">======
ID#AAACEjCaqIk
Ayudantes De Guardia    (2026-07-31 06:02:03)
POR DEV. DE HORAS REALIZA DE 22 A 02HS.-
JS. LANGE
AY. ARCE
------
ID#AAACFltFXck
Ayudantes De Guardia    (2026-08-14 22:01:27)
18:56Hs. Se comunica manifestando que no se hará presente al servicio debido a que se encuentra con complicaciones con la muela que le sacaron el día de hoy, manifestó que fue a la guardia y le indicaron reposo. Enviara certificado medico correspondiente.-
JS LANGE
AY PEREYRA
------
ID#AAACFuEO5s8
Ayudantes De Guardia    (2026-08-15 15:42:37)
Se recibe de PC Carrera Debora certificado médico con fecha 14/8 con reposo por 24 hs</t>
      </text>
    </comment>
    <comment authorId="0" ref="H53">
      <text>
        <t xml:space="preserve">======
ID#AAACEvfB1is
Ayudantes De Guardia    (2026-08-03 01:18:36)
Ingreso 22:11Hs.</t>
      </text>
    </comment>
    <comment authorId="0" ref="R61">
      <text>
        <t xml:space="preserve">======
ID#AAACFg3VRPI
Ayudantes De Guardia    (2026-08-13 01:51:55)
22:51</t>
      </text>
    </comment>
    <comment authorId="0" ref="K45">
      <text>
        <t xml:space="preserve">======
ID#AAACE3uAMyY
Ayudantes De Guardia    (2026-08-05 17:50:20)
se comunica informado que no se hara presente por cefalea 
cisneros 
sebastia
------
ID#AAACE3uAM3w
Ayudantes De Guardia    (2026-08-05 18:51:15)
Se recibe constancia de atencion medica de PC Canepa Leila con fecha 05/08 indicando reposo por 24 Hs</t>
      </text>
    </comment>
    <comment authorId="0" ref="AC61">
      <text>
        <t xml:space="preserve">======
ID#AAACF4Hn3NI
Ayudantes De Guardia    (2026-08-23 22:57:49)
19:55Hs. Se comunica manifestando que no se hará presente al servicio debido a que se siente mal. Enviará certificado médico.-
JS LEDESMA
AY PEREYRA
------
ID#AAACF4UxLww
Ayudantes De Guardia    (2026-08-23 23:37:55)
Se recibe certificado del 23/08 indicando reposo por 24hs.-
JS LANGE
AY PEREYRA</t>
      </text>
    </comment>
    <comment authorId="0" ref="AD61">
      <text>
        <t xml:space="preserve">======
ID#AAACF6bBLbI
Ayudantes De Guardia    (2026-08-24 21:54:32)
Siendo las 18:37 Hs. Se comunica PC. ESCALANTE Mailen (V. Lugano-T.N) informando que no se hará presente debido a encontrarse mal. Envia certificado médico. 
Ay. Barrios. 
JS. Lange.-
------
ID#AAACF6albrk
Ayudantes De Guardia    (2026-08-25 12:27:25)
Se recibe constancia de atencion medica de PC Escalante Mailen con fecha 24/08 indicando reposo por 48 Hs.-
CISNEROS 
QUIROGA</t>
      </text>
    </comment>
    <comment authorId="0" ref="H70">
      <text>
        <t xml:space="preserve">======
ID#AAACEjCaqPE
Ayudantes De Guardia    (2026-07-31 07:55:35)
POR DEV. DE HORAS HACE DE 22HS A 02HS.-
JS. LANGE
AY. ARCE</t>
      </text>
    </comment>
    <comment authorId="0" ref="AI61">
      <text>
        <t xml:space="preserve">======
ID#AAACGNYqgWs
Ayudantes De Guardia    (2026-08-29 22:46:26)
19:44Hs. Se comunica PC ESCALANTE, Mailen manifestando que no se hará presente al servicio debido a vómitos. Enviará certificado médico.-
JS. LEDESMA
AY. ARCE</t>
      </text>
    </comment>
    <comment authorId="0" ref="AA53">
      <text>
        <t xml:space="preserve">======
ID#AAACF1fnqYY
Ayudantes De Guardia    (2026-08-22 01:10:36)
22:10</t>
      </text>
    </comment>
    <comment authorId="0" ref="J4">
      <text>
        <t xml:space="preserve">======
ID#AAACEvggfmY
Ayudantes De Guardia    (2026-08-02 15:36:55)
CG cubre a PC Rasjido Aldana
Autorizó Ppal Arguello
JS Aguirre
Ayte García</t>
      </text>
    </comment>
    <comment authorId="0" ref="AJ61">
      <text>
        <t xml:space="preserve">======
ID#AAACGOBaA1E
Ayudantes De Guardia    (2026-08-31 01:11:02)
22:10</t>
      </text>
    </comment>
    <comment authorId="0" ref="L37">
      <text>
        <t xml:space="preserve">======
ID#AAACD8WzD7w
Ayudantes De Guardia    (2026-07-25 13:24:32)
SE RETIRA A LAS 18 DEBIDO A HORAS FRANCAS POR SERVICIO DEL 19/07.-
JS BENITEZ
AYU TIRAVANTI</t>
      </text>
    </comment>
    <comment authorId="0" ref="M4">
      <text>
        <t xml:space="preserve">======
ID#AAACEvggfmg
Ayudantes De Guardia    (2026-08-02 15:40:17)
CG cubre PC Rasjido Aldana
Autorizó Ppal Arguello
JS Aguirre
Ayte Garcia</t>
      </text>
    </comment>
    <comment authorId="0" ref="AC20">
      <text>
        <t xml:space="preserve">======
ID#AAACEHk0iHk
Ayudantes De Guardia    (2026-07-27 10:41:09)
FRANCO POR PRESENTISMO.-
AUX. GARCIA</t>
      </text>
    </comment>
    <comment authorId="0" ref="W45">
      <text>
        <t xml:space="preserve">======
ID#AAACE3uAN04
Ayudantes De Guardia    (2026-08-06 07:07:25)
Franco por presentismo. Autorizado por el Ppal. Kelly.-
JS. LANGE
AY. ARCE</t>
      </text>
    </comment>
    <comment authorId="0" ref="O37">
      <text>
        <t xml:space="preserve">======
ID#AAACE0sgUnU
Ayudantes De Guardia    (2026-08-05 08:23:23)
FRANCO POR PRESENTISMO AUTORIZADO POR PPAL ARGUELLO.-
JS BENITEZ
AYU TIRAVANTI</t>
      </text>
    </comment>
    <comment authorId="0" ref="Q70">
      <text>
        <t xml:space="preserve">======
ID#AAACFgVRmIs
Ayudantes De Guardia    (2026-08-12 01:13:33)
22:12</t>
      </text>
    </comment>
    <comment authorId="0" ref="P37">
      <text>
        <t xml:space="preserve">======
ID#AAACFaAFW9Q
Ayudantes De Guardia    (2026-08-10 17:29:18)
14:28 HS</t>
      </text>
    </comment>
    <comment authorId="0" ref="O4">
      <text>
        <t xml:space="preserve">======
ID#AAACE9d4I8w
Ayudantes De Guardia    (2026-08-07 19:07:46)
Franco por Presentismo autorizado por Subcomisario Lobos.-</t>
      </text>
    </comment>
    <comment authorId="0" ref="R70">
      <text>
        <t xml:space="preserve">======
ID#AAACFg3VRM8
Ayudantes De Guardia    (2026-08-13 01:12:21)
22:12</t>
      </text>
    </comment>
    <comment authorId="0" ref="K62">
      <text>
        <t xml:space="preserve">======
ID#AAACE3uANao
Ayudantes De Guardia    (2026-08-06 02:19:57)
Ingreso 23:03Hs.</t>
      </text>
    </comment>
    <comment authorId="0" ref="T70">
      <text>
        <t xml:space="preserve">======
ID#AAACFY8BAAA
Ayudantes De Guardia    (2026-08-09 07:10:06)
Franco por scoring monitoreo. Autorizado por el Ppal Berdun.-
JS. LANGE
AY. ARCE</t>
      </text>
    </comment>
    <comment authorId="0" ref="AJ53">
      <text>
        <t xml:space="preserve">======
ID#AAACGOBaA2M
Ayudantes De Guardia    (2026-08-31 03:07:18)
Se recibe de PC Villegas Rodrigo certificado médico de fecha 30/08 indicando reposo por 72 Hs.-</t>
      </text>
    </comment>
    <comment authorId="0" ref="O62">
      <text>
        <t xml:space="preserve">======
ID#AAACFaAFVGY
Ayudantes De Guardia    (2026-08-10 01:18:58)
22:18</t>
      </text>
    </comment>
    <comment authorId="0" ref="X70">
      <text>
        <t xml:space="preserve">======
ID#AAACFw7ABCM
Ayudantes De Guardia    (2026-08-18 22:53:00)
19:13 Hs Se comunica PC VILLARUBIA Justina informando no se hara presente debido a fiebre. Envio constancia.-
AY FERNANDEZ
JS MARTINEZ
------
ID#AAACFw7ABCQ
Ayudantes De Guardia    (2026-08-18 22:54:07)
Se recibe constancia de atención de PC Villarubia Justina con fecha 18/08 por 24hs
AY FERNANDEZ
JS MARTINEZ</t>
      </text>
    </comment>
    <comment authorId="0" ref="H54">
      <text>
        <t xml:space="preserve">======
ID#AAACEvfB1jA
Ayudantes De Guardia    (2026-08-03 01:25:28)
Ingreso 22:23Hs.</t>
      </text>
    </comment>
    <comment authorId="0" ref="G21">
      <text>
        <t xml:space="preserve">======
ID#AAACElkzVDA
Ayudantes De Guardia    (2026-08-01 09:26:26)
Ingreso 06:19Hs.</t>
      </text>
    </comment>
    <comment authorId="0" ref="Z70">
      <text>
        <t xml:space="preserve">======
ID#AAACFzattb0
Ayudantes De Guardia    (2026-08-21 01:16:42)
Ingreso 22:15Hs.</t>
      </text>
    </comment>
    <comment authorId="0" ref="AC70">
      <text>
        <t xml:space="preserve">======
ID#AAACF4UxLxY
Ayudantes De Guardia    (2026-08-24 01:15:58)
Ingreso 22:11Hs.</t>
      </text>
    </comment>
    <comment authorId="0" ref="U62">
      <text>
        <t xml:space="preserve">======
ID#AAACE9d4M6A
Ayudantes De Guardia    (2026-08-08 05:39:16)
FRANCO POR SCORING AUTORIZADO POR PPAL ARGUELLO.-
JS BENITEZ
AYU TIRAVANTI</t>
      </text>
    </comment>
    <comment authorId="0" ref="AJ12">
      <text>
        <t xml:space="preserve">======
ID#AAACGNYqgX0
Ayudantes De Guardia    (2026-08-30 06:37:45)
03:36Hs. Se comunica AUX. GUERRY, Luciana manifestando que no se hará presente al servicio debido a que su hija se encuentra con vómitos. Enviará certificado médico. Valida en San Justo.-
JS. LEDESMA
AY. ARCE
------
ID#AAACGOBaA0k
Ayudantes De Guardia    (2026-08-31 00:48:25)
Se recibe de Aux. Guerry certificado médico por familiar a cargo con fecha 30/08 indicando reposo por 48 Hs.-
AY FERNANDEZ
JS LANGE</t>
      </text>
    </comment>
    <comment authorId="0" ref="AC37">
      <text>
        <t xml:space="preserve">======
ID#AAACF4CqGR0
Ayudantes De Guardia    (2026-08-23 17:48:11)
14:45</t>
      </text>
    </comment>
    <comment authorId="0" ref="AB4">
      <text>
        <t xml:space="preserve">======
ID#AAACF1fnqas
Ayudantes De Guardia    (2026-08-22 09:58:04)
Ingreso 06:08Hs.</t>
      </text>
    </comment>
    <comment authorId="0" ref="W62">
      <text>
        <t xml:space="preserve">======
ID#AAACE9d4M6E
Ayudantes De Guardia    (2026-08-08 05:39:28)
FRANCO POR DETENIDOS AUTORIZADO POR PPAL ARGUELLO.-
JS BENITEZ
AYU TIRAVANTI</t>
      </text>
    </comment>
    <comment authorId="0" ref="AF70">
      <text>
        <t xml:space="preserve">======
ID#AAACFEf4r3I
Ayudantes De Guardia    (2026-08-27 01:36:11)
Ingreso 22:30Hs.</t>
      </text>
    </comment>
    <comment authorId="0" ref="H46">
      <text>
        <t xml:space="preserve">======
ID#AAACEjCaqHk
Ayudantes De Guardia    (2026-07-31 05:57:18)
POR DEV. DE HORAS REALIZA DE 14 A 18HS.-
JS. LANGE
AY. ARCE</t>
      </text>
    </comment>
    <comment authorId="0" ref="AI37">
      <text>
        <t xml:space="preserve">======
ID#AAACGNYqgVk
Ayudantes De Guardia    (2026-08-29 17:18:51)
14:18</t>
      </text>
    </comment>
    <comment authorId="0" ref="T54">
      <text>
        <t xml:space="preserve">======
ID#AAACE8ouvGs
Ayudantes De Guardia    (2026-08-07 07:56:03)
FRANCO POR EVENTO INTERVENIDO CARTA/FRECUENCIA AUTORIZADO PPAL MONTEROS
AY FERNANDEZ
JS MARTINEZ</t>
      </text>
    </comment>
    <comment authorId="0" ref="U54">
      <text>
        <t xml:space="preserve">======
ID#AAACE8ouun0
Ayudantes De Guardia    (2026-08-07 07:47:15)
FRANCO POR PRESENTISMO AUTORIZADO POR PPAL MONTEROS
AY FERNANDEZ
JS MARTINEZ</t>
      </text>
    </comment>
    <comment authorId="0" ref="G5">
      <text>
        <t xml:space="preserve">======
ID#AAACElkzVCs
Ayudantes De Guardia    (2026-08-01 09:25:29)
Ingreso 06:09Hs.</t>
      </text>
    </comment>
    <comment authorId="0" ref="P13">
      <text>
        <t xml:space="preserve">======
ID#AAACFY8BCPE
Ayudantes De Guardia    (2026-08-09 16:44:52)
SE RETIRA 11 HS POR TURNO MEDICO CON SU HERMANA -
CISNEROS 
SEBASTIA</t>
      </text>
    </comment>
    <comment authorId="0" ref="AA54">
      <text>
        <t xml:space="preserve">======
ID#AAACF1fnqZ0
Ayudantes De Guardia    (2026-08-22 07:56:40)
22:20</t>
      </text>
    </comment>
    <comment authorId="0" ref="AE54">
      <text>
        <t xml:space="preserve">======
ID#AAACF8VkMIU
Ayudantes De Guardia    (2026-08-26 01:24:03)
22:23</t>
      </text>
    </comment>
    <comment authorId="0" ref="V13">
      <text>
        <t xml:space="preserve">======
ID#AAACFuf6K0o
Ayudantes De Guardia    (2026-08-16 08:41:11)
05:38 Hs. Se comunica PC GUERRA Daiana: "Hola, quería avisar que esperé hasta último momento para ver si disminuían la hinchazón y el dolor de las muelas de juicio superior que me extrajeron, pero lamentablemente sigo igual. Por este motivo, y considerando que todavía no me encuentro en condiciones, hoy no voy a poder presentarme a trabajar. Espero poder recuperarme pronto y retomar con normalidad." (SIC) 
AY FERNANDEZ
JS MARTINEZ
------
ID#AAACFu8_xA4
Ayudantes De Guardia    (2026-08-17 01:52:42)
Se recibe certificado de PC Guerra Daiana de fechas 16/08 indicando reposo por 48 hs.-</t>
      </text>
    </comment>
    <comment authorId="0" ref="O38">
      <text>
        <t xml:space="preserve">======
ID#AAACD8WzD7s
Ayudantes De Guardia    (2026-07-25 13:23:57)
SE RETIRA A LAS 18 DEBIDO A HORAS FRANCAS POR SERVICIO DEL 19/07.-
JS BENITEZ
AYU TIRAVANTI</t>
      </text>
    </comment>
    <comment authorId="0" ref="H30">
      <text>
        <t xml:space="preserve">======
ID#AAACEM1uM7w
Ayudantes De Guardia    (2026-07-29 03:27:03)
ORDEN INTERNA NRO. 128/2026 FRANCOS POR PROCEDIMIENTOS - RECONOCIMIENTO POR PRODUCTIVIDAD AUTORIZADO PPAL MONTEROS
AY FERNANDEZ
JS MARTINEZ</t>
      </text>
    </comment>
    <comment authorId="0" ref="S5">
      <text>
        <t xml:space="preserve">======
ID#AAACFg3VRqw
Ayudantes De Guardia    (2026-08-13 02:02:55)
Queda a presto para concurrir al Servicio de Control de Accesos. El mismo se llevará a cabo en el dia de mañana, JUEVES 13/08 con horario aproximado 16:30hs.
AY FERNANDEZ
JS MARTINEZ</t>
      </text>
    </comment>
    <comment authorId="0" ref="AJ21">
      <text>
        <t xml:space="preserve">======
ID#AAACFzaWoF8
Ayudantes De Guardia    (2026-08-20 20:46:23)
CUBRE MICAELA GARCIA.
Autoriza Subcrio LOBOS
JS Aguirre
Garcia</t>
      </text>
    </comment>
    <comment authorId="0" ref="AC46">
      <text>
        <t xml:space="preserve">======
ID#AAACE3uAN08
Ayudantes De Guardia    (2026-08-06 07:07:34)
Franco por presentismo. Autorizado por el Ppal. Kelly.-
JS. LANGE
AY. ARCE</t>
      </text>
    </comment>
    <comment authorId="0" ref="N30">
      <text>
        <t xml:space="preserve">======
ID#AAACE8ouunc
Ayudantes De Guardia    (2026-08-07 07:46:00)
FRANCO POR PRESENTISMO AUTORIZADO POR PPAL MONTEROS
AY FERNANDEZ
JS MARTINEZ</t>
      </text>
    </comment>
    <comment authorId="0" ref="AD13">
      <text>
        <t xml:space="preserve">======
ID#AAACFeh6JX4
Ayudantes De Guardia    (2026-08-11 15:52:13)
CG CUBRE GUTIERREZ .-
CISNEROS 
SEBASTIA</t>
      </text>
    </comment>
    <comment authorId="0" ref="AG13">
      <text>
        <t xml:space="preserve">======
ID#AAACFeh6JX8
Ayudantes De Guardia    (2026-08-11 15:52:30)
CG CUBRE A  GUTIERREZ .-
CISNEROS 
SEBASTIA</t>
      </text>
    </comment>
    <comment authorId="0" ref="J22">
      <text>
        <t xml:space="preserve">======
ID#AAACD5Oq3js
Ayudantes De Guardia    (2026-07-23 20:15:19)
Cubre al PC GUTIERREZ.- Autorizó el Subcrio LOBOS.- 
Barros.-
Sin efecto.-
Garcia.-</t>
      </text>
    </comment>
    <comment authorId="0" ref="L22">
      <text>
        <t xml:space="preserve">======
ID#AAACD5Oq3j0
Ayudantes De Guardia    (2026-07-23 20:15:47)
Cubre el PC GUTIERREZ. 
Barros,.-
Sin efecto CG.-
Garcia.</t>
      </text>
    </comment>
    <comment authorId="0" ref="AB5">
      <text>
        <t xml:space="preserve">======
ID#AAACF1fnqaI
Ayudantes De Guardia    (2026-08-22 09:23:22)
Ingreso 06:08Hs.</t>
      </text>
    </comment>
    <comment authorId="0" ref="U30">
      <text>
        <t xml:space="preserve">======
ID#AAACE8ouuo0
Ayudantes De Guardia    (2026-08-07 07:52:18)
FRANCO POR EVENTO INTERVENIDO CARTA/FRECUENCIA AUTORIZADO POR PPAL MONTEROS
AY FERNANDEZ
JS MARTINEZ</t>
      </text>
    </comment>
    <comment authorId="0" ref="M22">
      <text>
        <t xml:space="preserve">======
ID#AAACE8kNwlc
Ayudantes De Guardia    (2026-08-07 05:03:33)
01:54 Hs Se comunica Aux DEMARCO Antonella sección Lugano informando no se hara presente debido a licencia medica. Valida en CML San Justo.-
AY FERNANDEZ
JS MARTINEZ
------
ID#AAACE9d4H2Q
Ayudantes De Guardia    (2026-08-07 13:53:08)
Se recibe certificado medico del Aux Demarco Antonella con fecha 07/08 indicando reposo por 48 Hs.-
CISNEROS 
QUIROGA</t>
      </text>
    </comment>
    <comment authorId="0" ref="AC38">
      <text>
        <t xml:space="preserve">======
ID#AAACE0sgUnY
Ayudantes De Guardia    (2026-08-05 08:23:38)
FRANCO POR PRESENTISMO AUTORIZADO POR PPAL ARGUELLO.-
JS BENITEZ
AYU TIRAVANTI</t>
      </text>
    </comment>
    <comment authorId="0" ref="AE5">
      <text>
        <t xml:space="preserve">======
ID#AAACF6albm0
Ayudantes De Guardia    (2026-08-24 23:17:27)
Orden de Servicio Nro. 7065 - SERVICIOS PREVENCIONALES - OPERACIÓN MURO - ZONA NORTE - SUPERINTENDENCIA PACIFICACIÓN DE BARRIOS
De 17:30hs a finalizar:</t>
      </text>
    </comment>
    <comment authorId="0" ref="S55">
      <text>
        <t xml:space="preserve">======
ID#AAACE8ouun4
Ayudantes De Guardia    (2026-08-07 07:47:25)
FRANCO POR PRESENTISMO AUTORIZADO POR PPAL MONTEROS
AY FERNANDEZ
JS MARTINEZ</t>
      </text>
    </comment>
    <comment authorId="0" ref="J14">
      <text>
        <t xml:space="preserve">======
ID#AAACExfrVLI
Ayudantes De Guardia    (2026-08-04 03:22:44)
00:16 Hs Se comunica PC PEREIRA Analia informando no se hara presente debido a turno medico. Envia constancia
AY FERNANDEZ
JS MARTINEZ
------
ID#AAACEzanG8M
Ayudantes De Guardia    (2026-08-04 21:01:06)
Se recibe constancia de atención de PC Pereira Analia con fecha 04/08
JS: AGUIRRE
AY: PAZ</t>
      </text>
    </comment>
    <comment authorId="0" ref="AB30">
      <text>
        <t xml:space="preserve">======
ID#AAACE8ouuo4
Ayudantes De Guardia    (2026-08-07 07:52:25)
FRANCO POR PROCEDIMIENTOS CON IMPUTADOS CARTA/FRECUENCIA AUTORIZADO POR PPAL MONTEROS
AY FERNANDEZ
JS MARTINEZ</t>
      </text>
    </comment>
    <comment authorId="0" ref="AD63">
      <text>
        <t xml:space="preserve">======
ID#AAACF6albnk
Ayudantes De Guardia    (2026-08-25 01:14:26)
22:12</t>
      </text>
    </comment>
    <comment authorId="0" ref="O14">
      <text>
        <t xml:space="preserve">======
ID#AAACFY8BALw
Ayudantes De Guardia    (2026-08-09 08:04:03)
04:59Hs. Se comunica al POC de Villa Lugano el PC PEREIRA, Analía manifestando que no se hará presente al servicio debido a dolor de cervical.-
JS. LANGE
AY. ARCE</t>
      </text>
    </comment>
    <comment authorId="0" ref="R14">
      <text>
        <t xml:space="preserve">======
ID#AAACFg3VPIY
Ayudantes De Guardia    (2026-08-12 09:16:46)
06:16HS</t>
      </text>
    </comment>
    <comment authorId="0" ref="K39">
      <text>
        <t xml:space="preserve">======
ID#AAACE3uAMyU
Ayudantes De Guardia    (2026-08-05 17:47:23)
14:15</t>
      </text>
    </comment>
    <comment authorId="0" ref="P39">
      <text>
        <t xml:space="preserve">======
ID#AAACFaAFW9U
Ayudantes De Guardia    (2026-08-10 17:29:30)
14:28 HS</t>
      </text>
    </comment>
    <comment authorId="0" ref="R39">
      <text>
        <t xml:space="preserve">======
ID#AAACFg3VQKs
Ayudantes De Guardia    (2026-08-12 17:23:31)
14:23HS</t>
      </text>
    </comment>
    <comment authorId="0" ref="AH22">
      <text>
        <t xml:space="preserve">======
ID#AAACFaAFXJ0
Ayudantes De Guardia    (2026-08-10 20:06:12)
Cambio de guardia con PC. Gutierrez Natalia, autorizado por la Subcomisario Lobos.
JS: AGUIRRE
AY: PAZ</t>
      </text>
    </comment>
    <comment authorId="0" ref="U39">
      <text>
        <t xml:space="preserve">======
ID#AAACD8WzD70
Ayudantes De Guardia    (2026-07-25 13:25:12)
SE RETIRA A LAS 18 DEBIDO A HORAS FRANCAS POR SERVICIO DEL 19/07.-
JS BENITEZ
AYU TIRAVANTI</t>
      </text>
    </comment>
    <comment authorId="0" ref="AD14">
      <text>
        <t xml:space="preserve">======
ID#AAACF4UxMJE
Ayudantes De Guardia    (2026-08-24 06:15:56)
03:10Hs. Se comunica PC Pereira, Analía (Lugano - turno mañana) manifestando que no se hará presente al servicio debido a que posee un turno medico. Enviará constancia de atención.-
JS LEDESMA
AY PEREYRA
------
ID#AAACF6albrc
Ayudantes De Guardia    (2026-08-25 12:25:07)
Se recibe constancia de atencion medica de PC Pereira Analia con fecha 24/08 justificando el dia.-
CISNEROS 
QUIROGA</t>
      </text>
    </comment>
    <comment authorId="0" ref="G23">
      <text>
        <t xml:space="preserve">======
ID#AAACElkzU00
Ayudantes De Guardia    (2026-08-01 05:35:04)
02:22 Hs Se comunica PC LAMBOGLIA Lautaro no se hara presente debido a migraña. Envia certificado.- 
AY FERNANDEZ
JS MARTINEZ
------
ID#AAACEvICPHM
Ayudantes De Guardia    (2026-08-02 03:22:35)
Se recibe certificado medico con 48hs de reposo-
Ay Cuello 
JS Benitez</t>
      </text>
    </comment>
    <comment authorId="0" ref="Y6">
      <text>
        <t xml:space="preserve">======
ID#AAACFuvRjuU
Ayudantes De Guardia    (2026-08-16 15:26:10)
Franco por presentismo. Autorizó el Subcrio LOBOS.- 
Barros.-</t>
      </text>
    </comment>
    <comment authorId="0" ref="AA39">
      <text>
        <t xml:space="preserve">======
ID#AAACF1RFIqQ
Ayudantes De Guardia    (2026-08-21 17:31:34)
14:26</t>
      </text>
    </comment>
    <comment authorId="0" ref="AB39">
      <text>
        <t xml:space="preserve">======
ID#AAACF29xfYY
Ayudantes De Guardia    (2026-08-22 17:20:01)
Ingreso 14:11Hs.</t>
      </text>
    </comment>
    <comment authorId="0" ref="L23">
      <text>
        <t xml:space="preserve">======
ID#AAACE3uAN-U
Ayudantes De Guardia    (2026-08-06 09:15:56)
06:15HS</t>
      </text>
    </comment>
    <comment authorId="0" ref="AC39">
      <text>
        <t xml:space="preserve">======
ID#AAACF4CqGRw
Ayudantes De Guardia    (2026-08-23 17:48:01)
14:45</t>
      </text>
    </comment>
    <comment authorId="0" ref="AB6">
      <text>
        <t xml:space="preserve">======
ID#AAACFzaWoGA
Ayudantes De Guardia    (2026-08-20 20:48:12)
Cubre Kiara BLANCO
Autoriza Subcrio LOBOS
JS Aguirre
Garcia</t>
      </text>
    </comment>
    <comment authorId="0" ref="M23">
      <text>
        <t xml:space="preserve">======
ID#AAACE9Uau9o
Ayudantes De Guardia    (2026-08-07 09:19:12)
6:18</t>
      </text>
    </comment>
    <comment authorId="0" ref="V31">
      <text>
        <t xml:space="preserve">======
ID#AAACE8ouung
Ayudantes De Guardia    (2026-08-07 07:46:19)
FRANCO POR PRESENTISMO AUTORIZADO POR PPAL MONTEROS
AY FERNANDEZ
JS MARTINEZ</t>
      </text>
    </comment>
    <comment authorId="0" ref="R56">
      <text>
        <t xml:space="preserve">======
ID#AAACExfrW2Y
Ayudantes De Guardia    (2026-08-04 07:43:29)
CUBRE A PC MERZARIO AUTORIZADO POR PPAL KELLY
AY FERNANDEZ
JS MARTINEZ</t>
      </text>
    </comment>
    <comment authorId="0" ref="R23">
      <text>
        <t xml:space="preserve">======
ID#AAACFg3VPIc
Ayudantes De Guardia    (2026-08-12 09:23:50)
06:23HS</t>
      </text>
    </comment>
    <comment authorId="0" ref="S23">
      <text>
        <t xml:space="preserve">======
ID#AAACFj6DpVI
Ayudantes De Guardia    (2026-08-13 09:23:39)
06:23</t>
      </text>
    </comment>
    <comment authorId="0" ref="T23">
      <text>
        <t xml:space="preserve">======
ID#AAACFlNGCws
Ayudantes De Guardia    (2026-08-14 09:55:08)
06:20HS</t>
      </text>
    </comment>
    <comment authorId="0" ref="U56">
      <text>
        <t xml:space="preserve">======
ID#AAACExfrW2Q
Ayudantes De Guardia    (2026-08-04 07:42:48)
CUBRE PC MERZARIO AUTORIZADO POR PPA LKELLY
AY FERNANDEZ
JS MARTINEZ</t>
      </text>
    </comment>
    <comment authorId="0" ref="G7">
      <text>
        <t xml:space="preserve">======
ID#AAACElkzVC8
Ayudantes De Guardia    (2026-08-01 09:26:14)
Ingreso 06:13Hs.</t>
      </text>
    </comment>
    <comment authorId="0" ref="X23">
      <text>
        <t xml:space="preserve">======
ID#AAACFwKWwjU
Ayudantes De Guardia    (2026-08-18 04:41:14)
01:12Hs. Se comunica manifestando que no se hará presente al servicio debido a que se encuentra con fiebre y dolor de garganta desde el dia de ayer. Enviará certificado medico.-
JS LANGE
AY PEREYRA
------
ID#AAACFxgwuUg
Ayudantes De Guardia    (2026-08-19 10:46:27)
Se recibe certificado de PC Lamboglia del 18/08 reposo por 48hs
CISNEROS
QUIROGA</t>
      </text>
    </comment>
    <comment authorId="0" ref="H7">
      <text>
        <t xml:space="preserve">======
ID#AAACEvICPVI
Ayudantes De Guardia    (2026-08-02 09:19:29)
06:19HS</t>
      </text>
    </comment>
    <comment authorId="0" ref="Z23">
      <text>
        <t xml:space="preserve">======
ID#AAACFxehKqs
Ayudantes De Guardia    (2026-08-20 09:17:18)
LLEGO 06:17HS</t>
      </text>
    </comment>
    <comment authorId="0" ref="J7">
      <text>
        <t xml:space="preserve">======
ID#AAACEvggfmM
Ayudantes De Guardia    (2026-08-02 15:35:41)
CG cubre PC Lamela Agustín.
Autorizó Ppal Arguello
JS Aguirre
Ayte García</t>
      </text>
    </comment>
    <comment authorId="0" ref="AA23">
      <text>
        <t xml:space="preserve">======
ID#AAACFdFK2ck
Ayudantes De Guardia    (2026-08-11 13:36:46)
CUBRE A ROMERO .-
CISNEROS 
SEBASTIA
------
ID#AAACFzattjk
Ayudantes De Guardia    (2026-08-21 09:26:20)
06:25</t>
      </text>
    </comment>
    <comment authorId="0" ref="AC23">
      <text>
        <t xml:space="preserve">======
ID#AAACF3Vocpo
Ayudantes De Guardia    (2026-08-23 10:01:27)
6:26</t>
      </text>
    </comment>
    <comment authorId="0" ref="U15">
      <text>
        <t xml:space="preserve">======
ID#AAACFl7KaFk
Ayudantes De Guardia    (2026-08-15 06:25:47)
siendo las 21:04hs se comunica Pc Romero Alejandra manifestando que no se hará presente al servicio debido a que se encuentra con fiebre y alergia, enviara certificado medico. 
JS Lange
Ayu. Soria
------
ID#AAACFuRqvzo
Ayudantes De Guardia    (2026-08-15 20:12:58)
Se recibe de PC Romero Alejandra certificado médico con fecha 15/08 con reposo de 24 hs</t>
      </text>
    </comment>
    <comment authorId="0" ref="M7">
      <text>
        <t xml:space="preserve">======
ID#AAACEvggfmc
Ayudantes De Guardia    (2026-08-02 15:38:52)
CG cubre a PC Lamela Agustín. 
Autorizó Ppal Arguello
JS Aguirre
Ayte Garcia</t>
      </text>
    </comment>
    <comment authorId="0" ref="AD23">
      <text>
        <t xml:space="preserve">======
ID#AAACF4UxMMM
Ayudantes De Guardia    (2026-08-24 09:17:51)
6:17Hs</t>
      </text>
    </comment>
    <comment authorId="0" ref="N7">
      <text>
        <t xml:space="preserve">======
ID#AAACE9d4M64
Ayudantes De Guardia    (2026-08-08 06:00:23)
02:52hs se comunica PC Rasjido Aldana informando que no se hara presente debido a que no tiene con quien dejar al cuidado de su hijo, indica que su esposo no puede hacer fuerza por lo que no puede cuidar de su hijo.-
JS BENITEZ
AYU TIRAVANTI</t>
      </text>
    </comment>
    <comment authorId="0" ref="O40">
      <text>
        <t xml:space="preserve">======
ID#AAACE0sgUnc
Ayudantes De Guardia    (2026-08-05 08:23:52)
FRANCO POR PRESENTISMO AUTORIZADO POR PPAL ARGUELLO.-
JS BENITEZ
AYU TIRAVANTI</t>
      </text>
    </comment>
    <comment authorId="0" ref="AE23">
      <text>
        <t xml:space="preserve">======
ID#AAACF6albqY
Ayudantes De Guardia    (2026-08-25 10:02:44)
06:26</t>
      </text>
    </comment>
    <comment authorId="0" ref="O7">
      <text>
        <t xml:space="preserve">======
ID#AAACFY8A_98
Ayudantes De Guardia    (2026-08-09 05:52:42)
02:34Hs. Se comunica manifestando que su pareja está con diagnóstico de epididimitis por estrangulamiento testicular y no tiene con quien dejar al cuidado de su hijo, la misma refiere que en el día de ayer envió el debido certificado con reposo por 72 Hs ya que su pareja no puede realizar esfuerzo físico.-
JS LANGE
AY PEREYRA
------
ID#AAACFY8BBhE
Ayudantes De Guardia    (2026-08-09 15:37:29)
Se recibe certificado de PC Rasjido por familiar a cargo con fecha 08/08 por 72 hs.</t>
      </text>
    </comment>
    <comment authorId="0" ref="AF23">
      <text>
        <t xml:space="preserve">======
ID#AAACFEf4rBQ
Ayudantes De Guardia    (2026-08-26 09:25:39)
06;24HS</t>
      </text>
    </comment>
    <comment authorId="0" ref="R40">
      <text>
        <t xml:space="preserve">======
ID#AAACD8WzD74
Ayudantes De Guardia    (2026-07-25 13:25:25)
SE RETIRA A LAS 18 DEBIDO A HORAS FRANCAS POR SERVICIO DEL 19/07.-
JS BENITEZ
AYU TIRAVANTI</t>
      </text>
    </comment>
    <comment authorId="0" ref="AA15">
      <text>
        <t xml:space="preserve">======
ID#AAACFdFK2cg
Ayudantes De Guardia    (2026-08-11 13:36:16)
CUBRE PC LAMBOGLIA.-
CISNEROS 
SEBASTIA</t>
      </text>
    </comment>
    <comment authorId="0" ref="T7">
      <text>
        <t xml:space="preserve">======
ID#AAACFlHx298
Ayudantes De Guardia    (2026-08-14 06:33:16)
Siendo las 02:24hs se comunica PC Rasjido Aldana informando que no se hará presente al servicio debido a que su pareja sigue con fuerte dolor testicular y se encuentran en la guardia, enviara certificado medico.-
JS BENITEZ
AYU TIRAVANTI
------
ID#AAACFlO8_ws
Ayudantes De Guardia    (2026-08-14 10:37:39)
Se recibe certificado por familiar a cargo de PC Rasjido Aldana con fecha 14/8 por 24hs.-
JS: AGUIRRE
AY: PAZ</t>
      </text>
    </comment>
    <comment authorId="0" ref="AJ23">
      <text>
        <t xml:space="preserve">======
ID#AAACGNYqgX8
Ayudantes De Guardia    (2026-08-30 06:44:12)
03.42Hs. Se comunica PC LAMBOGLIA, Lautaro manifestando que no se hará presente al servicio debido a que jugando a la pelota se lastimó los ligamentos cruzandos. Concurrirá a la guardia y enviará certificado médico.-
JS. LEDESMA
AY. ARCE</t>
      </text>
    </comment>
    <comment authorId="0" ref="AB15">
      <text>
        <t xml:space="preserve">======
ID#AAACE0sgUyI
Ayudantes De Guardia    (2026-08-05 11:15:36)
Franco por presentismo autorizado por Ppal Romero.-
Cisneros
Couso</t>
      </text>
    </comment>
    <comment authorId="0" ref="O32">
      <text>
        <t xml:space="preserve">======
ID#AAACE8ouunk
Ayudantes De Guardia    (2026-08-07 07:46:21)
FRANCO POR PRESENTISMO AUTORIZADO POR PPAL MONTEROS
AY FERNANDEZ
JS MARTINEZ</t>
      </text>
    </comment>
    <comment authorId="0" ref="AA40">
      <text>
        <t xml:space="preserve">======
ID#AAACE9d4M5Y
Ayudantes De Guardia    (2026-08-08 05:31:33)
FRANCO POR SCORING AUTORIZADO POR PPAL ARGUELLO.-
JS BENITEZ
AYU TIRAVANTI</t>
      </text>
    </comment>
    <comment authorId="0" ref="AB40">
      <text>
        <t xml:space="preserve">======
ID#AAACFu68B_4
Ayudantes De Guardia    (2026-08-17 03:08:34)
FRANCO POR PROCEDIMIENTO CON IMPUTADOS, AUTORIZADO POR PPAL ROMERO.-
JS BENITEZ
AYU TIRAVANTI</t>
      </text>
    </comment>
    <comment authorId="0" ref="AH7">
      <text>
        <t xml:space="preserve">======
ID#AAACGJ8w-sY
Ayudantes De Guardia    (2026-08-28 09:21:22)
06:21HHS</t>
      </text>
    </comment>
    <comment authorId="0" ref="J8">
      <text>
        <t xml:space="preserve">======
ID#AAACD5Oq3jU
Ayudantes De Guardia    (2026-07-23 20:13:38)
Cubre el Aux. DEMARCO.- Autorizó el Subcrio LOBOS.- 
Barros.-
------
ID#AAACEHk0iIg
Ayudantes De Guardia    (2026-07-27 11:16:35)
Sin efecto CG.- 
Barros.-</t>
      </text>
    </comment>
    <comment authorId="0" ref="L8">
      <text>
        <t xml:space="preserve">======
ID#AAACD5Oq3jc
Ayudantes De Guardia    (2026-07-23 20:14:07)
Cubre al Aux. DEMARCO.- 
Barros.-
------
ID#AAACEHk0iIk
Ayudantes De Guardia    (2026-07-27 11:16:51)
Sin efecto.- 
Barros.-</t>
      </text>
    </comment>
    <comment authorId="0" ref="I33">
      <text>
        <t xml:space="preserve">======
ID#AAACELPJj8A
Ayudantes De Guardia    (2026-07-28 15:34:37)
Se genero Licencia por maternidad del PC Correa Belen Soledad periodo 03/08/2026 al 30/11/2026
CISNEROS 
QUIROGA</t>
      </text>
    </comment>
    <comment authorId="0" ref="AJ24">
      <text>
        <t xml:space="preserve">======
ID#AAACGNYqgX4
Ayudantes De Guardia    (2026-08-30 06:42:39)
03:41Hs. Se comunica PC MARTINEZ DONDE, Santiago manifestando que no se hará presente al servicio debido a gastroenteritis. Enviará certificado médico.-
JS. LEDESMA
AY. ARCE</t>
      </text>
    </comment>
    <comment authorId="0" ref="AD8">
      <text>
        <t xml:space="preserve">======
ID#AAACFeh6JYE
Ayudantes De Guardia    (2026-08-11 15:54:59)
CG CUBRE A GUERRA .-
CISNEROS 
SEBASTIA</t>
      </text>
    </comment>
    <comment authorId="0" ref="AE8">
      <text>
        <t xml:space="preserve">======
ID#AAACF6BwAdE
Ayudantes De Guardia    (2026-08-24 19:29:40)
se retira a las 11 hs autorizado por la Sub Lobos.-
js Lahitte 
Ay Krakovsky</t>
      </text>
    </comment>
    <comment authorId="0" ref="AG8">
      <text>
        <t xml:space="preserve">======
ID#AAACFeh6JYI
Ayudantes De Guardia    (2026-08-11 15:55:14)
CG CUBRE GUERRA .-
CISNEROS
SEBASTIA</t>
      </text>
    </comment>
    <comment authorId="0" ref="AH8">
      <text>
        <t xml:space="preserve">======
ID#AAACFaAFXJw
Ayudantes De Guardia    (2026-08-10 20:05:30)
Cambio de guardia con Aux. Demarco Antonella, autorizado por la Subcomisario Lobos.
JS: AGUIRRE
AY: PAZ</t>
      </text>
    </comment>
  </commentList>
  <extLst>
    <ext uri="GoogleSheetsCustomDataVersion2">
      <go:sheetsCustomData xmlns:go="http://customooxmlschemas.google.com/" r:id="rId1" roundtripDataSignature="AMtx7mjTunOFHed2nBxl/G1N4TxkB2Bh4w=="/>
    </ext>
  </extL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AF6">
      <text>
        <t xml:space="preserve">======
ID#AAACGJ8w_Dg
Ayudantes De Guardia    (2026-08-28 18:58:22)
Se recibe de PC Frield Martin certificado médico por familiar a cargo de fechas 28/08 24 hs.-
JS AGUIRRE
AY LEIVAS</t>
      </text>
    </comment>
    <comment authorId="0" ref="AI6">
      <text>
        <t xml:space="preserve">======
ID#AAACGJ8w-xg
Ayudantes De Guardia    (2026-08-28 13:03:29)
Cubre servicio en Fiscalía.- 
Barros.-</t>
      </text>
    </comment>
    <comment authorId="0" ref="AI5">
      <text>
        <t xml:space="preserve">======
ID#AAACGJ8w-ww
Ayudantes De Guardia    (2026-08-28 12:08:27)
08:57 horas informó el Aux. Tarillo, quien presta servicio en Fiscalía, que el día 31/08/2026 no podrá asistir a su servicio, debido a que su hijo será intervenido quirúrgicamente, la misma de forma ambulatoria. Asimismo, informar que validará la FAC en el CML de Banfield.-
Barros.-
------
ID#AAACFIonEXk
Ayudantes De Guardia    (2026-08-31 23:04:12)
Se recibe certificado medico por familiar a cargo justificando el dia-
Ay Cuello 
JS Benitez</t>
      </text>
    </comment>
  </commentList>
  <extLst>
    <ext uri="GoogleSheetsCustomDataVersion2">
      <go:sheetsCustomData xmlns:go="http://customooxmlschemas.google.com/" r:id="rId1" roundtripDataSignature="AMtx7mjF/M2+wZrTfANq0GV14MMfTYp7yA=="/>
    </ext>
  </extLst>
</comments>
</file>

<file path=xl/comments8.xml><?xml version="1.0" encoding="utf-8"?>
<comments xmlns:r="http://schemas.openxmlformats.org/officeDocument/2006/relationships" xmlns="http://schemas.openxmlformats.org/spreadsheetml/2006/main" xmlns:xr="http://schemas.microsoft.com/office/spreadsheetml/2014/revision">
  <authors>
    <author/>
  </authors>
  <commentList>
    <comment authorId="0" ref="G4">
      <text>
        <t xml:space="preserve">======
ID#AAACEvICPNM
Ayudantes De Guardia    (2026-08-02 07:15:20)
Siendo las 4:12, Se comunico mediante llamada el PC Achuma Romina informando que no asistira al servicio debido a que se encuentra descompuesta. Enviara el certificado medico.
AY : CUELLO
JS: BENITEZ
------
ID#AAACEvfB2js
Ayudantes De Guardia    (2026-08-03 11:17:54)
Se recibe certificado medico de PC Achuma del 02/08 justificando ausencia
CISNEROS 
QUIROGA</t>
      </text>
    </comment>
    <comment authorId="0" ref="K4">
      <text>
        <t xml:space="preserve">======
ID#AAACE3uAMvw
Ayudantes De Guardia    (2026-08-05 17:07:42)
PRESENTISMO -SE PLASMA A PEDIDO DE GRUPO 1
CISNEROS
SEBASTIA</t>
      </text>
    </comment>
    <comment authorId="0" ref="AB20">
      <text>
        <t xml:space="preserve">======
ID#AAACF4UxLxw
Ayudantes De Guardia    (2026-08-24 01:19:04)
Ingreso 18:11Hs.</t>
      </text>
    </comment>
    <comment authorId="0" ref="V9">
      <text>
        <t xml:space="preserve">======
ID#AAACE0sgUxw
Ayudantes De Guardia    (2026-08-05 11:13:18)
Franco por presentismo autorizado por Ppal Romero.-
Cisneros
Couso</t>
      </text>
    </comment>
    <comment authorId="0" ref="W6">
      <text>
        <t xml:space="preserve">======
ID#AAACFxehK-s
Ayudantes De Guardia    (2026-08-20 12:37:58)
06:21HS.-</t>
      </text>
    </comment>
    <comment authorId="0" ref="AI15">
      <text>
        <t xml:space="preserve">======
ID#AAACGOBaAzM
Ayudantes De Guardia    (2026-08-30 18:52:48)
15:40 horas el PC Marina PIPA de despacho de móviles informa que no asistirá al servicio debido a que posee fiebre, refiere que enviará certificado médico, y que su JS se encuentra en conocimiento de su ausencia.- 
Barros.-</t>
      </text>
    </comment>
    <comment authorId="0" ref="M22">
      <text>
        <t xml:space="preserve">======
ID#AAACFX56680
Ayudantes De Guardia    (2026-08-08 21:31:46)
Se comunica con el área de administración (con el Aux. Pacheco) manifestando que no se harà presente al servicio debido a que presentará la renuncia.-
JS. LANGE
AY. ARCE</t>
      </text>
    </comment>
    <comment authorId="0" ref="M21">
      <text>
        <t xml:space="preserve">======
ID#AAACE3uAN1g
Ayudantes De Guardia    (2026-08-06 07:13:18)
Franco por presentismo. Autorizado por el Ppal. Kelly.-
JS. LANGE
AY. ARCE</t>
      </text>
    </comment>
    <comment authorId="0" ref="AG7">
      <text>
        <t xml:space="preserve">======
ID#AAACGNTAeg8
Ayudantes De Guardia    (2026-08-29 02:31:03)
Se recibe certificado medico indicando reposo por 24hs.
Ay Cuello 
JS. Benitez</t>
      </text>
    </comment>
    <comment authorId="0" ref="P22">
      <text>
        <t xml:space="preserve">======
ID#AAACFeh6Klo
Ayudantes De Guardia    (2026-08-11 21:06:20)
Presentará la renuncia.-
JS. LANGE
AY. ARCE</t>
      </text>
    </comment>
    <comment authorId="0" ref="L18">
      <text>
        <t xml:space="preserve">======
ID#AAACE9d4M6Q
Ayudantes De Guardia    (2026-08-08 05:40:45)
SERVICIO CAMION 911</t>
      </text>
    </comment>
    <comment authorId="0" ref="AH7">
      <text>
        <t xml:space="preserve">======
ID#AAACGJ8w_Nc
Ayudantes De Guardia    (2026-08-29 01:10:24)
FRANCO AUTORIZADO POR LA SUPERIORIDAD.
AY CUELLO
JS BENITEZ</t>
      </text>
    </comment>
    <comment authorId="0" ref="AI7">
      <text>
        <t xml:space="preserve">======
ID#AAACGJ8w_Ng
Ayudantes De Guardia    (2026-08-29 01:10:29)
FRANCO AUTORIZADO POR LA SUPERIORIDAD.
AY CUELLO
JS BENITEZ</t>
      </text>
    </comment>
    <comment authorId="0" ref="N15">
      <text>
        <t xml:space="preserve">======
ID#AAACFX5668o
Ayudantes De Guardia    (2026-08-08 21:24:52)
FRANCO POR PRESENTISMO AUTORIZADO POR PPAL MONTEROS
AY FERNANDEZ
JS HERRERA</t>
      </text>
    </comment>
  </commentList>
  <extLst>
    <ext uri="GoogleSheetsCustomDataVersion2">
      <go:sheetsCustomData xmlns:go="http://customooxmlschemas.google.com/" r:id="rId1" roundtripDataSignature="AMtx7mhdasBbewtESkDuoLjH+1Z9T/Ff3A=="/>
    </ext>
  </extLst>
</comments>
</file>

<file path=xl/sharedStrings.xml><?xml version="1.0" encoding="utf-8"?>
<sst xmlns="http://schemas.openxmlformats.org/spreadsheetml/2006/main" count="12315" uniqueCount="1649">
  <si>
    <t>GRUPO ¨A¨ TN - 22A 06 HS</t>
  </si>
  <si>
    <t>Fbaez</t>
  </si>
  <si>
    <t xml:space="preserve">OBSERVACIONES </t>
  </si>
  <si>
    <t>REFERENCIA</t>
  </si>
  <si>
    <t>JERARQUIA</t>
  </si>
  <si>
    <t>NOMBRE Y APELLIDO</t>
  </si>
  <si>
    <t>LP/DNI</t>
  </si>
  <si>
    <t>DOMICILIO</t>
  </si>
  <si>
    <t>CELULAR</t>
  </si>
  <si>
    <t>S</t>
  </si>
  <si>
    <t>D</t>
  </si>
  <si>
    <t>L</t>
  </si>
  <si>
    <t>M</t>
  </si>
  <si>
    <t>J</t>
  </si>
  <si>
    <t>G1 TM- 06a18HS</t>
  </si>
  <si>
    <t>V</t>
  </si>
  <si>
    <t>Observaciones</t>
  </si>
  <si>
    <t xml:space="preserve">GRUPO "A" TM - 06 A 14 HS   </t>
  </si>
  <si>
    <t>LLT</t>
  </si>
  <si>
    <t>LM</t>
  </si>
  <si>
    <t>FAC</t>
  </si>
  <si>
    <t>LXE</t>
  </si>
  <si>
    <t>LA</t>
  </si>
  <si>
    <t>Nivel J</t>
  </si>
  <si>
    <t>Isleño, Lucas</t>
  </si>
  <si>
    <t>NOGOYA 3257 – CABA</t>
  </si>
  <si>
    <t>11-3481-4983</t>
  </si>
  <si>
    <t>P</t>
  </si>
  <si>
    <t>No presta servicio los dias Miercoles y sabados</t>
  </si>
  <si>
    <t>BLANCO</t>
  </si>
  <si>
    <t>FUNCION</t>
  </si>
  <si>
    <t>AMARILLO</t>
  </si>
  <si>
    <t>FA</t>
  </si>
  <si>
    <t>Contratado</t>
  </si>
  <si>
    <t>Guerra, Alejo</t>
  </si>
  <si>
    <t>JEFE DE SERVICIO</t>
  </si>
  <si>
    <t>Don orione 2909 - Lanus Oeste</t>
  </si>
  <si>
    <t xml:space="preserve">NIVEL J </t>
  </si>
  <si>
    <t>Aisimburo, Jazmín</t>
  </si>
  <si>
    <t>MAZA 1009 - CABA</t>
  </si>
  <si>
    <t>11-5709-7830</t>
  </si>
  <si>
    <t>11-3862-9461</t>
  </si>
  <si>
    <t>CELESTE</t>
  </si>
  <si>
    <t xml:space="preserve">Inspector </t>
  </si>
  <si>
    <t xml:space="preserve">PASA A DIVISION ANALISIS DE IMAGENES </t>
  </si>
  <si>
    <t>Pérez, Matías Fabián</t>
  </si>
  <si>
    <t>Aguirre, Alan</t>
  </si>
  <si>
    <t>11-5619-5264</t>
  </si>
  <si>
    <t xml:space="preserve">MAGALLANES 817, REMEDIOS DE ESCALADA </t>
  </si>
  <si>
    <t>Almirante Brown 2484 dpto 2 - Moreno (PBA)</t>
  </si>
  <si>
    <t>11-4492-7278</t>
  </si>
  <si>
    <t>VERDE</t>
  </si>
  <si>
    <t>OFICIALES DE LINEA</t>
  </si>
  <si>
    <t>ContratadO</t>
  </si>
  <si>
    <t>Canaglia Carreira, Patricia</t>
  </si>
  <si>
    <t>Zapiola 2457 - Castelar</t>
  </si>
  <si>
    <t>11-3158-9949</t>
  </si>
  <si>
    <t>VERDE CLARO</t>
  </si>
  <si>
    <t>LXUC</t>
  </si>
  <si>
    <t>Of. Mayor</t>
  </si>
  <si>
    <t>Meza, Gastón</t>
  </si>
  <si>
    <t>11-4176-1568</t>
  </si>
  <si>
    <t>OF 9DJ</t>
  </si>
  <si>
    <t>MENDOZA 1685 - FLORENCIO VARELA</t>
  </si>
  <si>
    <t>Frias, Silvia Gabriela</t>
  </si>
  <si>
    <t>Beruti 2190-Merlo</t>
  </si>
  <si>
    <t>Benditti, Julieta</t>
  </si>
  <si>
    <t>LARREA 1105- SAN MIGUEL</t>
  </si>
  <si>
    <t>11-3251-4862</t>
  </si>
  <si>
    <t>Gomez Santiago</t>
  </si>
  <si>
    <t>GRIS</t>
  </si>
  <si>
    <t>Asamblea 1727- P.CHACABUCO- CABA</t>
  </si>
  <si>
    <t>Ponce de León, Cindy Maribel</t>
  </si>
  <si>
    <t>11-2164-4882</t>
  </si>
  <si>
    <t>Pinzon 3077 - Moreno</t>
  </si>
  <si>
    <t>11-3689-9612</t>
  </si>
  <si>
    <t>SAN</t>
  </si>
  <si>
    <t>Tolaba, Adrian</t>
  </si>
  <si>
    <t>A</t>
  </si>
  <si>
    <t>CG</t>
  </si>
  <si>
    <t>OF DE LINEA</t>
  </si>
  <si>
    <t>Farias, Nahuel</t>
  </si>
  <si>
    <t>Angel Gallardo 3880 - Jose C Paz</t>
  </si>
  <si>
    <t>11-2358-7333</t>
  </si>
  <si>
    <t>MIrave 3020</t>
  </si>
  <si>
    <t>Diaz, María Belén</t>
  </si>
  <si>
    <t>Rigoni, Valentina</t>
  </si>
  <si>
    <t>Lope de Vega 3469 6b, CABA</t>
  </si>
  <si>
    <t>11-6443-4958</t>
  </si>
  <si>
    <t>Polonia 243 -  Lavallol</t>
  </si>
  <si>
    <t>11- 6027-9997</t>
  </si>
  <si>
    <t>Caceres, Antonela</t>
  </si>
  <si>
    <t>PASA AL GRUPO 2</t>
  </si>
  <si>
    <t>COSQUIN 2452 - CABA</t>
  </si>
  <si>
    <t>11-3159-9509</t>
  </si>
  <si>
    <t>Martinez, Daiana Elizabeth</t>
  </si>
  <si>
    <t>Carabelas 4173 - Villa Dominico</t>
  </si>
  <si>
    <t>AUSENTE</t>
  </si>
  <si>
    <t>11-5834-1938</t>
  </si>
  <si>
    <t>Ferreira Erik Nehuen</t>
  </si>
  <si>
    <t xml:space="preserve">Agustin Magaldi 3555 - Hurlingam </t>
  </si>
  <si>
    <t>11-7063-3014</t>
  </si>
  <si>
    <t>Rodríguez, Cristian</t>
  </si>
  <si>
    <t>11-5869-7419</t>
  </si>
  <si>
    <t>Turner 535 - Tristan Suarez</t>
  </si>
  <si>
    <t xml:space="preserve">Bergara, Andrea Carolina </t>
  </si>
  <si>
    <t>Pola 1599 - CABA</t>
  </si>
  <si>
    <t>11-5416-3984</t>
  </si>
  <si>
    <t>Sosa Débora Sabrina</t>
  </si>
  <si>
    <t>Nueva York 11750 - Virrey del Pino</t>
  </si>
  <si>
    <t>11-3025-9267</t>
  </si>
  <si>
    <t xml:space="preserve">Rejala Efrain Juan Carlos </t>
  </si>
  <si>
    <t xml:space="preserve">Calle 888 Altura 2016- Solano </t>
  </si>
  <si>
    <t>11-76154808</t>
  </si>
  <si>
    <t>Gauna Sebastian Rodrigo</t>
  </si>
  <si>
    <t>Pablo Podesta 450 - Temperley</t>
  </si>
  <si>
    <t>11-5332-5279</t>
  </si>
  <si>
    <t>Celestino Candela</t>
  </si>
  <si>
    <t>Bermejo 5077 - San Justo</t>
  </si>
  <si>
    <t>11-2561-2825</t>
  </si>
  <si>
    <t>p</t>
  </si>
  <si>
    <t>Telvini, Tiago</t>
  </si>
  <si>
    <t>Ocampo 2280- Hurlingham</t>
  </si>
  <si>
    <t>11-5981-7211</t>
  </si>
  <si>
    <t>Of. Primero</t>
  </si>
  <si>
    <t>Pérez, Ramón</t>
  </si>
  <si>
    <t>11-2756-0412</t>
  </si>
  <si>
    <t>TORIBIO DE LUZURIAGA 2050-HURLINGAM-</t>
  </si>
  <si>
    <t>LTT</t>
  </si>
  <si>
    <t>Veidovsky Ruben Maximo</t>
  </si>
  <si>
    <t>Paris 2236 - Isidro Casanova</t>
  </si>
  <si>
    <t>11-4022-6300</t>
  </si>
  <si>
    <t>Obispo, Valeria Soledad</t>
  </si>
  <si>
    <t>-</t>
  </si>
  <si>
    <t>Juncal 2514, 8º Porteria- Recoleta- CABA</t>
  </si>
  <si>
    <t>ROSA</t>
  </si>
  <si>
    <t>Torrez Hurtado, Nayra</t>
  </si>
  <si>
    <t>LXM/LXP</t>
  </si>
  <si>
    <t>Av. La Plata 1781 - CABA</t>
  </si>
  <si>
    <t>11-5703-5949</t>
  </si>
  <si>
    <t>11-3569-6039</t>
  </si>
  <si>
    <t>Rivero, Marcos</t>
  </si>
  <si>
    <t>Leon Florencia</t>
  </si>
  <si>
    <t>Carlos Perette 530 - CABA</t>
  </si>
  <si>
    <t>11-6930-2194</t>
  </si>
  <si>
    <t>11-6185-8434</t>
  </si>
  <si>
    <t>Muñoz Zapata Fabian Andres</t>
  </si>
  <si>
    <t>Riglos 108, CABA</t>
  </si>
  <si>
    <t>OFICIAL DE LÍNEA</t>
  </si>
  <si>
    <t>Tucuman 881 P.11 DPTO. 95- CABA</t>
  </si>
  <si>
    <t xml:space="preserve">Sanabria Melina </t>
  </si>
  <si>
    <t>Santa Fe N°164 - GUERNICA</t>
  </si>
  <si>
    <t>11-3236-4349</t>
  </si>
  <si>
    <t xml:space="preserve">Oficial </t>
  </si>
  <si>
    <t>Vallejos, Catherine</t>
  </si>
  <si>
    <t>11-6637-4311</t>
  </si>
  <si>
    <t>AUX SISEP / SAE</t>
  </si>
  <si>
    <t xml:space="preserve">Santa Fe 124 Lomas </t>
  </si>
  <si>
    <t>HORARIO REDUCIDO POR LACTANCIA HASTA 21/10/2026 de 10 a 16HS</t>
  </si>
  <si>
    <t>GRUPO  "B" TN - 22 A 06 HS</t>
  </si>
  <si>
    <t>NARANJA</t>
  </si>
  <si>
    <t>LxF</t>
  </si>
  <si>
    <t>Oficial</t>
  </si>
  <si>
    <t>Bravo Ayelén Antonela</t>
  </si>
  <si>
    <t>11-5483-8847</t>
  </si>
  <si>
    <t>GRUPO  "B" TT - 14 A 22 HS</t>
  </si>
  <si>
    <t>El Benteveo 2597- Rafael Calzada</t>
  </si>
  <si>
    <t>MORADO</t>
  </si>
  <si>
    <t xml:space="preserve">Contratado </t>
  </si>
  <si>
    <t xml:space="preserve">Revainera Florencia </t>
  </si>
  <si>
    <t xml:space="preserve">Calle 158 y 18, Monoblock 14 S/N-Berazategui </t>
  </si>
  <si>
    <t>11-57443390</t>
  </si>
  <si>
    <t>Crespin, Veronica</t>
  </si>
  <si>
    <t>11-4093-5484</t>
  </si>
  <si>
    <t>GAP</t>
  </si>
  <si>
    <t>Olaya 1049 4D - CABA</t>
  </si>
  <si>
    <t>Guzman, Yesica Mariel</t>
  </si>
  <si>
    <t>11-3922-7578</t>
  </si>
  <si>
    <t>SCHUBERT 1286- MERLO</t>
  </si>
  <si>
    <t xml:space="preserve">Goncalves Ferreira Valentino </t>
  </si>
  <si>
    <t xml:space="preserve">Rio Negro 740- El Palomar </t>
  </si>
  <si>
    <t>11-36509379</t>
  </si>
  <si>
    <t xml:space="preserve">Gonzalez, Monica </t>
  </si>
  <si>
    <t>Fonrouge 44 Piso 1 Dpto 4 - Liniers</t>
  </si>
  <si>
    <t>PASA A SECCION LUGANO GRUPO 2</t>
  </si>
  <si>
    <t>11-6192-2899</t>
  </si>
  <si>
    <t>Portillo, Sergio Daniel</t>
  </si>
  <si>
    <t>Espinola Carolina</t>
  </si>
  <si>
    <t xml:space="preserve">Benito Alvarez 541 La Matanza </t>
  </si>
  <si>
    <t>11-67453824</t>
  </si>
  <si>
    <t>11-7020-9186</t>
  </si>
  <si>
    <t xml:space="preserve">Sanchez, Iona Victoria </t>
  </si>
  <si>
    <t>Oyuela 1500 - Avellaneda</t>
  </si>
  <si>
    <t>11-5895-8516</t>
  </si>
  <si>
    <t>DIAS DE SEMANA SE RETIRA 13:40HS</t>
  </si>
  <si>
    <t>Santellan, Jonathan Sebastian</t>
  </si>
  <si>
    <t>Yerbal 6142 - CABA</t>
  </si>
  <si>
    <t>11-5047-1579</t>
  </si>
  <si>
    <t xml:space="preserve">LLT </t>
  </si>
  <si>
    <t>PASA AL GRUPO 1 12*36</t>
  </si>
  <si>
    <t>Meza, Romina</t>
  </si>
  <si>
    <t>Juan Manuel de Rosas 28459 - Virrey del Pino</t>
  </si>
  <si>
    <t>OF. DE LINEA</t>
  </si>
  <si>
    <t>11-7099-8543</t>
  </si>
  <si>
    <t>Luis Viale 1286 Isidro Casanova</t>
  </si>
  <si>
    <t>Pintado, Santiago</t>
  </si>
  <si>
    <t>Castro Barros 10</t>
  </si>
  <si>
    <t>11-3161-2269</t>
  </si>
  <si>
    <t>Casas, Agustin Andres</t>
  </si>
  <si>
    <t>11-2467-9780</t>
  </si>
  <si>
    <t>OFI. DE LINEA</t>
  </si>
  <si>
    <t>Castillo, Gisell</t>
  </si>
  <si>
    <t>AV. RAMON CASTILLO 1500 - CABA</t>
  </si>
  <si>
    <t>11-2720-6641</t>
  </si>
  <si>
    <t>HERNANDARIAS 3136 - Los Polvorines - PBA</t>
  </si>
  <si>
    <t>DA</t>
  </si>
  <si>
    <t>GRUPO  "B" TM - 06 A 14 HS</t>
  </si>
  <si>
    <t>De Sarro Malena</t>
  </si>
  <si>
    <t>Marco Avellaneda 1356 - Remios de Escalada Lanus</t>
  </si>
  <si>
    <t>11-6449-9599</t>
  </si>
  <si>
    <t>AYUDANTES DE GUARDIA</t>
  </si>
  <si>
    <t>Yaskulowski. Silvia Daniela</t>
  </si>
  <si>
    <t>Villegas 81-el palomar</t>
  </si>
  <si>
    <t>11-2450-1351</t>
  </si>
  <si>
    <t>Romero, Valentina Ludmila</t>
  </si>
  <si>
    <t xml:space="preserve">Calle 838 N°2534 - San Francisco Solano </t>
  </si>
  <si>
    <t>11-6104-9189</t>
  </si>
  <si>
    <t>Gonzalez Michel, Martina Gala</t>
  </si>
  <si>
    <t>Pedernera 494 Flores CABA</t>
  </si>
  <si>
    <t>11-3705-5122</t>
  </si>
  <si>
    <t>Nivel G</t>
  </si>
  <si>
    <t>Ribeiro, Cecilia</t>
  </si>
  <si>
    <t>11-3932-8150</t>
  </si>
  <si>
    <t>SISEP</t>
  </si>
  <si>
    <t>Malabia 2231 - CABA</t>
  </si>
  <si>
    <t>Penovi, Lucas</t>
  </si>
  <si>
    <t xml:space="preserve">Mendoza 224 2 C - Moron </t>
  </si>
  <si>
    <t>11-3005-8475</t>
  </si>
  <si>
    <t>Cumple servicio de 07 a 15Hs</t>
  </si>
  <si>
    <t>Valdiviezo, Hector</t>
  </si>
  <si>
    <t xml:space="preserve">Mexico 1132 - CABA </t>
  </si>
  <si>
    <t xml:space="preserve">Romero, Karina Giselle </t>
  </si>
  <si>
    <t>11-7905-4188</t>
  </si>
  <si>
    <t>Gualeguaychu 1830 - PSIO 7 DTO A - MONTE CASTRO</t>
  </si>
  <si>
    <t>11-6453-1164</t>
  </si>
  <si>
    <t xml:space="preserve"> </t>
  </si>
  <si>
    <t>Fedelle, Sandra Analía</t>
  </si>
  <si>
    <t>Ibarra Veronica</t>
  </si>
  <si>
    <t>CORONDA 1910 - Merlo</t>
  </si>
  <si>
    <t>Cordoba Romina</t>
  </si>
  <si>
    <t>11-3013-5273</t>
  </si>
  <si>
    <t>BLAS PARERA 871-LIBERTAD BS AS</t>
  </si>
  <si>
    <t>11-3360-7862</t>
  </si>
  <si>
    <t>Sanchez 2227 PH 3- CABA</t>
  </si>
  <si>
    <t>11-4938-6278</t>
  </si>
  <si>
    <t>Rivera, Karen</t>
  </si>
  <si>
    <t>11-3756-0313 / POC 11-3644-8070</t>
  </si>
  <si>
    <t>BRAGADO 4863- DPTO 1- CABA</t>
  </si>
  <si>
    <t>Cruz Lara Yolaidy Mercedes</t>
  </si>
  <si>
    <t>Av. Corrientes 1670 - CABA</t>
  </si>
  <si>
    <t>11-6287-5460</t>
  </si>
  <si>
    <t>LM jasta 12/09</t>
  </si>
  <si>
    <t>GRUPO E 22 A 06 PUERTO MADERO</t>
  </si>
  <si>
    <t xml:space="preserve">Condori Leonel </t>
  </si>
  <si>
    <t xml:space="preserve">Av 25 de Mayo 3124-Lanus Oeste </t>
  </si>
  <si>
    <t>11-22793480</t>
  </si>
  <si>
    <t>Koselstein, Silvina</t>
  </si>
  <si>
    <t>CAAGUAZU 6911 DTO2 – CABA</t>
  </si>
  <si>
    <t>11-2465-0440</t>
  </si>
  <si>
    <t>Nivel I</t>
  </si>
  <si>
    <t xml:space="preserve">Garcia Nadia </t>
  </si>
  <si>
    <t>11-6703-4212</t>
  </si>
  <si>
    <t>Gonzalez Torales Araceli</t>
  </si>
  <si>
    <t>ADM</t>
  </si>
  <si>
    <t>Charrua y calle 10 - CABA</t>
  </si>
  <si>
    <t>Reconquista 2741 - Merlo</t>
  </si>
  <si>
    <t>11-5604-6718</t>
  </si>
  <si>
    <t xml:space="preserve">Franco Laura </t>
  </si>
  <si>
    <t>Alberti 1829 Planta Baja Dto. B - Parque Patricios</t>
  </si>
  <si>
    <t>LM hasta 04/09</t>
  </si>
  <si>
    <t>11-5490-2874</t>
  </si>
  <si>
    <t>Barros Sergio Javier</t>
  </si>
  <si>
    <t>11-4057-0789</t>
  </si>
  <si>
    <t xml:space="preserve">Maciel Jorge </t>
  </si>
  <si>
    <t>LUIS VIALE 269 CABA</t>
  </si>
  <si>
    <t>Virgenes 2925 - Laferrere</t>
  </si>
  <si>
    <t>11-5484-4691</t>
  </si>
  <si>
    <t>Romero, Graciela</t>
  </si>
  <si>
    <t>MARTIN GARCIA MEROU 4738- LAFERRERE</t>
  </si>
  <si>
    <t>11-3935-1209</t>
  </si>
  <si>
    <t xml:space="preserve">GRUPO "C" TT - 14 A 22 HS                                </t>
  </si>
  <si>
    <t xml:space="preserve">Enriquez Melani Rocio </t>
  </si>
  <si>
    <t>Av. Independencia 1735 - CABA</t>
  </si>
  <si>
    <t>11-3925-3027</t>
  </si>
  <si>
    <t>Albrecht, Joel</t>
  </si>
  <si>
    <t>11-6501-2385</t>
  </si>
  <si>
    <t>Castelli 1609, San Martín</t>
  </si>
  <si>
    <t xml:space="preserve">GRUPO "C" TN - 22 A 06 HS                       </t>
  </si>
  <si>
    <t>Camaño, Nahuel Elias</t>
  </si>
  <si>
    <t>PAEZ 927-RAMOS MEJIA</t>
  </si>
  <si>
    <t>11-2238-1543</t>
  </si>
  <si>
    <t xml:space="preserve">Vignolles, Macarena </t>
  </si>
  <si>
    <t>11-3623-9248</t>
  </si>
  <si>
    <t>SAE</t>
  </si>
  <si>
    <t>Garófalo, Oscar Ezequiel</t>
  </si>
  <si>
    <t>F</t>
  </si>
  <si>
    <t xml:space="preserve">Felipe Lavallol 2156- Grand Bourge </t>
  </si>
  <si>
    <t>Colombres 1565- Boedo</t>
  </si>
  <si>
    <t>11-6371-0494</t>
  </si>
  <si>
    <t>Galeano, Belen Noemí</t>
  </si>
  <si>
    <t>CALLE 32 ENTRE 20 Y 21- GUERNICA</t>
  </si>
  <si>
    <t>11-6746-7004</t>
  </si>
  <si>
    <t xml:space="preserve">Leivas, Ludmila </t>
  </si>
  <si>
    <t>11-6489-9807</t>
  </si>
  <si>
    <t>Andres Ferreira 4262 Dpto B - Caseros</t>
  </si>
  <si>
    <t>Horario de lactancia de 06 a 12hs hasta 29/03/2027</t>
  </si>
  <si>
    <t>Delvecchio, Diana Gabriela</t>
  </si>
  <si>
    <t>Vorpagel, Sabrina</t>
  </si>
  <si>
    <t>Rio diamante 1442 - Bella Vista</t>
  </si>
  <si>
    <t>11-3442-8559</t>
  </si>
  <si>
    <t>Campos Gutierrez, Judith Johanna Angie</t>
  </si>
  <si>
    <t>MAIPU 367- MORENO</t>
  </si>
  <si>
    <t>Paz, Priscila</t>
  </si>
  <si>
    <t>11-2544-4664</t>
  </si>
  <si>
    <t>Avda. Santa Fe 2131 - CABA</t>
  </si>
  <si>
    <t>11-3490-2633</t>
  </si>
  <si>
    <t>11-2762-8251</t>
  </si>
  <si>
    <t xml:space="preserve">Dr. Belaustegui 4708 - Velez Sarsfield CABA </t>
  </si>
  <si>
    <t>13 A 21HS AUTORIZADO POR SUB JOVANOVICH</t>
  </si>
  <si>
    <t>PASA AL DEPARTAMENTO.-</t>
  </si>
  <si>
    <t>Vorpagel, Agustina</t>
  </si>
  <si>
    <t>PASCUALA ACUETO- 1300- SAN MIGUEL</t>
  </si>
  <si>
    <t>11-2797-4970</t>
  </si>
  <si>
    <t>Herrera German Hernando</t>
  </si>
  <si>
    <t>Saenz Peña 1750 - Merlo</t>
  </si>
  <si>
    <t>11-3252-6607</t>
  </si>
  <si>
    <t>Krakovsky, Florencia Abril</t>
  </si>
  <si>
    <t>11-6828-8168</t>
  </si>
  <si>
    <t>Venezuela y Posadas Sector J duplex 7 - Ezpeleta</t>
  </si>
  <si>
    <t xml:space="preserve">Gabriel, Mejia </t>
  </si>
  <si>
    <t>calle 850 n°2502 solano PBA</t>
  </si>
  <si>
    <t>11-59898773</t>
  </si>
  <si>
    <t>Vesga Ivana</t>
  </si>
  <si>
    <t>Nuñez de Arce 197 Banfield</t>
  </si>
  <si>
    <t>11-60168265</t>
  </si>
  <si>
    <t>Becerra, Abigail Ayelen</t>
  </si>
  <si>
    <t>Castillo Barrios, Edgard David</t>
  </si>
  <si>
    <t>11-6545-7404</t>
  </si>
  <si>
    <t xml:space="preserve">Tarija 3753- Boedo </t>
  </si>
  <si>
    <t>11-5696-7489</t>
  </si>
  <si>
    <t>AYTE. JS</t>
  </si>
  <si>
    <t>Italia 339, Barrio Canguro, San Martin</t>
  </si>
  <si>
    <t xml:space="preserve">Cabral, Natalia </t>
  </si>
  <si>
    <t>Asunción 3350 - Ciudadela</t>
  </si>
  <si>
    <t>11-6360-5342</t>
  </si>
  <si>
    <t xml:space="preserve"> P</t>
  </si>
  <si>
    <t>Rojas Paula</t>
  </si>
  <si>
    <t>Plaza 2544 4C - caba</t>
  </si>
  <si>
    <t>11-5337-2495</t>
  </si>
  <si>
    <t>Arrigoni Ailin Lucila</t>
  </si>
  <si>
    <t>Timoteo Gordillo 2674-Mataderos</t>
  </si>
  <si>
    <t>Verdura Elias</t>
  </si>
  <si>
    <t>11-5326-4477</t>
  </si>
  <si>
    <t xml:space="preserve">Jose Maria Moreno 3240 Lanus </t>
  </si>
  <si>
    <t xml:space="preserve">Schirripa,Esteban  </t>
  </si>
  <si>
    <t>Ascasubi 5660 - Gregorio de Laferrere</t>
  </si>
  <si>
    <t>113788-0351</t>
  </si>
  <si>
    <t>Boned, Sebastian Leonel</t>
  </si>
  <si>
    <t>9 de Julio 5426 Billinghurts PH - dpto 1</t>
  </si>
  <si>
    <t>11-4166-2048</t>
  </si>
  <si>
    <t>Cipriano, Facundo Nicolas</t>
  </si>
  <si>
    <t>Paunero 1582 - La matanza</t>
  </si>
  <si>
    <t>11-3485-8925</t>
  </si>
  <si>
    <t>Rojas Nicole</t>
  </si>
  <si>
    <t xml:space="preserve">11-3508-6789 </t>
  </si>
  <si>
    <t>HECHOS ESPECÍFICOS</t>
  </si>
  <si>
    <t>Valentina Guzmán</t>
  </si>
  <si>
    <t>La Rioja 2212 - Quilmes Oeste</t>
  </si>
  <si>
    <t>Av. Perito Moreno 1631 N°255</t>
  </si>
  <si>
    <t>11-2835-6374</t>
  </si>
  <si>
    <t>Romanos Brian Nicolas Erik</t>
  </si>
  <si>
    <t xml:space="preserve">  Contratado</t>
  </si>
  <si>
    <t xml:space="preserve">Lobos Lucrecia </t>
  </si>
  <si>
    <t>SANTA MARÍA 3354 SAN MIGUEL</t>
  </si>
  <si>
    <t>Balbastro 2739 pb 3 - CABA</t>
  </si>
  <si>
    <t>11-2530-0193</t>
  </si>
  <si>
    <t>Rivera, Daniela Alejandra</t>
  </si>
  <si>
    <t>11-7081-6674</t>
  </si>
  <si>
    <t>Brasil 3771 - San Justo</t>
  </si>
  <si>
    <t>Perez, Agustina</t>
  </si>
  <si>
    <t>Calle 893 entre 801 y 802 N° 1137- Quilmes</t>
  </si>
  <si>
    <t>11-2642-0423</t>
  </si>
  <si>
    <t>11-2842-2895</t>
  </si>
  <si>
    <t>PASA A GRUPO 1</t>
  </si>
  <si>
    <t>Veltri, Paula Andrea</t>
  </si>
  <si>
    <t>11-6153-3734</t>
  </si>
  <si>
    <t>Ravallo, Luciano Alfio</t>
  </si>
  <si>
    <t>Neuquen 2035 2E- Flores</t>
  </si>
  <si>
    <t>Founrouge 44 - CABA</t>
  </si>
  <si>
    <t>11-3201-1714</t>
  </si>
  <si>
    <t>Guizado Centeno Aydee</t>
  </si>
  <si>
    <t>Chiilcoy 664 dpto 2 PB - CABA</t>
  </si>
  <si>
    <t>11 3156-1677</t>
  </si>
  <si>
    <t>Gomez, Ramiro Jesus</t>
  </si>
  <si>
    <t>11-3606-5080</t>
  </si>
  <si>
    <t>CALLE 844 NUMERO 1600 - QUILMES</t>
  </si>
  <si>
    <t>Reyes, Claudia</t>
  </si>
  <si>
    <t>Plumerillo 3670 - CABA</t>
  </si>
  <si>
    <t>Garnica Candela Parvis</t>
  </si>
  <si>
    <t>11-6111-0972</t>
  </si>
  <si>
    <t>Av Derqui 4009 CABA</t>
  </si>
  <si>
    <t>11-3859-7268</t>
  </si>
  <si>
    <t>Gonzalez, Rocio Macarena</t>
  </si>
  <si>
    <t>Rodriguez, Josefina Clara</t>
  </si>
  <si>
    <t>11-3494-5868</t>
  </si>
  <si>
    <t>Juan B. Justo 3720 - CABA</t>
  </si>
  <si>
    <t>Virrey Cevallo 925 2do dpto A - CABA</t>
  </si>
  <si>
    <t>11 2281-0186</t>
  </si>
  <si>
    <t>10 A 18HS.</t>
  </si>
  <si>
    <t>Muñoz, Agostina Belén</t>
  </si>
  <si>
    <t>Calle 120 - Guernica</t>
  </si>
  <si>
    <t>11 3405-1443</t>
  </si>
  <si>
    <t>Gonzalez, Carolina Alejandra</t>
  </si>
  <si>
    <t>Betanzo Alma</t>
  </si>
  <si>
    <t>11-2525-0946</t>
  </si>
  <si>
    <t>Remedios  5105- Mataderos</t>
  </si>
  <si>
    <t>11 31792027</t>
  </si>
  <si>
    <t xml:space="preserve">GRUPO "C" TM - 06 A 14 HS   </t>
  </si>
  <si>
    <t>Torres, Paola Herminia</t>
  </si>
  <si>
    <t>11-5345-7109</t>
  </si>
  <si>
    <t>Tandil 4380 CASA - Parque Avellaneda</t>
  </si>
  <si>
    <t>GRUPO "D" TT - 14 A 22 HS</t>
  </si>
  <si>
    <t>Montiel, Juan Ramon</t>
  </si>
  <si>
    <t>Uzcategui  Floranyely</t>
  </si>
  <si>
    <t>Condarco 4997 - San Justo</t>
  </si>
  <si>
    <t>11-4400-1306</t>
  </si>
  <si>
    <t>370-456-1013</t>
  </si>
  <si>
    <t xml:space="preserve">Bartolomé Mitre 3793- Almagro </t>
  </si>
  <si>
    <t>Segovia, Noelia</t>
  </si>
  <si>
    <t>Hidalgo 1737 piso 7D - CABA</t>
  </si>
  <si>
    <t>11-3455-2393</t>
  </si>
  <si>
    <t>Fernández, Ruth</t>
  </si>
  <si>
    <t>11 2274-2849</t>
  </si>
  <si>
    <t>GRUPO ESPECIFICO DE INTERVENCION RAPIDA</t>
  </si>
  <si>
    <t>Villegas 353 - El Palomar</t>
  </si>
  <si>
    <t>Fidel Graciano, Federico</t>
  </si>
  <si>
    <t>Cano, Analía</t>
  </si>
  <si>
    <t>LOS ANDES 2174 - FLORENCIO VARELA</t>
  </si>
  <si>
    <t>Iguazu 1850 - Barracas</t>
  </si>
  <si>
    <t>11-6188-0608 / 11-2261-5080 (POC)</t>
  </si>
  <si>
    <t>11 5136-5122</t>
  </si>
  <si>
    <t xml:space="preserve">Godoy lucia </t>
  </si>
  <si>
    <t>Manuel Samperio 916 5°P - CABA</t>
  </si>
  <si>
    <t>11-2253-6961</t>
  </si>
  <si>
    <t>CMU PUERTO MADERO</t>
  </si>
  <si>
    <t>Polari, Ulises Gonzalo</t>
  </si>
  <si>
    <t>La Fuente 1480</t>
  </si>
  <si>
    <t>11-2702-5242</t>
  </si>
  <si>
    <t>Gauna, Micaela Jaquelina</t>
  </si>
  <si>
    <t>Ligresti Maira</t>
  </si>
  <si>
    <t xml:space="preserve">Carriego 9821- Moreno </t>
  </si>
  <si>
    <t>11-3676-2409</t>
  </si>
  <si>
    <t>11-6005-3037</t>
  </si>
  <si>
    <t>Oribe 702 - Ituzaingó</t>
  </si>
  <si>
    <t>Gomez Claudia</t>
  </si>
  <si>
    <t>Chorroarin 1031 - Lanús</t>
  </si>
  <si>
    <t>11-2849-8947</t>
  </si>
  <si>
    <t>DEJA DE PERTENECER A LA DIVISÓN</t>
  </si>
  <si>
    <t>Cabrera, Alan</t>
  </si>
  <si>
    <t>Lacaba, Camila</t>
  </si>
  <si>
    <t>11-3127-8029</t>
  </si>
  <si>
    <t xml:space="preserve">OF DE LINEA </t>
  </si>
  <si>
    <t>TUYUTI 3859 - LOMAS DE ZAMORA</t>
  </si>
  <si>
    <t>Ordoñez 484 - HURLINGHAM</t>
  </si>
  <si>
    <t>11-2466-7050</t>
  </si>
  <si>
    <t>Olivares, Sabrina</t>
  </si>
  <si>
    <t xml:space="preserve">Av. Directorio 963 2°B - Caballito - CABA </t>
  </si>
  <si>
    <t>11-3594-6013</t>
  </si>
  <si>
    <t>Fernandez Selene Abril</t>
  </si>
  <si>
    <t>11 4194-8935</t>
  </si>
  <si>
    <t>Chilavert 6800- V lugano</t>
  </si>
  <si>
    <t>Coronel, Jaqueline Andrea</t>
  </si>
  <si>
    <t xml:space="preserve">GRUPO "D" TN - 22 A 06 HS                                                       </t>
  </si>
  <si>
    <t>Jean Jaures 1044 GERLI</t>
  </si>
  <si>
    <t>3624-736732</t>
  </si>
  <si>
    <t>Cardozo, Romina</t>
  </si>
  <si>
    <t>Azcuenaga 355- San Miguel</t>
  </si>
  <si>
    <t>342 5381452</t>
  </si>
  <si>
    <t>Leguina, Daniel</t>
  </si>
  <si>
    <t>GRAL. ENRIQUE MARTINEZ 1230 5° B - CABA</t>
  </si>
  <si>
    <t>Quiroga, Jaquelina Anabel</t>
  </si>
  <si>
    <t>Primera Junta 58. Villa Madero</t>
  </si>
  <si>
    <t>11-3485-1730</t>
  </si>
  <si>
    <t>11-3203-6277</t>
  </si>
  <si>
    <t xml:space="preserve">1/9  CG LA CUBRE CABRERA </t>
  </si>
  <si>
    <t xml:space="preserve">CMU LUGANO </t>
  </si>
  <si>
    <t xml:space="preserve">Guaymas Gabriel </t>
  </si>
  <si>
    <t xml:space="preserve">Av Hipolito Yrigoyen 4089-CABA </t>
  </si>
  <si>
    <t>11-55764710</t>
  </si>
  <si>
    <t>Castaño, Natalia Soledad</t>
  </si>
  <si>
    <t>Quintana 4856 - San Fernando</t>
  </si>
  <si>
    <t>11-5465-1642</t>
  </si>
  <si>
    <t>Gutierrez Guevara, Adrian Ezequiel</t>
  </si>
  <si>
    <t>Av Eva Peron 6630 - Villa Lugano</t>
  </si>
  <si>
    <t xml:space="preserve"> 11 7188-0037</t>
  </si>
  <si>
    <t>Inspector</t>
  </si>
  <si>
    <t>Martínez, Verónica</t>
  </si>
  <si>
    <t>11-2469-7353 / 11-5572-0956</t>
  </si>
  <si>
    <t>OF VL</t>
  </si>
  <si>
    <t>Timoteo Gordillo 5540 P3 Dto A - CABA</t>
  </si>
  <si>
    <t>Ríos Mesa, Malcom Miguel</t>
  </si>
  <si>
    <t>Callizaya Avila, Daniel Denis</t>
  </si>
  <si>
    <t>Ladines 617 - La Tablada</t>
  </si>
  <si>
    <t>Zuviria 6000- Villa lugano - CABA</t>
  </si>
  <si>
    <t>11-3852-8162</t>
  </si>
  <si>
    <t>11-2341-1312</t>
  </si>
  <si>
    <t xml:space="preserve">Roa, Abril </t>
  </si>
  <si>
    <t xml:space="preserve">Bulnes 1584 CABA </t>
  </si>
  <si>
    <t>11-26950112</t>
  </si>
  <si>
    <t>LxM</t>
  </si>
  <si>
    <t>Arias, Facundo</t>
  </si>
  <si>
    <t>Arcos 2584 5to. B - CABA</t>
  </si>
  <si>
    <t>11-4023-6602</t>
  </si>
  <si>
    <t>Alonso, Jorge</t>
  </si>
  <si>
    <t>Loyola 745 5to A - Villa Crespo</t>
  </si>
  <si>
    <t>11-6472-5397</t>
  </si>
  <si>
    <t>HASTA 13/09</t>
  </si>
  <si>
    <t>Correa, Diana María</t>
  </si>
  <si>
    <t>HASTA 06/09</t>
  </si>
  <si>
    <t>Olivar Tobias</t>
  </si>
  <si>
    <t>Raul Alfonsin 1194- Lanus</t>
  </si>
  <si>
    <t>11 36478251</t>
  </si>
  <si>
    <t>11-3502-5817</t>
  </si>
  <si>
    <t>ADM/SAE</t>
  </si>
  <si>
    <t>Cafayate 5000 - CABA</t>
  </si>
  <si>
    <t>Luraschi, Ignacio</t>
  </si>
  <si>
    <t xml:space="preserve">Rodriguez Baez, Maxima </t>
  </si>
  <si>
    <t xml:space="preserve">Lascano 3818 - Torre A2 Piso 3 - Depto 4 - CABA </t>
  </si>
  <si>
    <t>11-3570-5020</t>
  </si>
  <si>
    <t>Nápoles 618 - Lomas de Zamora</t>
  </si>
  <si>
    <t>11-4187-3423</t>
  </si>
  <si>
    <t>ANILLO DIGITAL NORTE</t>
  </si>
  <si>
    <t xml:space="preserve">GRUPO"E" TT - 14 A 22 HS                                </t>
  </si>
  <si>
    <t>Mendoza Karina Laura</t>
  </si>
  <si>
    <t>De la Peña 3097 - Lanus</t>
  </si>
  <si>
    <t>11-6967-2779</t>
  </si>
  <si>
    <t>GRUPO C 22 A 06 PUERTO MADERO</t>
  </si>
  <si>
    <t xml:space="preserve">Gutierrez, Facundo </t>
  </si>
  <si>
    <t>11-2526-1216</t>
  </si>
  <si>
    <t>ANILLO DIGITAL</t>
  </si>
  <si>
    <t>Blanco Encalada 2952- TORTUGUITAS (Malvinas Argentinas)</t>
  </si>
  <si>
    <t>Suarez Marcos Nahuel</t>
  </si>
  <si>
    <t>Casa Cuberta Bicentenario - Avellaneda</t>
  </si>
  <si>
    <t>15 3275 7717</t>
  </si>
  <si>
    <t>Vallejo Rocio Ayelen</t>
  </si>
  <si>
    <t>Av. Larrazabal 1710 - Mataderos</t>
  </si>
  <si>
    <t>11-6443-3045</t>
  </si>
  <si>
    <t>Antinori, Silvana</t>
  </si>
  <si>
    <t>Primera Junta 3731 – Vicente Lopez</t>
  </si>
  <si>
    <t>11-5795-3862</t>
  </si>
  <si>
    <t>Santucho, Rodrigo</t>
  </si>
  <si>
    <t>Ghiglione Franco Leonel</t>
  </si>
  <si>
    <t xml:space="preserve"> LUN A VIER DE 06 A 14HS / NO FERIADOS</t>
  </si>
  <si>
    <t>Carlos Calvo 854 Piso 1- Depto 9-CABA</t>
  </si>
  <si>
    <t>11-2392-4078</t>
  </si>
  <si>
    <t>Ayolas 446 - Lomas de Zamora</t>
  </si>
  <si>
    <t>11 6685-4019</t>
  </si>
  <si>
    <t>Morales, Ezequiel Dario</t>
  </si>
  <si>
    <t>Sucre 911 - Merlo</t>
  </si>
  <si>
    <t>Andrada Solange Edith</t>
  </si>
  <si>
    <t>Lautaro 59 Dpto 4-CABA, Flores</t>
  </si>
  <si>
    <t>11-2848-4080</t>
  </si>
  <si>
    <t>Godoy Amilcar Manuel</t>
  </si>
  <si>
    <t>Felipe vallese 540</t>
  </si>
  <si>
    <t>11-5842-3019</t>
  </si>
  <si>
    <t>11-3780-8548</t>
  </si>
  <si>
    <t xml:space="preserve">Quinteros, Julieta </t>
  </si>
  <si>
    <t>Guillermo Marconi 3334-Olivos</t>
  </si>
  <si>
    <t>11-25455866</t>
  </si>
  <si>
    <t xml:space="preserve">GRUPO "E" TN - 22 A 06 HS                                                                           </t>
  </si>
  <si>
    <t>Paz, Agustin Daniel</t>
  </si>
  <si>
    <t>JOSE BAZURCO 1715 - RAFAEL CASTILLO</t>
  </si>
  <si>
    <t>11-3898-6152</t>
  </si>
  <si>
    <t xml:space="preserve">Ojeda Rocio </t>
  </si>
  <si>
    <t>ZUVIRIA 2032-LAFERRERE</t>
  </si>
  <si>
    <t>11-3203-5913</t>
  </si>
  <si>
    <t>Greco Ventura, Nehuen</t>
  </si>
  <si>
    <t xml:space="preserve">Gutierrez 648 casa 47 Quilmes </t>
  </si>
  <si>
    <t>11-40294262</t>
  </si>
  <si>
    <t>Gonzalez Ezequiel Walter</t>
  </si>
  <si>
    <t>Calle 188 Nº 759 - Bernal Oeste</t>
  </si>
  <si>
    <t>11-6199-3279</t>
  </si>
  <si>
    <t>taño</t>
  </si>
  <si>
    <t>Bustamante, Lis</t>
  </si>
  <si>
    <t>11-3430-1697</t>
  </si>
  <si>
    <t>OF DE LINEA / CHOFER</t>
  </si>
  <si>
    <t xml:space="preserve">Trelles 1559 PB B  - CABA </t>
  </si>
  <si>
    <t>FXD</t>
  </si>
  <si>
    <t>Parada, Enzo</t>
  </si>
  <si>
    <t>Aristobulo del Valle 3226 - Lanus</t>
  </si>
  <si>
    <t>PASA A GRUPO E TURNO MAÑANA A /C DEL INSP CISNEROS</t>
  </si>
  <si>
    <t>Gutierrez, Amelia</t>
  </si>
  <si>
    <t>Av. Santa Fe 2131 - CABA</t>
  </si>
  <si>
    <t>11-2513-9749</t>
  </si>
  <si>
    <t>FaC</t>
  </si>
  <si>
    <t>Flores Thiago</t>
  </si>
  <si>
    <t>San Luis 189-San Miguel</t>
  </si>
  <si>
    <t>PRESENTISMO GRUPO 2 TURNO MAÑANA - PERSONAL DE 06:00 a 18:00 HORAS - 12x36 (P. Policial Grupo II)</t>
  </si>
  <si>
    <t>11-6791-6379</t>
  </si>
  <si>
    <t xml:space="preserve">GRUPO "D" TM - 06 A 14 HS   </t>
  </si>
  <si>
    <t>LA HASTA 06/09</t>
  </si>
  <si>
    <t>G2 TM- 06a18HS</t>
  </si>
  <si>
    <t>Vega, Brisa</t>
  </si>
  <si>
    <t>Tilcara 2527 - N. Pompeya</t>
  </si>
  <si>
    <t>11-5098-2807</t>
  </si>
  <si>
    <t>Lima Marcelo Alejandro</t>
  </si>
  <si>
    <t>Viamonte 2266 - CABA</t>
  </si>
  <si>
    <t>11-5667-8679</t>
  </si>
  <si>
    <t xml:space="preserve">Castro Laudani Tamara </t>
  </si>
  <si>
    <t xml:space="preserve">Irigoyen 2063 - Villa real </t>
  </si>
  <si>
    <t>11-2616-0327</t>
  </si>
  <si>
    <t>Campilongo. Valentin</t>
  </si>
  <si>
    <t>Rios, Gabriela</t>
  </si>
  <si>
    <t>FRAY MAMERTO ESQUIU 2052- Depto. 12, LANUS ESTE</t>
  </si>
  <si>
    <t>Belgrano 3634- Almagro</t>
  </si>
  <si>
    <t>11-6666-8322</t>
  </si>
  <si>
    <t>11-5122-8576</t>
  </si>
  <si>
    <t>Aquino, Juliana Ayelen</t>
  </si>
  <si>
    <t>LOS ALERCES 212 - EL JAGUEL</t>
  </si>
  <si>
    <t>11-2180-4539</t>
  </si>
  <si>
    <t>PASA AL GRUPO 4</t>
  </si>
  <si>
    <t>Cisneros, Pablo</t>
  </si>
  <si>
    <t>11-4399-1308</t>
  </si>
  <si>
    <t>JEFE DE SERIVICIO</t>
  </si>
  <si>
    <t>Algarrobo 3923 - Villa Luzuriaga (La Matanza)</t>
  </si>
  <si>
    <t>29/08 Franco por detenidos carta/frecuencia.</t>
  </si>
  <si>
    <t>Ibarra, Ramon Alberto</t>
  </si>
  <si>
    <t>Martinez Castro 232 - Barrio Carrillo - Soldati</t>
  </si>
  <si>
    <t>11-3639-5475</t>
  </si>
  <si>
    <t>Zoraire, Micaela Romina</t>
  </si>
  <si>
    <t>11-6667-9251</t>
  </si>
  <si>
    <t xml:space="preserve">Lahitte Hector </t>
  </si>
  <si>
    <t>11-6754-1369</t>
  </si>
  <si>
    <t xml:space="preserve">Artigas Jose Gervasio 1956 - PB4 - CABA </t>
  </si>
  <si>
    <t>Zaslavsky, Sandra</t>
  </si>
  <si>
    <t>Cuzco 60 PB-C - CABA</t>
  </si>
  <si>
    <t>11-6139-7528</t>
  </si>
  <si>
    <t>Pando, Luisa Gabriela</t>
  </si>
  <si>
    <t>Afectado a servicio Sistema SAE Seccion Madero</t>
  </si>
  <si>
    <t>Martin Coronado 1583 - Bosques Florencia Varela</t>
  </si>
  <si>
    <t>11-3950-4587</t>
  </si>
  <si>
    <t xml:space="preserve">FA </t>
  </si>
  <si>
    <t>24 DE SEPTIEMBRE FA  X EVENTO RELEVANTE</t>
  </si>
  <si>
    <t xml:space="preserve">Cisneros, Hector Gabriel. </t>
  </si>
  <si>
    <t>11-3497-2231</t>
  </si>
  <si>
    <t>De la Puente, Ana Celia</t>
  </si>
  <si>
    <t>11-6792-2781</t>
  </si>
  <si>
    <t>Coronel Adrogué 481 - Villa Domínico</t>
  </si>
  <si>
    <t>Cachimayo N 85 piso 14 dpto 48</t>
  </si>
  <si>
    <t>11-5095-6948</t>
  </si>
  <si>
    <t xml:space="preserve">Carrizo, Rodrigo </t>
  </si>
  <si>
    <t>Hudson 1805 San martin</t>
  </si>
  <si>
    <t>Leiva Jorge Manuel</t>
  </si>
  <si>
    <t>11-25147216</t>
  </si>
  <si>
    <t>11-7362-0989</t>
  </si>
  <si>
    <t>OF PM</t>
  </si>
  <si>
    <t>ESQUEL 1399- EZPELETA</t>
  </si>
  <si>
    <t>Linos Dolores del Carmen</t>
  </si>
  <si>
    <t>Olavarria 1515 - Quilmes</t>
  </si>
  <si>
    <t>11 6666 5806</t>
  </si>
  <si>
    <t xml:space="preserve">Martinez Ricardo </t>
  </si>
  <si>
    <t>11-3422-495</t>
  </si>
  <si>
    <t>CARLOS CASARES 2800 EDF 313 1°A - SAN FERNANDO</t>
  </si>
  <si>
    <t xml:space="preserve">Rojas, Melanie </t>
  </si>
  <si>
    <t>Altamirano, Micaela</t>
  </si>
  <si>
    <t>Calle 169 N° 518  - Bernal Oeste, Quilmes</t>
  </si>
  <si>
    <t>11-62800567</t>
  </si>
  <si>
    <t>San Salvador 5974- Jose C Paz</t>
  </si>
  <si>
    <t>11-2610-4091</t>
  </si>
  <si>
    <t xml:space="preserve">Suarez, Sabrina Gisela </t>
  </si>
  <si>
    <t>Victor Hugo 1916 - CABA</t>
  </si>
  <si>
    <t>11-2540-5931</t>
  </si>
  <si>
    <t>DG</t>
  </si>
  <si>
    <t>Oropeza, Mauro</t>
  </si>
  <si>
    <t>11-5637-2293</t>
  </si>
  <si>
    <t>Arispe Gerson</t>
  </si>
  <si>
    <t>Licciardi Salguero, Nicolas Lucas</t>
  </si>
  <si>
    <t>Calle 163 N°2852, Berazategui</t>
  </si>
  <si>
    <t>Nuñez 5471-Villa Urquiza</t>
  </si>
  <si>
    <t>Susini 2332 - Villa Crespo</t>
  </si>
  <si>
    <t>11-5141-3599</t>
  </si>
  <si>
    <t>11-3166-3587</t>
  </si>
  <si>
    <t>GRUPO 2</t>
  </si>
  <si>
    <t>cacer</t>
  </si>
  <si>
    <t xml:space="preserve">PASA A SECCION LUGANO </t>
  </si>
  <si>
    <t>Benitez Macarena Natali</t>
  </si>
  <si>
    <t>Timoteo Gordillo 1940 - caba</t>
  </si>
  <si>
    <t xml:space="preserve">GRUPO "F" TT - 14 A 22 HS                                </t>
  </si>
  <si>
    <t>Andrade Johanna</t>
  </si>
  <si>
    <t>11-3208-009 / 11-3207-9721</t>
  </si>
  <si>
    <t>Juan Manuel Fangio 3065 - Parque Patricios - CABA</t>
  </si>
  <si>
    <t>Arzamendia, Ariel</t>
  </si>
  <si>
    <t>Jufre 870 - Villa Crespo</t>
  </si>
  <si>
    <t>11-6926-0796</t>
  </si>
  <si>
    <t xml:space="preserve">GRUPO "F" TN - 22 A 06 HS                                                                                    </t>
  </si>
  <si>
    <t>Lopez, Maria Soledad</t>
  </si>
  <si>
    <t>11-3125-4199</t>
  </si>
  <si>
    <t>OFICIAL DE LINEA</t>
  </si>
  <si>
    <t>Arrotea y Lujan S/N - González Catan</t>
  </si>
  <si>
    <t>Arzamendia, Lucas Ariel</t>
  </si>
  <si>
    <t>HASTA EL18/09</t>
  </si>
  <si>
    <t>11-6362-6888</t>
  </si>
  <si>
    <t>Prodo, Sofía Belén</t>
  </si>
  <si>
    <t>11-5794-0580</t>
  </si>
  <si>
    <t>Carlos De Linneo 1125-Moreno</t>
  </si>
  <si>
    <t xml:space="preserve">Cejas, Nicolas </t>
  </si>
  <si>
    <t>Camargo, Priscila</t>
  </si>
  <si>
    <t>Calle 7 Casa 24 Barrio YPF - CABA</t>
  </si>
  <si>
    <t>Barrio Presidente Perón - Entrada 99 Dpto 1160 3°Piso</t>
  </si>
  <si>
    <t>11-2470-1712</t>
  </si>
  <si>
    <t>11-3860-3385</t>
  </si>
  <si>
    <t>GRUPO F 14 A 22 PUERTO MADERO</t>
  </si>
  <si>
    <t>Leiva Ramirez, Carolina</t>
  </si>
  <si>
    <t>Araoz de la Madrid 521 - CABA</t>
  </si>
  <si>
    <t>Salinas, Franco Gabriel</t>
  </si>
  <si>
    <t>Calle 820 N°2652- Quilmes</t>
  </si>
  <si>
    <t>11-2742-6729</t>
  </si>
  <si>
    <t>Sebastia, Mariana</t>
  </si>
  <si>
    <t>Orrego, Pamela</t>
  </si>
  <si>
    <t>11-2678-9937 / POC 11-7856-2604</t>
  </si>
  <si>
    <t>Arenales 1938 (Porteria) - Recoleta</t>
  </si>
  <si>
    <t>11-6816-5963</t>
  </si>
  <si>
    <t xml:space="preserve">Aviador Udet 2451 Ciudad Jardin </t>
  </si>
  <si>
    <t>AUS</t>
  </si>
  <si>
    <t>Mendoza, Nicolás</t>
  </si>
  <si>
    <t>Mariano Acosta 5841 - Malvinas Argentinas</t>
  </si>
  <si>
    <t>11-6038-3179</t>
  </si>
  <si>
    <t xml:space="preserve">Artesi Flavia </t>
  </si>
  <si>
    <t>Monte Verde 4789- Claypole</t>
  </si>
  <si>
    <t>11 2303-2183</t>
  </si>
  <si>
    <t>Pereira Diniz, Brisa Florencia</t>
  </si>
  <si>
    <t>NO CORRESPONDE PORQUE NO DA PRESENTE NE MESA DE ENTRADA</t>
  </si>
  <si>
    <t>Martinez Castro 346 - Gonzalez Catan</t>
  </si>
  <si>
    <t>11-5826-8534</t>
  </si>
  <si>
    <t>Taboada Federico</t>
  </si>
  <si>
    <t>Rumania 1611 - Florencio Varela</t>
  </si>
  <si>
    <t>Martinez Cohen, Belén</t>
  </si>
  <si>
    <t>11-6999-9320</t>
  </si>
  <si>
    <t>Av. La Plata 2347 PB 2  -CABA</t>
  </si>
  <si>
    <t>11-2711-7723</t>
  </si>
  <si>
    <t>Manetti, Diego Martin</t>
  </si>
  <si>
    <t>Constitución 1734 - 1º dpto7 - CABA</t>
  </si>
  <si>
    <t>11-3559-1585</t>
  </si>
  <si>
    <t>Rossi Lucía Morena</t>
  </si>
  <si>
    <t>Garcia Nadia</t>
  </si>
  <si>
    <t>Asamblea 4519- caseros</t>
  </si>
  <si>
    <t>11 2395-9253</t>
  </si>
  <si>
    <t>PASA AL GRUPO 5</t>
  </si>
  <si>
    <t>Galeano Axel Leonel</t>
  </si>
  <si>
    <t>Calle 32 N°2675 - Guernica</t>
  </si>
  <si>
    <t>11-5977-3740</t>
  </si>
  <si>
    <t xml:space="preserve">GRUPO "E" TM - 06 A 14 HS  </t>
  </si>
  <si>
    <t>Quiroga, Adriana Celina</t>
  </si>
  <si>
    <t>11-5667-8850</t>
  </si>
  <si>
    <t>Cuenca 3345 - Villa del Parque</t>
  </si>
  <si>
    <t>Guerra Hidalgo Maria Florencia</t>
  </si>
  <si>
    <t xml:space="preserve">Capitan Guemes 141- Villa Celina </t>
  </si>
  <si>
    <t>11-7366-9342</t>
  </si>
  <si>
    <t>Bernal, Laila</t>
  </si>
  <si>
    <t>San Francisco Solano 886 y 825 bis 2564- Quilmes</t>
  </si>
  <si>
    <t>11-6918-2885</t>
  </si>
  <si>
    <t>LxE</t>
  </si>
  <si>
    <t>Rodriguez Tomas Agustin</t>
  </si>
  <si>
    <t>Lencina, Cristina</t>
  </si>
  <si>
    <t>Albania 2248- Hurlingham</t>
  </si>
  <si>
    <t>11-4945-1517</t>
  </si>
  <si>
    <t>Magin roca 564 Lomas de Zamora</t>
  </si>
  <si>
    <t>11-3252-6815 / POC 11-4184-9099</t>
  </si>
  <si>
    <t>Longaretti, Carolina</t>
  </si>
  <si>
    <t>11-5044-1713</t>
  </si>
  <si>
    <t>LARREA 759 - CABA</t>
  </si>
  <si>
    <t xml:space="preserve">Chauvin, Facundo </t>
  </si>
  <si>
    <t>Corrientes 1507, Paso del Rey, Moreno.</t>
  </si>
  <si>
    <t xml:space="preserve">    11-3139-4520</t>
  </si>
  <si>
    <t>Monzon, Nora Viviana</t>
  </si>
  <si>
    <t>Andres Vallejos 2193- Villa Pueyrredon</t>
  </si>
  <si>
    <t>11-2842-1443</t>
  </si>
  <si>
    <t>Ávila, Samira</t>
  </si>
  <si>
    <t>Ordoñez, Lucas Matías</t>
  </si>
  <si>
    <t>Francisco de Gurruchaga 1181 - Hurlingham</t>
  </si>
  <si>
    <t>11-3269-4477</t>
  </si>
  <si>
    <t>11-3580-0753</t>
  </si>
  <si>
    <t>Rondeau 1034 - Adolfo Sourdeaux / Malvinas Argentinas</t>
  </si>
  <si>
    <t>Perez, Kiara Brisa</t>
  </si>
  <si>
    <t>Jorge Newbery 3827-Chacarita</t>
  </si>
  <si>
    <t>11-6936-5743</t>
  </si>
  <si>
    <t>PASA AL GRUPO 6B</t>
  </si>
  <si>
    <t>Caseres, Nicole Antonella</t>
  </si>
  <si>
    <t>11-3799-6075</t>
  </si>
  <si>
    <t>ZEPPELIN 4351 - LA MATANZA</t>
  </si>
  <si>
    <t>Lichowid, Florencia Belen</t>
  </si>
  <si>
    <t xml:space="preserve">Moelliere 2514- Villa real </t>
  </si>
  <si>
    <t>11-6193-5454</t>
  </si>
  <si>
    <t>Acevedo, Ludmila Agustina</t>
  </si>
  <si>
    <t>11-2588-1218</t>
  </si>
  <si>
    <t>CALDERON DE LA BARCA 696- CABA</t>
  </si>
  <si>
    <t>Astargo, Natanael</t>
  </si>
  <si>
    <t>balbastro 1485 - MERLO</t>
  </si>
  <si>
    <t>11-4058-1747</t>
  </si>
  <si>
    <t>Fernandez Vidal, Luca Patricio</t>
  </si>
  <si>
    <t>11-2389-0746</t>
  </si>
  <si>
    <t xml:space="preserve">Ceballos Florencia Mariana </t>
  </si>
  <si>
    <t>SISEP/SAE</t>
  </si>
  <si>
    <t xml:space="preserve">Jachal 541 - Gonzalez Catan </t>
  </si>
  <si>
    <t xml:space="preserve">Corrales 1370- Nueva Pompeya </t>
  </si>
  <si>
    <t>11-6871-0459</t>
  </si>
  <si>
    <t>Couso, Maria Victoria</t>
  </si>
  <si>
    <t>Galvan Mauro</t>
  </si>
  <si>
    <t>Calle Peatonal 3 4889 - Lanus Oeste</t>
  </si>
  <si>
    <t>11-6408-9506</t>
  </si>
  <si>
    <t>11-3287-3596</t>
  </si>
  <si>
    <t xml:space="preserve">Pedro Leon Gallo 3766 - San Justo </t>
  </si>
  <si>
    <t>Martinez Raquel Fernanda</t>
  </si>
  <si>
    <t>Sadi Carnos 636 - Villa Dominico</t>
  </si>
  <si>
    <t>11-2316-3394</t>
  </si>
  <si>
    <t>Micaela Diaz Leis</t>
  </si>
  <si>
    <t>11-3567-3921</t>
  </si>
  <si>
    <t>Bartolomé Mitre 1444 - CABA</t>
  </si>
  <si>
    <t>Charon, Florencia Agustina</t>
  </si>
  <si>
    <t>Evita 1232 - Retiro</t>
  </si>
  <si>
    <t>11- 3217 1912</t>
  </si>
  <si>
    <t>Rodriguez, Sofia</t>
  </si>
  <si>
    <t>11-6252-1663</t>
  </si>
  <si>
    <t>Juan Ramirez de Velasco 5881- Gonzalez Catan</t>
  </si>
  <si>
    <t xml:space="preserve">Guerra Fernandez Chiara </t>
  </si>
  <si>
    <t>Rauch 1169 - Caseros</t>
  </si>
  <si>
    <t>11-3888-5336</t>
  </si>
  <si>
    <t>Karschacoff, Nahir</t>
  </si>
  <si>
    <t>CHIVILCOY 4863 CABA</t>
  </si>
  <si>
    <t>11-6983-9835</t>
  </si>
  <si>
    <t xml:space="preserve">Ponce, Candela </t>
  </si>
  <si>
    <t>11-41668597</t>
  </si>
  <si>
    <t>Oyuela 1500 - Avellaneda - Villa Domenico</t>
  </si>
  <si>
    <t>Miranda, Pablo Ezequiel</t>
  </si>
  <si>
    <t>Avelino Palacios 2547 - Castelar</t>
  </si>
  <si>
    <t>11-2171-0929</t>
  </si>
  <si>
    <t>Dominguez Jamal</t>
  </si>
  <si>
    <t>Zorzoli, Florencia</t>
  </si>
  <si>
    <t>11 5102-2477</t>
  </si>
  <si>
    <t>HERNANDARIAS 156- CABA</t>
  </si>
  <si>
    <t>Conde 380 - CABA</t>
  </si>
  <si>
    <t>11-2469-2542</t>
  </si>
  <si>
    <t>Barone, Candela</t>
  </si>
  <si>
    <t>11-4042-0401</t>
  </si>
  <si>
    <t>Paso de la Patria 2074 - Aldo Bonzi</t>
  </si>
  <si>
    <t>Polidor Maria Eva</t>
  </si>
  <si>
    <t>Molinedo 3195 - lanus oeste</t>
  </si>
  <si>
    <t>11-3010-1308</t>
  </si>
  <si>
    <t xml:space="preserve">Garoso, Ana Laura </t>
  </si>
  <si>
    <t>11-3584-8621</t>
  </si>
  <si>
    <t>C03 C05 C06</t>
  </si>
  <si>
    <t>Cabildo 1519 - Ciudadela</t>
  </si>
  <si>
    <t xml:space="preserve">Ordoñez Bulentini, Valentina </t>
  </si>
  <si>
    <t>11-2387-8921</t>
  </si>
  <si>
    <t>C03 C05 C07</t>
  </si>
  <si>
    <t>Vigo 2636 - Hurlingham</t>
  </si>
  <si>
    <t xml:space="preserve">Cabrera Karina </t>
  </si>
  <si>
    <t>SABADO Y DOMINGO DE 07 A TERMINAR - DE 19 A TERMINAR (FERIADOS SI)</t>
  </si>
  <si>
    <t>Enrique De Vedia 2100 - CABA</t>
  </si>
  <si>
    <t>11-6050-1127</t>
  </si>
  <si>
    <t xml:space="preserve">Kumichel, Candela </t>
  </si>
  <si>
    <t>11-6233-5441</t>
  </si>
  <si>
    <t>Jose Leon Suarez 2535 - Mataderos</t>
  </si>
  <si>
    <t>1/09 LA CUBRE CARDOZO</t>
  </si>
  <si>
    <t>Greta Rojas</t>
  </si>
  <si>
    <t>cochabamba 1716 - Avellaneda</t>
  </si>
  <si>
    <t>11-4090-5842</t>
  </si>
  <si>
    <t xml:space="preserve">CMU PUERTO MADERO																																			</t>
  </si>
  <si>
    <t>Lobo, Carlos</t>
  </si>
  <si>
    <t>MEXICO 933 DERQUI PILAR</t>
  </si>
  <si>
    <t>11-5465-0964</t>
  </si>
  <si>
    <t>Córdoba, Juan Manuel</t>
  </si>
  <si>
    <t>11-5385-3217</t>
  </si>
  <si>
    <t>Alfredo Palacios 3270 - Valentín Alsina</t>
  </si>
  <si>
    <t xml:space="preserve">Cuello Joaquin </t>
  </si>
  <si>
    <t>Martin Rodriguez 671 - CABA</t>
  </si>
  <si>
    <t>11-5652-1340</t>
  </si>
  <si>
    <t>Freytes, Ignacio</t>
  </si>
  <si>
    <t>11-3305-7126</t>
  </si>
  <si>
    <t>Diaz Velez 529 - Avellaneda</t>
  </si>
  <si>
    <t>GRUPO E TT</t>
  </si>
  <si>
    <t xml:space="preserve">CMU VILLA LUGANO </t>
  </si>
  <si>
    <t>LUNES A VIERNES DE 19 A TERMINAR (FERIADOS SI)</t>
  </si>
  <si>
    <t>GRUPO "F" TM - 06 A 14 HS    F</t>
  </si>
  <si>
    <t>MASTROVINCENZO, PABLO</t>
  </si>
  <si>
    <t>CORONEL CABRER 4929 - CABA</t>
  </si>
  <si>
    <t>11-4409-4522</t>
  </si>
  <si>
    <t xml:space="preserve">OFICIAL DE LÍNEA EN CHACARITA.- </t>
  </si>
  <si>
    <t>Nivel E</t>
  </si>
  <si>
    <t>Flores, Carlos Alberto</t>
  </si>
  <si>
    <t>Ojeda, Daiana</t>
  </si>
  <si>
    <t>11-6371-4456</t>
  </si>
  <si>
    <t>Cepeda 6656- Gonzalez Catan</t>
  </si>
  <si>
    <t>Diogo, Roberto</t>
  </si>
  <si>
    <t>Av. Nazca 2765 5TO B - CABA</t>
  </si>
  <si>
    <t>11-6733-7989</t>
  </si>
  <si>
    <t>Palavecino Damian Emmanuel</t>
  </si>
  <si>
    <t>Mahlknecht, Flavia Mariana</t>
  </si>
  <si>
    <t>11-5850-2686</t>
  </si>
  <si>
    <t>Terrero 661-CABA</t>
  </si>
  <si>
    <t>11-5690-9459</t>
  </si>
  <si>
    <t>Benitez julio Omar 4272 5C- Villa Lugano</t>
  </si>
  <si>
    <t xml:space="preserve">D angelis,Silvana </t>
  </si>
  <si>
    <t>Moctezuma 1347 dpto 10 - V. Sarsfield</t>
  </si>
  <si>
    <t>11-6008-4761</t>
  </si>
  <si>
    <t>PRESENTISMO GRUPO 6 A TURNO MAÑANA - PERSONAL DE 09:00 a 21:00 HORAS - 12x36 (P. Policial Grupo VI)</t>
  </si>
  <si>
    <t>Solari Oriana</t>
  </si>
  <si>
    <t xml:space="preserve">Corrales Morales 2951-CABA, Villa Soldati </t>
  </si>
  <si>
    <t>11-3832-0009</t>
  </si>
  <si>
    <t>G6  T.D - 09 a 21 HS</t>
  </si>
  <si>
    <t>Yañez Vicente Juan Manuel</t>
  </si>
  <si>
    <t>AV. MARQUEZ 2521 - CABA</t>
  </si>
  <si>
    <t>11-6780-7780</t>
  </si>
  <si>
    <t>OFICIAL DE LINEA GRUPO 6A - 09 a 21 HS</t>
  </si>
  <si>
    <t>Baresi Maria Ximena</t>
  </si>
  <si>
    <t>Av Derqui 4030-Parque Avellaneda</t>
  </si>
  <si>
    <t>11-3629-1459</t>
  </si>
  <si>
    <t>Alcoba, Diego</t>
  </si>
  <si>
    <t>11-6600-9333</t>
  </si>
  <si>
    <t>Zelada 3650 - Gregorio de Laferrere</t>
  </si>
  <si>
    <t>LM HASTA 2/09</t>
  </si>
  <si>
    <t>OPERADORES GRUPO 6A - 09 a 21 HS</t>
  </si>
  <si>
    <t>Vedda Javier</t>
  </si>
  <si>
    <t>CARACAS 4264 DPTO 3 -CABA</t>
  </si>
  <si>
    <t>11-5140-8073</t>
  </si>
  <si>
    <t>Nivel F</t>
  </si>
  <si>
    <t>Cabral, Carolina</t>
  </si>
  <si>
    <t>11-2850-2634</t>
  </si>
  <si>
    <t>OP</t>
  </si>
  <si>
    <t>Luis Viale 1286 - Isidro Casanova</t>
  </si>
  <si>
    <t>Fontana Andrea Carolina</t>
  </si>
  <si>
    <t>Lunes, miercoles y viernes.</t>
  </si>
  <si>
    <t>BONIFACINI 4778 5D- CASEROS</t>
  </si>
  <si>
    <t>11-5624-5146</t>
  </si>
  <si>
    <t>Didier, Nicolás</t>
  </si>
  <si>
    <t>Escarlon Ocampo, Micaela Ayelen</t>
  </si>
  <si>
    <t>11-3516-8830</t>
  </si>
  <si>
    <t>FERNANDO FADER 2688 - LOMAS DE ZAMORA</t>
  </si>
  <si>
    <t>Av. Fernandez de la Cruz 1279- Nueva Pompeya</t>
  </si>
  <si>
    <t>11-6260-8768</t>
  </si>
  <si>
    <t>Sabados de 8:00 a 20:00</t>
  </si>
  <si>
    <t>Veliz Ayala, Rocio Soledad</t>
  </si>
  <si>
    <t>11-6670-4396</t>
  </si>
  <si>
    <t>Kloostermen 1105-LANUS</t>
  </si>
  <si>
    <t xml:space="preserve">Ciuffo Lorenzo </t>
  </si>
  <si>
    <t>Mexico 3910 - Almagro (CABA)</t>
  </si>
  <si>
    <t>11-6611-6448</t>
  </si>
  <si>
    <t>Siviero, Agustina</t>
  </si>
  <si>
    <t>11-3885-1080</t>
  </si>
  <si>
    <t>MONTIEL 3210- VILLA LUGANO</t>
  </si>
  <si>
    <t>Almeda, Micaela</t>
  </si>
  <si>
    <t>11-3807-7617</t>
  </si>
  <si>
    <t>Mario Bravo 904 - Lomas de Zamora</t>
  </si>
  <si>
    <t>Sayus, Yanina</t>
  </si>
  <si>
    <t>11-3361-4013</t>
  </si>
  <si>
    <t xml:space="preserve">Di Cio Lola </t>
  </si>
  <si>
    <t>ADM / SAE</t>
  </si>
  <si>
    <t xml:space="preserve">M Moreno 5183 Caseros </t>
  </si>
  <si>
    <t>Acoyte 280- CABA</t>
  </si>
  <si>
    <t>11-6160-6012</t>
  </si>
  <si>
    <t>Yapura, Johana</t>
  </si>
  <si>
    <t>11-2181-1952</t>
  </si>
  <si>
    <t>Evita 772 - Barrio 31 - YPF</t>
  </si>
  <si>
    <t xml:space="preserve">Vera Leyla </t>
  </si>
  <si>
    <t>Quintino Bocayuva 653- CABA</t>
  </si>
  <si>
    <t>11-2788-8821</t>
  </si>
  <si>
    <t>Leguizamón, Karina</t>
  </si>
  <si>
    <t>11-4085-0857</t>
  </si>
  <si>
    <t>Acevedo 157, PB, 2do. CABA</t>
  </si>
  <si>
    <t>PRESENTISMO GRUPO 6B TURNO MAÑANA - PERSONAL DE 08:00 a 20:00 HORAS - 12x36 (P. Policial Grupo VI)</t>
  </si>
  <si>
    <t>G6  T.D - 08 a 20 HS</t>
  </si>
  <si>
    <t xml:space="preserve"> LUNES A VIERNES DE 07 A 14 HS</t>
  </si>
  <si>
    <t>OFICIAL DE LINEA GRUPO 6B - 08 a 20 HS</t>
  </si>
  <si>
    <t>Arellano Hamm, Federico</t>
  </si>
  <si>
    <t>11-6968-9775</t>
  </si>
  <si>
    <t>Av Independencia 250 - Alejandro Korn</t>
  </si>
  <si>
    <t>OPERADORES GRUPO 6B - 08 a 20 HS</t>
  </si>
  <si>
    <t>Guaglianone, Matías</t>
  </si>
  <si>
    <t>FRANCISCO MADERO 1573 - CIUDADELA</t>
  </si>
  <si>
    <t>11-3779-9417</t>
  </si>
  <si>
    <t>Nivel H</t>
  </si>
  <si>
    <t>Yudi, Giselle</t>
  </si>
  <si>
    <t xml:space="preserve">11-3755-7185 </t>
  </si>
  <si>
    <t xml:space="preserve">AYUD  JS </t>
  </si>
  <si>
    <t>Av. Avellaneda 3805, Virreyes</t>
  </si>
  <si>
    <t>Bandiera, Fabrizio</t>
  </si>
  <si>
    <t>11-5701-5380</t>
  </si>
  <si>
    <t>OP/ADM/SAE</t>
  </si>
  <si>
    <t>Av Cabildo 2134 2 "B"- CABA</t>
  </si>
  <si>
    <t>Menghi, Carla</t>
  </si>
  <si>
    <t>11-3498-1301</t>
  </si>
  <si>
    <t>CALLE 122  2994 – GUERNICA</t>
  </si>
  <si>
    <t xml:space="preserve"> LUNES A VIERNES DE 07 A TERMINAR (FERIADOS NO)</t>
  </si>
  <si>
    <t>Pérez, Federico</t>
  </si>
  <si>
    <t>11-5425-1985</t>
  </si>
  <si>
    <t>Cachimayo 112 8vo B CABA</t>
  </si>
  <si>
    <t>Montiel, Noelia</t>
  </si>
  <si>
    <t>11-5740-8964</t>
  </si>
  <si>
    <t>Tranquera 2039 - Entre N° 443 y N° 443 A - Florencio Varela</t>
  </si>
  <si>
    <t>Chavez, Hernan</t>
  </si>
  <si>
    <t>DON BOSCO 645- TEMPERLEY</t>
  </si>
  <si>
    <t>11-6980-2870</t>
  </si>
  <si>
    <t>PASA AL GRUPO 6 A</t>
  </si>
  <si>
    <t>Monzalvo, Sofia Abigail</t>
  </si>
  <si>
    <t>11-3878-6041</t>
  </si>
  <si>
    <t>156A 3616- BERAZATEGUI</t>
  </si>
  <si>
    <t>Acosta Damaris Aylen</t>
  </si>
  <si>
    <t>11-7116-1457</t>
  </si>
  <si>
    <t>HEROES DEL FOUNIER 432- MERLO</t>
  </si>
  <si>
    <t>Martes, jueves y sabados</t>
  </si>
  <si>
    <t xml:space="preserve"> LUNES A VIERNES DE 06 A  finalizar</t>
  </si>
  <si>
    <t>PRESENTISMO GRUPO 3 TURNO NOCHE - PERSONAL DE 18:00 a 06:00 HORAS - 12x36 (P. Policial Grupo III)</t>
  </si>
  <si>
    <t>G3 TN- 18a06 HS</t>
  </si>
  <si>
    <t>Nivel D</t>
  </si>
  <si>
    <t>Camblor, Ramiro</t>
  </si>
  <si>
    <t>Av. Dorrego 1771 - Piso 8</t>
  </si>
  <si>
    <t>11-3666-4013 - 1139402490</t>
  </si>
  <si>
    <t xml:space="preserve">JEFE DE SERVICIO GRUPO 3 - 18 a 06 HS																																	</t>
  </si>
  <si>
    <t>Martinez, Ricardo</t>
  </si>
  <si>
    <t xml:space="preserve">PASA A GRUPO 2 DE 06 A 18 </t>
  </si>
  <si>
    <t xml:space="preserve">Lange, Daniel </t>
  </si>
  <si>
    <t>11-65243061</t>
  </si>
  <si>
    <t xml:space="preserve">Martin Fierro 5816 Moreno </t>
  </si>
  <si>
    <t xml:space="preserve">grupo 5 de 18 a 06 </t>
  </si>
  <si>
    <t xml:space="preserve"> LUNES A VIERNES DE 07 A 14 HS (NO TRABAJA LOS FERIADOS)</t>
  </si>
  <si>
    <t>Of Primero</t>
  </si>
  <si>
    <t>Molina, Jose Manuel</t>
  </si>
  <si>
    <t>11-5842-2011</t>
  </si>
  <si>
    <t>El Maestro Argentino 2520 - Hurlingham</t>
  </si>
  <si>
    <t>Vázquez Eliana</t>
  </si>
  <si>
    <t>La haya 3220 - Casanova</t>
  </si>
  <si>
    <t>Soldani, Clara</t>
  </si>
  <si>
    <t>Simon Perez 6856 Gonzalez Catán</t>
  </si>
  <si>
    <t>11 3144-9474</t>
  </si>
  <si>
    <t>Quintana, Gilda</t>
  </si>
  <si>
    <t>11-3909-2210</t>
  </si>
  <si>
    <t>Av. Montes de Oca 1525 7B  - CABA</t>
  </si>
  <si>
    <t>Carabajal, Graciela Beatriz</t>
  </si>
  <si>
    <t>11-6055-9434</t>
  </si>
  <si>
    <t>Los Nogales 917 Dpto B - Tapiales</t>
  </si>
  <si>
    <t>GRUPO 2 DE 06 A 18</t>
  </si>
  <si>
    <t>Campos Maria Eugenia</t>
  </si>
  <si>
    <t>Calle 19 2321 Esq 123 - Berazategui</t>
  </si>
  <si>
    <t xml:space="preserve">GRUPO 4 18 A 06 </t>
  </si>
  <si>
    <t xml:space="preserve"> LUNES A VIERNES DE 09 A 16HS</t>
  </si>
  <si>
    <t>Ramirez, David</t>
  </si>
  <si>
    <t>11-3376-3412 / 1130465776 (POC)</t>
  </si>
  <si>
    <t>Av. Gaspar Campos 3362-San Miguel</t>
  </si>
  <si>
    <t xml:space="preserve">Furnari Franco </t>
  </si>
  <si>
    <t>Bauness 2906 - V. Urquiza</t>
  </si>
  <si>
    <t>11-5055-2759</t>
  </si>
  <si>
    <t>GRUPO 1</t>
  </si>
  <si>
    <t>Bomone, Nicolas Ivan</t>
  </si>
  <si>
    <t>11-6753-4364</t>
  </si>
  <si>
    <t xml:space="preserve">Schweitzer 1880 - Ituzaingo </t>
  </si>
  <si>
    <t>Anglada, Ana</t>
  </si>
  <si>
    <t>11-5722-4108</t>
  </si>
  <si>
    <t>Ruta 6 y Francisca De Gari - San Vicente</t>
  </si>
  <si>
    <t xml:space="preserve"> LUNES A VIERNES DE 07 A 14HS</t>
  </si>
  <si>
    <t>Rojas, Priscila</t>
  </si>
  <si>
    <t>11-4161-2418</t>
  </si>
  <si>
    <t>YERBAL 5163- VILLA LURO</t>
  </si>
  <si>
    <t>Mendoz, Luciano</t>
  </si>
  <si>
    <t>11-5343-6294</t>
  </si>
  <si>
    <t>Av. Montes de Oca 169- Barracas</t>
  </si>
  <si>
    <t>Fernández, Agustina</t>
  </si>
  <si>
    <t>11-5725-2814</t>
  </si>
  <si>
    <t>ADM/AYUD. DEL JS</t>
  </si>
  <si>
    <t>Gattelet, Guadalupe</t>
  </si>
  <si>
    <t>Av. Olazabal 3650 7° J - CABA</t>
  </si>
  <si>
    <t xml:space="preserve">Bulnes 1785 - Palermo - CABA </t>
  </si>
  <si>
    <t>2478-5194-38</t>
  </si>
  <si>
    <t xml:space="preserve">L, M,M Y J  8 A 14 HS Y VIERENS DE 7 A 13 </t>
  </si>
  <si>
    <t>Caraballo, Lucas</t>
  </si>
  <si>
    <t>11-3508-9710</t>
  </si>
  <si>
    <t>Pavon 2308 22" - CABA</t>
  </si>
  <si>
    <t>Boye Veronica Mariana</t>
  </si>
  <si>
    <t>Av. Mosconi 117  3 Piso Dpto. 102-Lomas del Mirador</t>
  </si>
  <si>
    <t>Barcala, Guido</t>
  </si>
  <si>
    <t>03484-386947</t>
  </si>
  <si>
    <t>11-2245-3842</t>
  </si>
  <si>
    <r>
      <rPr>
        <rFont val="Calibri"/>
        <color rgb="FF000000"/>
        <sz val="10.0"/>
      </rPr>
      <t xml:space="preserve">Las calendulas 2936-Manuel Alberti </t>
    </r>
    <r>
      <rPr>
        <rFont val="Calibri"/>
        <color rgb="FF000000"/>
        <sz val="10.0"/>
        <u/>
      </rPr>
      <t>Bs. A</t>
    </r>
    <r>
      <rPr>
        <rFont val="Calibri"/>
        <color rgb="FF000000"/>
        <sz val="10.0"/>
      </rPr>
      <t>s.</t>
    </r>
  </si>
  <si>
    <t>FA 2/09</t>
  </si>
  <si>
    <t>Ferrando, Martina</t>
  </si>
  <si>
    <t>11-5048-0452</t>
  </si>
  <si>
    <t>Canada 299 - Lomas de Zamora</t>
  </si>
  <si>
    <t>Aguilar, Micaela</t>
  </si>
  <si>
    <t>11-2637-2834</t>
  </si>
  <si>
    <t xml:space="preserve">ADM </t>
  </si>
  <si>
    <t>Olleros 3058 - CABA</t>
  </si>
  <si>
    <t>Barrios, Aylen Mariana</t>
  </si>
  <si>
    <t>Andrade 336-Glew</t>
  </si>
  <si>
    <t>Gambino Daniel</t>
  </si>
  <si>
    <t>11-3620-3498</t>
  </si>
  <si>
    <t>Cosquin 1775 3ro -CABA</t>
  </si>
  <si>
    <t>Vallejos, Marianela</t>
  </si>
  <si>
    <t>11-3682-6347</t>
  </si>
  <si>
    <t xml:space="preserve"> SAE</t>
  </si>
  <si>
    <t>Roca 2055 - Ituzaingo</t>
  </si>
  <si>
    <t>LXM</t>
  </si>
  <si>
    <t>LXM hasta 22/10</t>
  </si>
  <si>
    <t>Alcaraz, Agustina</t>
  </si>
  <si>
    <t>11-3134-5522</t>
  </si>
  <si>
    <t>Gamboa 1524 - Libertad Merlo</t>
  </si>
  <si>
    <t>Rivera Maria Florencia</t>
  </si>
  <si>
    <t>11-6292-6627</t>
  </si>
  <si>
    <t>Florencio Parravecini 134 - Glew</t>
  </si>
  <si>
    <t>Donadon, Nicolas</t>
  </si>
  <si>
    <t>11-5512-9354</t>
  </si>
  <si>
    <t>Monseñor Blois 4425 - José C Paz</t>
  </si>
  <si>
    <t>Cuellar, Camila</t>
  </si>
  <si>
    <t>11-2276-2993</t>
  </si>
  <si>
    <t>Garay 1974 - Merlo</t>
  </si>
  <si>
    <t>Caceres Matias Nahuel</t>
  </si>
  <si>
    <t>11-65549034</t>
  </si>
  <si>
    <t>Paris 1774 - Pablo Podesta</t>
  </si>
  <si>
    <t>Villarroel Olivieri Ezequiel Agustin</t>
  </si>
  <si>
    <t>Av. Central y Calle 700 - Ciudad Evita</t>
  </si>
  <si>
    <t>Infante, Jonathan</t>
  </si>
  <si>
    <t>11-3694-1179</t>
  </si>
  <si>
    <t>Barrio 31 Güemes mzana. 5 casa 46 - Retiro</t>
  </si>
  <si>
    <t>Villalba, Miguel Nicolás</t>
  </si>
  <si>
    <t>11-5022-9068</t>
  </si>
  <si>
    <t>Jose Maria Paz 3831- Jose c Paz</t>
  </si>
  <si>
    <t xml:space="preserve">Nivel I </t>
  </si>
  <si>
    <t>Garrigo, Agustina</t>
  </si>
  <si>
    <t>11 2498-6181</t>
  </si>
  <si>
    <t>MONTEVIDEO 127- 5B-CABA</t>
  </si>
  <si>
    <t>Cortes Sebastian Ezequiel</t>
  </si>
  <si>
    <t>11-3796-3930</t>
  </si>
  <si>
    <t>Gandolfo 3301 - San Fernando</t>
  </si>
  <si>
    <t>Herrera, Florencia</t>
  </si>
  <si>
    <t>Curapaligue 1875 Torre 6 Piso 2 Dpto C - Tapiales</t>
  </si>
  <si>
    <t>Martin, Ayrton</t>
  </si>
  <si>
    <t>11-5719-0979</t>
  </si>
  <si>
    <t xml:space="preserve">ADM/SAE VL </t>
  </si>
  <si>
    <t>SPIRO 2341, LAFERRERE</t>
  </si>
  <si>
    <t>PRESENTISMO GRUPO 4 TURNO NOCHE - PERSONAL DE 18:00 a 06:00 HORAS - 12x60 (P. Policial Grupo IV)</t>
  </si>
  <si>
    <t>G4 TN- 18a06 HS</t>
  </si>
  <si>
    <t>Benítez, Antonella</t>
  </si>
  <si>
    <t>220 500-0397</t>
  </si>
  <si>
    <t>Andonaegui 2153 8D CABA</t>
  </si>
  <si>
    <t>Alcaraz, Ariel</t>
  </si>
  <si>
    <t>11-3098-5245 - POC : 11-4066-7696</t>
  </si>
  <si>
    <t>OFICIAL DE LINEA/RELEVO</t>
  </si>
  <si>
    <t>MACIEL 451 -MERLO</t>
  </si>
  <si>
    <t>Perrone, Juliana</t>
  </si>
  <si>
    <t>11-6403-4319</t>
  </si>
  <si>
    <t>Rosetti 583-San Miguel</t>
  </si>
  <si>
    <t>Colo Nadia Elida</t>
  </si>
  <si>
    <t>11-5938-7648</t>
  </si>
  <si>
    <t>Carlos F. Melo 308 Piso 1ro La Boca CABA</t>
  </si>
  <si>
    <t>CUBRE RIVERO 15/09</t>
  </si>
  <si>
    <t>PASA AL GRUPÓ 1</t>
  </si>
  <si>
    <t>CUBRE A COLO 15/09</t>
  </si>
  <si>
    <t>Rodriguez, Alberto Fernando</t>
  </si>
  <si>
    <t>11-3382-2919</t>
  </si>
  <si>
    <t>Don Bosco 3461 4°C - Almagro</t>
  </si>
  <si>
    <t>Beñacar, Silvina Soledad</t>
  </si>
  <si>
    <t>11-3440-4909</t>
  </si>
  <si>
    <t>Quito 544 - Guernica</t>
  </si>
  <si>
    <t>GRUPO 3 DE 18 A 06</t>
  </si>
  <si>
    <t>LA hasta 02/09</t>
  </si>
  <si>
    <t>NIVEL J</t>
  </si>
  <si>
    <t>Alvarez, Daiana</t>
  </si>
  <si>
    <t>11-3164-0760</t>
  </si>
  <si>
    <t>AYUDANTE DEL JS</t>
  </si>
  <si>
    <t>Roma 2884 - Caseros</t>
  </si>
  <si>
    <t>Lucero, Laila</t>
  </si>
  <si>
    <t>11-2862-2335</t>
  </si>
  <si>
    <t>SUNCHALES 6523 - LA MATANZA</t>
  </si>
  <si>
    <t>Cristofori, Gustavo</t>
  </si>
  <si>
    <t>11-4147-1649</t>
  </si>
  <si>
    <t>Calle 831 N°1876 - Solano</t>
  </si>
  <si>
    <t>Lopez, Camila Andrea</t>
  </si>
  <si>
    <t>11-5862-4124</t>
  </si>
  <si>
    <t>Manzana 21 - Lote 15 - Virrey Del Pino</t>
  </si>
  <si>
    <t>Meruvia, Bruno Alejandro</t>
  </si>
  <si>
    <t>11-2395-9245</t>
  </si>
  <si>
    <t>Pedro Miguel Obligado 2967 - Laferrere</t>
  </si>
  <si>
    <t xml:space="preserve">Takach Agustin </t>
  </si>
  <si>
    <t>11-6612-1149</t>
  </si>
  <si>
    <t>San Isidro 3162 - Ituzaingo</t>
  </si>
  <si>
    <t>Cuello, Jenifer</t>
  </si>
  <si>
    <t>11-5751-7043</t>
  </si>
  <si>
    <t>Iribarren 3370, Caseros</t>
  </si>
  <si>
    <t>Barzola, Dylan</t>
  </si>
  <si>
    <t>11-2328-0797</t>
  </si>
  <si>
    <t>Barcala 470 PH timbre 9, Ramos Mejía</t>
  </si>
  <si>
    <t>11 4061-9707</t>
  </si>
  <si>
    <t>Tiravanti Medina, Ingryd Jazmín</t>
  </si>
  <si>
    <t>11-3818-0615</t>
  </si>
  <si>
    <t xml:space="preserve">San José de Calasanz 173 - CABA </t>
  </si>
  <si>
    <t>Delgado, Matias Leonardo</t>
  </si>
  <si>
    <t>11 5925-3845</t>
  </si>
  <si>
    <t>CIUDAD EVITA - MONOBLOCK 11 COLUMNA 1 2°B</t>
  </si>
  <si>
    <t>Herrera, Matías</t>
  </si>
  <si>
    <t>11-5571-4561</t>
  </si>
  <si>
    <t>LAMADRID 2064- QUILMES</t>
  </si>
  <si>
    <t>Mendieta, Matias Ezequiel</t>
  </si>
  <si>
    <t>11-2252-7387</t>
  </si>
  <si>
    <t>Barrio Kush Mza 9 Casa 22, Virrey del Pino, La Matanza</t>
  </si>
  <si>
    <t>PASA COMO OPERADOR DE MONITOREO - GRUPO E TN</t>
  </si>
  <si>
    <t>Karen Stephanie Wagner</t>
  </si>
  <si>
    <t>11-6210-2100</t>
  </si>
  <si>
    <t>Patricias Argentinas 621-Localidad de Merlo</t>
  </si>
  <si>
    <t>Lucila Siciliano</t>
  </si>
  <si>
    <t xml:space="preserve"> 11-3076-8695</t>
  </si>
  <si>
    <t>Gascon 251 - Lomas del Mirador</t>
  </si>
  <si>
    <t>Manrique Gaston</t>
  </si>
  <si>
    <t>11-2155-0738</t>
  </si>
  <si>
    <t>Castellanos 775 - Merlo</t>
  </si>
  <si>
    <t xml:space="preserve">Coronel Garassino Victor Gabriel </t>
  </si>
  <si>
    <t>11-6738-2219</t>
  </si>
  <si>
    <t>Lobos, Natalia Noemí</t>
  </si>
  <si>
    <t>11-7608-6657</t>
  </si>
  <si>
    <t>Montañeses 3255 - San Justo</t>
  </si>
  <si>
    <t>Krakovsky, Martina</t>
  </si>
  <si>
    <t>11-3830-2197</t>
  </si>
  <si>
    <t>Venezuela y Posadas sector J duplex 7 - Quilmes</t>
  </si>
  <si>
    <t>Soto, Ailen</t>
  </si>
  <si>
    <t>11-2621-8716</t>
  </si>
  <si>
    <t>Comandante Franco 1126 - Quilmes</t>
  </si>
  <si>
    <t>Ledesma, Natalia Elizabeth</t>
  </si>
  <si>
    <t>11-3140-6013</t>
  </si>
  <si>
    <t xml:space="preserve">OFICIAL DE LINEA </t>
  </si>
  <si>
    <t>17 de Agosto 1331 - El Jaguel</t>
  </si>
  <si>
    <t xml:space="preserve">                      </t>
  </si>
  <si>
    <t>Andrada, Marcelo Fernando</t>
  </si>
  <si>
    <t>11-3320-7245 / POC: 11-3934-9446</t>
  </si>
  <si>
    <t>Iparraguirre 531- Lomas de Zamora</t>
  </si>
  <si>
    <t>PRESENTISMO GRUPO 5 TURNO NOCHE - PERSONAL DE 18:00 a 06:00 HORAS - 12x60 (P. Policial Grupo V)</t>
  </si>
  <si>
    <t>G5 TN- 18a06 HS</t>
  </si>
  <si>
    <t>APELLIDO Y NOMBRE</t>
  </si>
  <si>
    <t>Ledesma, Jesica</t>
  </si>
  <si>
    <t>11-2781-9597</t>
  </si>
  <si>
    <t>Sarmiento 2021 8ºA - CABA</t>
  </si>
  <si>
    <t>Gomez, Gabriel Eduardo</t>
  </si>
  <si>
    <t>Boulogne Sur Mer 295 - Olivera</t>
  </si>
  <si>
    <t xml:space="preserve">Zysman Marcelo Ariel </t>
  </si>
  <si>
    <t xml:space="preserve">OF DE LINEA chofer </t>
  </si>
  <si>
    <t>SANTOS VEGA 1431- GRAND BOURG</t>
  </si>
  <si>
    <t>11-3207-9721</t>
  </si>
  <si>
    <t>Torres, Jorge Damian</t>
  </si>
  <si>
    <t>11-5937-0528</t>
  </si>
  <si>
    <t>MARIANO BOEDO 427</t>
  </si>
  <si>
    <t>hasta 01/09</t>
  </si>
  <si>
    <t>Abel, Paula Natalia</t>
  </si>
  <si>
    <t>11-2154-4301</t>
  </si>
  <si>
    <t>Los laureles 1524-Ezeiza</t>
  </si>
  <si>
    <t>HASTA EL 04/09</t>
  </si>
  <si>
    <t>Sendros Jonathan Luis</t>
  </si>
  <si>
    <t>11-4415-2932</t>
  </si>
  <si>
    <t xml:space="preserve">Grahm Bell 245 - Paso del Rey </t>
  </si>
  <si>
    <t>Ayres, Diego Ezequiel</t>
  </si>
  <si>
    <t>11-3246-5368</t>
  </si>
  <si>
    <t xml:space="preserve">PERU 1724 - SAN TELMO </t>
  </si>
  <si>
    <t>OFICIAL</t>
  </si>
  <si>
    <t>GRUPO 1 DE 06 A 18</t>
  </si>
  <si>
    <t>PASA AL GRUPO 1 DE 12X36</t>
  </si>
  <si>
    <t>Larrea, Yésica</t>
  </si>
  <si>
    <t>11-7363-3985</t>
  </si>
  <si>
    <t>Av. Eva Peron 1043 - Guernica</t>
  </si>
  <si>
    <t>Stuchetti, Florencia</t>
  </si>
  <si>
    <t>11-4159-9242 / 11-6306-8248 (POC)</t>
  </si>
  <si>
    <t xml:space="preserve">SAE </t>
  </si>
  <si>
    <t>Gral Fructuoso Rivera 6520 - Dpto 1B - CABA</t>
  </si>
  <si>
    <t>Galarza, Celeste</t>
  </si>
  <si>
    <t>11-5964-0948 / 11-2845-9867 (POC)</t>
  </si>
  <si>
    <t>Kingston 3104 - Guernica</t>
  </si>
  <si>
    <t>HASTA EL 18/09</t>
  </si>
  <si>
    <t>Arce, Oriana Belen</t>
  </si>
  <si>
    <t>11-2185-3822</t>
  </si>
  <si>
    <t>Japón 151 - Rafael Castillo</t>
  </si>
  <si>
    <t>Soria, Laura Belén</t>
  </si>
  <si>
    <t>11-5020-9368</t>
  </si>
  <si>
    <t>AYUD DE JS</t>
  </si>
  <si>
    <t>SE RETIRA POR LACTANCIA A LAS 04HS</t>
  </si>
  <si>
    <t>Pereyra, Melisa Elizabeth</t>
  </si>
  <si>
    <t>11-3052-5752</t>
  </si>
  <si>
    <t>Martínez Melo 1922 - Moreno</t>
  </si>
  <si>
    <t>Figueroa, Solange</t>
  </si>
  <si>
    <t>11-6543-7700</t>
  </si>
  <si>
    <t>HUEMUL 1115</t>
  </si>
  <si>
    <t>Amaya, Débora Belén</t>
  </si>
  <si>
    <t>11-7150-1778</t>
  </si>
  <si>
    <t>Calle 39 N°933- Guernica</t>
  </si>
  <si>
    <t>Gomez, Brisa</t>
  </si>
  <si>
    <t>11-3914-1933</t>
  </si>
  <si>
    <t>Paris 1177- Villa Luzuriaga</t>
  </si>
  <si>
    <t>Cei, Mariano Leonel</t>
  </si>
  <si>
    <t>11-3158-6755</t>
  </si>
  <si>
    <t xml:space="preserve">Manuel Gallardo 185 - González Catan </t>
  </si>
  <si>
    <t>Martinez, Dylan</t>
  </si>
  <si>
    <t>11-4082-6452</t>
  </si>
  <si>
    <t>Esquiro 1670 - Rafael Castillo</t>
  </si>
  <si>
    <t>Martinez, Marcelo</t>
  </si>
  <si>
    <t>11-7166-4254</t>
  </si>
  <si>
    <t>La Rioja 2071 - Quilmes Oeste</t>
  </si>
  <si>
    <t>Ciappini, Luca</t>
  </si>
  <si>
    <t>11-6527-7755</t>
  </si>
  <si>
    <t xml:space="preserve">Mariquita Thompson 2255- Villa Celina </t>
  </si>
  <si>
    <t>Miranda Jazmin</t>
  </si>
  <si>
    <t>11-23017727</t>
  </si>
  <si>
    <t>PASA AL GRUPO 2 TN.-</t>
  </si>
  <si>
    <t>Garcia Ludmila</t>
  </si>
  <si>
    <t>11-2834-4667</t>
  </si>
  <si>
    <t>Florencio Varela 2005 - Avellaneda</t>
  </si>
  <si>
    <t>Carabajal, Mariana</t>
  </si>
  <si>
    <t>11-4445-1849</t>
  </si>
  <si>
    <t>Blanco Encalada 5027 - Lanus</t>
  </si>
  <si>
    <t>Selis, Solange</t>
  </si>
  <si>
    <t>11-2545-2790</t>
  </si>
  <si>
    <t>Francisco de Morazan 778 - Lomas de Zamora</t>
  </si>
  <si>
    <t>Guerra, Rocio Agostina</t>
  </si>
  <si>
    <t>11-2647-0661</t>
  </si>
  <si>
    <t>Guamini 1959 Departamento C - CABA</t>
  </si>
  <si>
    <t xml:space="preserve">PRESENTISMO GRUPO TURNO MAÑANA – OPERADORES 06 A 14 </t>
  </si>
  <si>
    <t>G1 A Y B TM - 06 A 14 HS</t>
  </si>
  <si>
    <t>Grupo "A" TM</t>
  </si>
  <si>
    <t>Veramendi, Enzo</t>
  </si>
  <si>
    <t>CAZON 1236 – LANUS</t>
  </si>
  <si>
    <t>11-3454-4352</t>
  </si>
  <si>
    <t>Viale, Gisela Soledad</t>
  </si>
  <si>
    <t>Mario Bravo 754 - Avellaneda</t>
  </si>
  <si>
    <t>Junoy, Fernando</t>
  </si>
  <si>
    <t>11-6767-8652</t>
  </si>
  <si>
    <t>Grupo "B" TM</t>
  </si>
  <si>
    <t>Ordóñez, Débora Andrea</t>
  </si>
  <si>
    <t>SOLIER 6787- WILDE</t>
  </si>
  <si>
    <t>11-5825-0509</t>
  </si>
  <si>
    <t>Gómez, Valeria</t>
  </si>
  <si>
    <t>ANDRADE 898 - GLEW</t>
  </si>
  <si>
    <t>11-6423-4235</t>
  </si>
  <si>
    <t>Garcia, Oriana</t>
  </si>
  <si>
    <t>CEVALLOS 4170 – EZPELETA</t>
  </si>
  <si>
    <t>11-6876-8515</t>
  </si>
  <si>
    <t xml:space="preserve">G2 C Y D TM - 06 A 14 HS </t>
  </si>
  <si>
    <t xml:space="preserve">
Grupo "C" TM</t>
  </si>
  <si>
    <t>Molina, Maria Laura</t>
  </si>
  <si>
    <t>Peru 957 3° 41 - CABA</t>
  </si>
  <si>
    <t>11-6223-4165</t>
  </si>
  <si>
    <t>Lagomarsino Lucia</t>
  </si>
  <si>
    <t>CANALE 2624 ALTE BROWN</t>
  </si>
  <si>
    <t>11-5336-1863</t>
  </si>
  <si>
    <t xml:space="preserve">
Grupo "D" TM</t>
  </si>
  <si>
    <t>Kuhn Candela</t>
  </si>
  <si>
    <t>n</t>
  </si>
  <si>
    <t>11-3146-1086</t>
  </si>
  <si>
    <t>Recchia, Agustín</t>
  </si>
  <si>
    <t>CUENCA 5279 - EZPELETA</t>
  </si>
  <si>
    <t xml:space="preserve"> 11 6829-0205</t>
  </si>
  <si>
    <t>Diaz, Analia Veronica</t>
  </si>
  <si>
    <t>Carlos seminario 1326 2p dp 7 Avellaneda</t>
  </si>
  <si>
    <t>11-2190-5434</t>
  </si>
  <si>
    <t>G3 E Y F TM - 06 A 14 HS</t>
  </si>
  <si>
    <t xml:space="preserve">
Grupo "E" TM</t>
  </si>
  <si>
    <t>Sena, Anabel</t>
  </si>
  <si>
    <t>LIMA 1243 - CARLOS SPEGAZZINI</t>
  </si>
  <si>
    <t>11-3630-5423</t>
  </si>
  <si>
    <t>LL.T</t>
  </si>
  <si>
    <t>Ramos, Lorena</t>
  </si>
  <si>
    <t>Gabriela Mistral 2273 - Lomas de Zamora</t>
  </si>
  <si>
    <t>11 3051-4628</t>
  </si>
  <si>
    <t xml:space="preserve">
Grupo "F" TM</t>
  </si>
  <si>
    <t>Runge Mirta</t>
  </si>
  <si>
    <t>ARAOZ 2922 1 D - CABA</t>
  </si>
  <si>
    <t>11-3034-2647</t>
  </si>
  <si>
    <t>Barrancos ,Juan, Carlos</t>
  </si>
  <si>
    <t>JOSE OYULA 3860 – LANUS</t>
  </si>
  <si>
    <t>11-3127-8999</t>
  </si>
  <si>
    <t>PRESENTISMO GRUPO TURNO TARDE – OPERADORES 14 A 22</t>
  </si>
  <si>
    <t>G1 A Y B TT - 14 A 22 HS</t>
  </si>
  <si>
    <t>Grupo "A" TT</t>
  </si>
  <si>
    <t>García, Feliciano Rodrigo</t>
  </si>
  <si>
    <t>BROWN 162 - CABA</t>
  </si>
  <si>
    <t>11-6609-3942</t>
  </si>
  <si>
    <t>Heredia, Matías</t>
  </si>
  <si>
    <t>Cavia 1845- Lanus Este</t>
  </si>
  <si>
    <t>11-6167-5043/POC 1128993774</t>
  </si>
  <si>
    <t>OS</t>
  </si>
  <si>
    <t xml:space="preserve">Grupo "B" TT </t>
  </si>
  <si>
    <t xml:space="preserve">Sosa Noelia </t>
  </si>
  <si>
    <t>9 DE JULIO 5205 - LANÚS</t>
  </si>
  <si>
    <t>1157351767/ 1139276949 (POC)</t>
  </si>
  <si>
    <t>Alegre, Esmilce</t>
  </si>
  <si>
    <t>Pje. Figueroa 1600 Torre 1 Sec A Piso 1 B- Avellaneda</t>
  </si>
  <si>
    <t>LL</t>
  </si>
  <si>
    <t>llea tarde 14:27hs</t>
  </si>
  <si>
    <t>G2 C Y D TT - 14 A 22 HS</t>
  </si>
  <si>
    <t xml:space="preserve">
Grupo "C" TT</t>
  </si>
  <si>
    <t>Valls Facundo</t>
  </si>
  <si>
    <t>ARENALES 1876 6° 27 - CABA</t>
  </si>
  <si>
    <t>11-5487-0814</t>
  </si>
  <si>
    <t>Yufra, Yohanna</t>
  </si>
  <si>
    <t>BRASIL 906 - GUERNICA</t>
  </si>
  <si>
    <t>11-3163-3136</t>
  </si>
  <si>
    <t>HASTA EL 27/12 INCLUSIVE</t>
  </si>
  <si>
    <t>Grupo "D" TT</t>
  </si>
  <si>
    <t>Bargas, Franco</t>
  </si>
  <si>
    <t>MANZANA 21 CASA 20 B° INMIGRANTES BARRIO 31</t>
  </si>
  <si>
    <t>11-3038-6382</t>
  </si>
  <si>
    <t>G3 E Y F TT - 14 A 22 HS</t>
  </si>
  <si>
    <t xml:space="preserve">
Grupo "E" TT </t>
  </si>
  <si>
    <t>Prezzavento, Sergio</t>
  </si>
  <si>
    <t>ASUNCION 2530- CABA</t>
  </si>
  <si>
    <t>11-5038-6059</t>
  </si>
  <si>
    <t xml:space="preserve">Robles, Lara Valentina </t>
  </si>
  <si>
    <t>La Pampa 1722- Temperley</t>
  </si>
  <si>
    <t>11-3853-6827</t>
  </si>
  <si>
    <t>Maria Belen Martinez Quintana</t>
  </si>
  <si>
    <t xml:space="preserve">Monserrat 935 - Florencio Varela </t>
  </si>
  <si>
    <t>11- 4083- 3537</t>
  </si>
  <si>
    <t>Grupo "F" TT</t>
  </si>
  <si>
    <t>De Mare, Claudio</t>
  </si>
  <si>
    <t>AMEGHINO 710 - QUILMES</t>
  </si>
  <si>
    <t>11-6870-8398</t>
  </si>
  <si>
    <t>GRUPO F CHACARITA 14 A 22</t>
  </si>
  <si>
    <t>PRESENTISMO GRUPO TURNO NOCHE – OPERADORES 22 A 06</t>
  </si>
  <si>
    <t>G1 A Y B TN - 22 A 06 HS</t>
  </si>
  <si>
    <t xml:space="preserve">Grupo "A" TN </t>
  </si>
  <si>
    <t>Benítez Pereira, Patricia</t>
  </si>
  <si>
    <t>Av. Republica de Francia y Mar del Plata-quilmes</t>
  </si>
  <si>
    <t>11-3610-4372</t>
  </si>
  <si>
    <t xml:space="preserve">Alvarez, Laura Gabriela </t>
  </si>
  <si>
    <t>MONSEÑOR DE ANDREA 1569 (BERNAL OESTE)</t>
  </si>
  <si>
    <t>11-2854-6863</t>
  </si>
  <si>
    <t xml:space="preserve">Grupo "B" TN </t>
  </si>
  <si>
    <t>Gómez, Katherine Melisa</t>
  </si>
  <si>
    <t>PARAGUAY ESQUINO O´HIGGINS S/N QUILMES</t>
  </si>
  <si>
    <t>11-3654-1030</t>
  </si>
  <si>
    <t>Gimenez Eveyln</t>
  </si>
  <si>
    <t xml:space="preserve">Brandsen 2036-Barracas </t>
  </si>
  <si>
    <t>11-3091-6946</t>
  </si>
  <si>
    <t>G2 C Y D TN - 22 A 06 HS</t>
  </si>
  <si>
    <t xml:space="preserve">
Grupo "C" TN </t>
  </si>
  <si>
    <t>Ponce, Vanesa Paola</t>
  </si>
  <si>
    <t xml:space="preserve">Chubut 2033 - Florencio Varela </t>
  </si>
  <si>
    <t>11-6499-0233</t>
  </si>
  <si>
    <t>GRUPO D 22 A 06</t>
  </si>
  <si>
    <t xml:space="preserve">
Grupo "D" TN </t>
  </si>
  <si>
    <t>Reinoso, Matías</t>
  </si>
  <si>
    <t>Ceballos 913- ALEJANDRO KORN</t>
  </si>
  <si>
    <t>11-4979-2046</t>
  </si>
  <si>
    <t>Alejo Carbasuyo, Aníbal</t>
  </si>
  <si>
    <t>Manzana 2 Casa 54 - Retiro</t>
  </si>
  <si>
    <t>11-6658-6203</t>
  </si>
  <si>
    <t>G3 E Y F TN - 22 A 06 HS</t>
  </si>
  <si>
    <t>GRUPO "E" TN</t>
  </si>
  <si>
    <t>GRUPO B CHACARITA 22 A 06</t>
  </si>
  <si>
    <t>Grupo "F" TN</t>
  </si>
  <si>
    <t>Reinaga, Martin</t>
  </si>
  <si>
    <t>Jujuy 1917 - Quilmes</t>
  </si>
  <si>
    <t>11-5488-3961</t>
  </si>
  <si>
    <t>Argüello, Clementina</t>
  </si>
  <si>
    <t>165 N°1051 - BERNAL OESTE</t>
  </si>
  <si>
    <t>11-66372940</t>
  </si>
  <si>
    <t>PRESENTISMO GRUPO TURNO MAÑANA – OPERADORES 06 A 14</t>
  </si>
  <si>
    <t>Lamela, Agustin</t>
  </si>
  <si>
    <t>Vicente Dupuy 95 - Gonzalez Catan</t>
  </si>
  <si>
    <t>11-5915-0041</t>
  </si>
  <si>
    <t>Bernal, Maximiliano</t>
  </si>
  <si>
    <t>OSVALDO CRUZ 3890 EDIFICIO M45 PB B</t>
  </si>
  <si>
    <t>11-5131-0581 / POC 11-3873-6826</t>
  </si>
  <si>
    <t>García González, Micaela Soledad</t>
  </si>
  <si>
    <t xml:space="preserve">Murguiondo 2915 caba </t>
  </si>
  <si>
    <t>11-4980-3326</t>
  </si>
  <si>
    <t xml:space="preserve">HORARIO DE LACTANCIA DE 06 A 12HS </t>
  </si>
  <si>
    <t>Rasjido, Aldana</t>
  </si>
  <si>
    <t>ROBERTO PETRACCA 146 - MONTEGRANDE</t>
  </si>
  <si>
    <t>11-4039-8761</t>
  </si>
  <si>
    <t xml:space="preserve">Gutierrez Natalia </t>
  </si>
  <si>
    <t>Cafayate 5000 Torre 6 Piso15A- V Lugano CABA</t>
  </si>
  <si>
    <t>11-2317-8514</t>
  </si>
  <si>
    <t>DEVUELVE EL 4/09 CG</t>
  </si>
  <si>
    <t>Grupo "C" TM</t>
  </si>
  <si>
    <t>Guerry, Luciana</t>
  </si>
  <si>
    <t>IBAÑEZ 2136- CIUDAD EVITA</t>
  </si>
  <si>
    <t>11-2282-2307 / POC 11-7181-3515</t>
  </si>
  <si>
    <t>Guerra, Daiana</t>
  </si>
  <si>
    <t xml:space="preserve">White 2300-CABA, Parque Avellaneda </t>
  </si>
  <si>
    <t>11-66002797</t>
  </si>
  <si>
    <t>Los dias martes se retira antes 13:15 HS</t>
  </si>
  <si>
    <t>Pereira, Analía</t>
  </si>
  <si>
    <t>GOLETA MALDONADO 5957, V. LUGANO</t>
  </si>
  <si>
    <t>11-6571-7286</t>
  </si>
  <si>
    <t>Romero, Alejandra</t>
  </si>
  <si>
    <t>ORTIZ 1709 ED 69 2°D - LA MATANZA</t>
  </si>
  <si>
    <t>11-2340-0002</t>
  </si>
  <si>
    <t>CG 6/09 CUBRE A LAMBOGLIA</t>
  </si>
  <si>
    <t>Grupo E TM</t>
  </si>
  <si>
    <t>Tobares, Sabrina</t>
  </si>
  <si>
    <t>COMODORO CEFERINO RAMIREZ 5450</t>
  </si>
  <si>
    <t>11-6308-9728 / POC 11-6608-2843</t>
  </si>
  <si>
    <t xml:space="preserve">horario de 09 a 16 hs- Realiza modalidad 4x2 Fijo </t>
  </si>
  <si>
    <t>Gorga, Melina Daniela</t>
  </si>
  <si>
    <t>CONDOR 1830 - CABA</t>
  </si>
  <si>
    <t>11-5403-0605</t>
  </si>
  <si>
    <t>Blanco Kiara</t>
  </si>
  <si>
    <t xml:space="preserve">		INDEPENDENCIA 262 DTO. 2 A ,MONTE GRANDE</t>
  </si>
  <si>
    <t>11-54702212</t>
  </si>
  <si>
    <t>Demarco, Antonella</t>
  </si>
  <si>
    <t xml:space="preserve">La chuña 140 - Cuidad de Evita </t>
  </si>
  <si>
    <t>4/09 CG PC. Gutierrez</t>
  </si>
  <si>
    <t>Lamboglia, Lautaro Martin</t>
  </si>
  <si>
    <t>SAN MARTIN 3826 - LOMAS DEL MIRADOR</t>
  </si>
  <si>
    <t>11-5589-0173</t>
  </si>
  <si>
    <t>Martinez Donde, Santiago Agustin</t>
  </si>
  <si>
    <t>Pasaje Vicente de Simone 5420 - V. Lugano</t>
  </si>
  <si>
    <t>11-6178-2355</t>
  </si>
  <si>
    <t>CG 06/09  CUBRE ROMERO</t>
  </si>
  <si>
    <t>Escobar, Yasmin</t>
  </si>
  <si>
    <t xml:space="preserve"> GUARDIA NACIONAL 1810</t>
  </si>
  <si>
    <t>11-5343-1168</t>
  </si>
  <si>
    <t>Naranjo, Jeniffer</t>
  </si>
  <si>
    <t>CURUPAYTI 1044 - LOMAS DEL MIRADOR</t>
  </si>
  <si>
    <t>11-2295-3952</t>
  </si>
  <si>
    <t>Firme, Maria</t>
  </si>
  <si>
    <t>Racedo 5879 - CABA</t>
  </si>
  <si>
    <t>11-6036-5023</t>
  </si>
  <si>
    <t>Correa, Belen Soledad</t>
  </si>
  <si>
    <t xml:space="preserve">Mariano Acosta 3500 </t>
  </si>
  <si>
    <t>11-3626-4922</t>
  </si>
  <si>
    <t>Galvan, Daiana Mercedes</t>
  </si>
  <si>
    <t xml:space="preserve"> LEOPARDI 5874 - Gonzalez Catan </t>
  </si>
  <si>
    <t>11-3613-2563</t>
  </si>
  <si>
    <t xml:space="preserve">Palacios, Sofia </t>
  </si>
  <si>
    <t>Pedernera 2745</t>
  </si>
  <si>
    <t>11-3755-9311</t>
  </si>
  <si>
    <t xml:space="preserve">
Grupo "D" TT </t>
  </si>
  <si>
    <t>Martínez, Álvaro Maximiliano</t>
  </si>
  <si>
    <t xml:space="preserve">B. LLORENTE 6447 - Gonzalez Catan </t>
  </si>
  <si>
    <t>2966-630475</t>
  </si>
  <si>
    <t>Antunez, Nicolas</t>
  </si>
  <si>
    <t>Guanabara 40 - Virrey del Pino</t>
  </si>
  <si>
    <t>11-2569-2882</t>
  </si>
  <si>
    <t>Gonzalez, Noemi Norma</t>
  </si>
  <si>
    <t>FRANCISCO CAMET 4421-CABA</t>
  </si>
  <si>
    <t>11-3272-1483</t>
  </si>
  <si>
    <t>hasta 24/12/2026</t>
  </si>
  <si>
    <t>Canepa, Leila</t>
  </si>
  <si>
    <t>ZELADA 2640 GREGORIO DE LA FERRERE</t>
  </si>
  <si>
    <t>11-2228-0406</t>
  </si>
  <si>
    <t>Canalis, Loana Ariana</t>
  </si>
  <si>
    <t xml:space="preserve">Unanue 446- Villa Celina </t>
  </si>
  <si>
    <t>11-5027-6476</t>
  </si>
  <si>
    <t>Pinel Milagros</t>
  </si>
  <si>
    <t>Quilmes 660- Villa Celina</t>
  </si>
  <si>
    <t>11-5346-8664</t>
  </si>
  <si>
    <t>GCBA</t>
  </si>
  <si>
    <t>Villegas, Rodrigo</t>
  </si>
  <si>
    <t>Juan B. Alberdi 5862 7A – CABA</t>
  </si>
  <si>
    <t>11-3179-1264</t>
  </si>
  <si>
    <t>Alderete, Luciano</t>
  </si>
  <si>
    <t>Yatay N°5054 -  Gonzalez Catan</t>
  </si>
  <si>
    <t>11-6923-6324</t>
  </si>
  <si>
    <t>Chaparro, German Federico</t>
  </si>
  <si>
    <t xml:space="preserve">Gascon 970 - Merlo </t>
  </si>
  <si>
    <t>11-3340-3868</t>
  </si>
  <si>
    <t>Garcia, Paula Nathalia</t>
  </si>
  <si>
    <t>Ascasubi 490 - Llavallol - Lomas de Zamora</t>
  </si>
  <si>
    <t>11-44061036</t>
  </si>
  <si>
    <t>Merzario Caballero, Silvia</t>
  </si>
  <si>
    <t xml:space="preserve">Montes de Oca 799 - Barracas </t>
  </si>
  <si>
    <t>11-5843-0190</t>
  </si>
  <si>
    <t>Escalante, Mailen</t>
  </si>
  <si>
    <t>Martin Guerrico 5492 13B - CABA</t>
  </si>
  <si>
    <t>11-6223-9600</t>
  </si>
  <si>
    <t>SE RETIRA TODOS LOS DIAS DE GUARDIA 05:40, AUTORIZADO POR COMISARIO LANGE.-</t>
  </si>
  <si>
    <t>Ferreyra, Sonia Cristina</t>
  </si>
  <si>
    <t>Soldado Osvaldo Sosa 5666- Laferrere</t>
  </si>
  <si>
    <t>11-3560-1971</t>
  </si>
  <si>
    <t>LOS DIAS DE SEMANA HACE DE 23 A 06; SAB, DOM Y FERIADOS DE 22A A 06.-</t>
  </si>
  <si>
    <t xml:space="preserve">Gaona Vaca , Chiara </t>
  </si>
  <si>
    <t>Pasaje Cacique 2651 - Nueva Pompeya</t>
  </si>
  <si>
    <t>11-5150-1372</t>
  </si>
  <si>
    <t xml:space="preserve">
Grupo "E" TN </t>
  </si>
  <si>
    <t>Díaz, Luciano</t>
  </si>
  <si>
    <t>Nuevo Horizonte 272 - Lomas de Zamora</t>
  </si>
  <si>
    <t>11-7083-7803</t>
  </si>
  <si>
    <t>Quaglia, Tomas Ezequiel</t>
  </si>
  <si>
    <t>Francisco Bilbao 5889 - Mataderos</t>
  </si>
  <si>
    <t>11-41660967</t>
  </si>
  <si>
    <t>Carrera, Débora Alejandra</t>
  </si>
  <si>
    <t>Pje Santa María 346 - Lanus Oeste</t>
  </si>
  <si>
    <t>11-5661-7183</t>
  </si>
  <si>
    <t xml:space="preserve">  </t>
  </si>
  <si>
    <t>Villarrubia, Justina</t>
  </si>
  <si>
    <t xml:space="preserve">Martinez Castro - Casa 101 - Villa Soldati </t>
  </si>
  <si>
    <t>11-2721-8977</t>
  </si>
  <si>
    <t>FISCALIA</t>
  </si>
  <si>
    <t>LUNES A VIERNES DE 09 A 16 HS</t>
  </si>
  <si>
    <t>Tarillo, Ezequiel Nicolas</t>
  </si>
  <si>
    <t>11-6945-6357</t>
  </si>
  <si>
    <t>Friedl, Martín</t>
  </si>
  <si>
    <t>11-5122-8707</t>
  </si>
  <si>
    <t>12X36 Hs - GRUPO 1</t>
  </si>
  <si>
    <t>Achuma, Romina</t>
  </si>
  <si>
    <t>LURO 836- GLEW</t>
  </si>
  <si>
    <t>11-4157-9414</t>
  </si>
  <si>
    <t>PASA AL GRUPO E TN-</t>
  </si>
  <si>
    <t>Fernandez Angelina</t>
  </si>
  <si>
    <t>LA MECA 1446 - FLORENCIO VARELA</t>
  </si>
  <si>
    <t xml:space="preserve">11 2238-2876 </t>
  </si>
  <si>
    <t>Martínez, Jimena Giselle</t>
  </si>
  <si>
    <t>Calle 816 Nº445 - Zeballos</t>
  </si>
  <si>
    <t>11-6912-4808</t>
  </si>
  <si>
    <t>12X36 Hs - GRUPO 2</t>
  </si>
  <si>
    <t>Guzmán, Fernando</t>
  </si>
  <si>
    <t>Angel della valle 3891 - Glew</t>
  </si>
  <si>
    <t>11-5793-4188</t>
  </si>
  <si>
    <t>Gonzalez, Melanie</t>
  </si>
  <si>
    <t>25 de Mayo 663 -Avellaneda- Dock Sud</t>
  </si>
  <si>
    <t>11-2541-1357</t>
  </si>
  <si>
    <t>12X60 Hs - GRUPO 3</t>
  </si>
  <si>
    <t>Berardi, Fernando</t>
  </si>
  <si>
    <t>Av. alte.Brown 742 26-caba</t>
  </si>
  <si>
    <t>15-2160-1408</t>
  </si>
  <si>
    <t xml:space="preserve">Pipa Marina Lidia </t>
  </si>
  <si>
    <t>Osvaldo Cruz - Manzana 53- casa 39 - CABA</t>
  </si>
  <si>
    <t>11-2489-5298</t>
  </si>
  <si>
    <t>12X60 Hs - GRUPO 4</t>
  </si>
  <si>
    <t xml:space="preserve">Paez Maria </t>
  </si>
  <si>
    <t>LOBOS 721 - LA MATANZA</t>
  </si>
  <si>
    <t>15-6595-5738</t>
  </si>
  <si>
    <t>Reinozo, Ivan Mauro</t>
  </si>
  <si>
    <t xml:space="preserve">Iriarte 3850 -Nueva Pompeya </t>
  </si>
  <si>
    <t>11-64716921</t>
  </si>
  <si>
    <t>12X60 Hs - GRUPO 5</t>
  </si>
  <si>
    <t>Ríos Pérez, Karina</t>
  </si>
  <si>
    <t>Río Cuarto 3241- CABA</t>
  </si>
  <si>
    <t>11-3093-7432</t>
  </si>
  <si>
    <t xml:space="preserve">Avila Cinthia </t>
  </si>
  <si>
    <t>Av. Croacia 1706 - Jose C. Paz</t>
  </si>
  <si>
    <t>11-3247-5388</t>
  </si>
  <si>
    <t>Dominguez, Valeria Mariana</t>
  </si>
  <si>
    <t>Franciso de morazans 778, Banfield Oeste</t>
  </si>
  <si>
    <t>11-5107-0212</t>
  </si>
  <si>
    <t>DEJA DE PERTENECER A ESTA DIVISION</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</si>
</sst>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2C0A]General"/>
    <numFmt numFmtId="165" formatCode="dd/mm"/>
    <numFmt numFmtId="166" formatCode="#,##0.00\ [$€-1]"/>
    <numFmt numFmtId="167" formatCode="[$-2C0A]#,##0"/>
  </numFmts>
  <fonts count="45">
    <font>
      <sz val="11.0"/>
      <color theme="1"/>
      <name val="Calibri"/>
      <scheme val="minor"/>
    </font>
    <font>
      <b/>
      <sz val="10.0"/>
      <color rgb="FF000000"/>
      <name val="Calibri"/>
    </font>
    <font/>
    <font>
      <sz val="10.0"/>
      <color theme="1"/>
      <name val="Calibri"/>
    </font>
    <font>
      <b/>
      <sz val="11.0"/>
      <color rgb="FFFF0000"/>
      <name val="&quot;Source Sans Pro&quot;"/>
    </font>
    <font>
      <b/>
      <sz val="10.0"/>
      <color theme="1"/>
      <name val="Calibri"/>
    </font>
    <font>
      <sz val="10.0"/>
      <color theme="1"/>
      <name val="Arial"/>
    </font>
    <font>
      <b/>
      <sz val="11.0"/>
      <color theme="1"/>
      <name val="Calibri"/>
    </font>
    <font>
      <sz val="11.0"/>
      <color theme="1"/>
      <name val="Calibri"/>
    </font>
    <font>
      <sz val="10.0"/>
      <color rgb="FF000000"/>
      <name val="Calibri"/>
    </font>
    <font>
      <sz val="10.0"/>
      <color rgb="FF000000"/>
      <name val="Roboto"/>
    </font>
    <font>
      <sz val="10.0"/>
      <color rgb="FF000000"/>
      <name val="Arial"/>
    </font>
    <font>
      <sz val="10.0"/>
      <color rgb="FFFFFFFF"/>
      <name val="Calibri"/>
    </font>
    <font>
      <sz val="11.0"/>
      <color rgb="FF000000"/>
      <name val="Calibri"/>
    </font>
    <font>
      <color theme="1"/>
      <name val="Calibri"/>
    </font>
    <font>
      <color rgb="FF000000"/>
      <name val="Calibri"/>
    </font>
    <font>
      <sz val="9.0"/>
      <color theme="1"/>
      <name val="Calibri"/>
    </font>
    <font>
      <sz val="8.0"/>
      <color rgb="FF000000"/>
      <name val="Calibri"/>
    </font>
    <font>
      <sz val="8.0"/>
      <color theme="1"/>
      <name val="Calibri"/>
    </font>
    <font>
      <color theme="1"/>
      <name val="Arial"/>
    </font>
    <font>
      <sz val="9.0"/>
      <color rgb="FF000000"/>
      <name val="Calibri"/>
    </font>
    <font>
      <sz val="9.0"/>
      <color rgb="FF000000"/>
      <name val="Arial"/>
    </font>
    <font>
      <b/>
      <sz val="10.0"/>
      <color rgb="FFFFFFFF"/>
      <name val="Calibri"/>
    </font>
    <font>
      <sz val="11.0"/>
      <color rgb="FFFF0000"/>
      <name val="Calibri"/>
    </font>
    <font>
      <sz val="11.0"/>
      <color theme="1"/>
      <name val="Roboto"/>
    </font>
    <font>
      <b/>
      <sz val="10.0"/>
      <color rgb="FFFFFFFF"/>
      <name val="Arial"/>
    </font>
    <font>
      <color theme="1"/>
      <name val="Calibri"/>
      <scheme val="minor"/>
    </font>
    <font>
      <sz val="9.0"/>
      <color theme="1"/>
      <name val="Arial"/>
    </font>
    <font>
      <sz val="9.0"/>
      <color rgb="FFFF0000"/>
      <name val="Calibri"/>
    </font>
    <font>
      <b/>
      <color theme="1"/>
      <name val="Calibri"/>
    </font>
    <font>
      <sz val="8.0"/>
      <color rgb="FF000000"/>
      <name val="Arial"/>
    </font>
    <font>
      <sz val="10.0"/>
      <color rgb="FFFFFFFF"/>
      <name val="Arial"/>
    </font>
    <font>
      <sz val="11.0"/>
      <color rgb="FF444746"/>
      <name val="&quot;Google Sans&quot;"/>
    </font>
    <font>
      <sz val="11.0"/>
      <color theme="1"/>
      <name val="Arial"/>
    </font>
    <font>
      <sz val="11.0"/>
      <color rgb="FFFFFFFF"/>
      <name val="Calibri"/>
    </font>
    <font>
      <b/>
      <sz val="9.0"/>
      <color rgb="FFFFFFFF"/>
      <name val="Calibri"/>
    </font>
    <font>
      <sz val="8.0"/>
      <color theme="1"/>
      <name val="Arial"/>
    </font>
    <font>
      <b/>
      <i/>
      <sz val="10.0"/>
      <color rgb="FF000000"/>
      <name val="Calibri"/>
    </font>
    <font>
      <b/>
      <sz val="14.0"/>
      <color theme="1"/>
      <name val="Calibri"/>
    </font>
    <font>
      <i/>
      <sz val="10.0"/>
      <color theme="1"/>
      <name val="Calibri"/>
    </font>
    <font>
      <color rgb="FF000000"/>
      <name val="Docs-Calibri"/>
    </font>
    <font>
      <b/>
      <sz val="10.0"/>
      <color rgb="FF000000"/>
      <name val="Arial"/>
    </font>
    <font>
      <b/>
      <sz val="14.0"/>
      <color rgb="FF000000"/>
      <name val="Calibri"/>
    </font>
    <font>
      <color rgb="FFFFFFFF"/>
      <name val="Arial"/>
    </font>
    <font>
      <i/>
      <sz val="10.0"/>
      <color rgb="FF000000"/>
      <name val="Calibri"/>
    </font>
  </fonts>
  <fills count="49">
    <fill>
      <patternFill patternType="none"/>
    </fill>
    <fill>
      <patternFill patternType="lightGray"/>
    </fill>
    <fill>
      <patternFill patternType="solid">
        <fgColor rgb="FFD9D2E9"/>
        <bgColor rgb="FFD9D2E9"/>
      </patternFill>
    </fill>
    <fill>
      <patternFill patternType="solid">
        <fgColor rgb="FFF8CBAD"/>
        <bgColor rgb="FFF8CBAD"/>
      </patternFill>
    </fill>
    <fill>
      <patternFill patternType="solid">
        <fgColor rgb="FFADB9CA"/>
        <bgColor rgb="FFADB9CA"/>
      </patternFill>
    </fill>
    <fill>
      <patternFill patternType="solid">
        <fgColor rgb="FFB4A7D6"/>
        <bgColor rgb="FFB4A7D6"/>
      </patternFill>
    </fill>
    <fill>
      <patternFill patternType="solid">
        <fgColor rgb="FFD9EAD3"/>
        <bgColor rgb="FFD9EAD3"/>
      </patternFill>
    </fill>
    <fill>
      <patternFill patternType="solid">
        <fgColor rgb="FF00FFFF"/>
        <bgColor rgb="FF00FFFF"/>
      </patternFill>
    </fill>
    <fill>
      <patternFill patternType="solid">
        <fgColor rgb="FFFFFFFF"/>
        <bgColor rgb="FFFFFFFF"/>
      </patternFill>
    </fill>
    <fill>
      <patternFill patternType="solid">
        <fgColor rgb="FFFF9900"/>
        <bgColor rgb="FFFF9900"/>
      </patternFill>
    </fill>
    <fill>
      <patternFill patternType="solid">
        <fgColor rgb="FFFFFF99"/>
        <bgColor rgb="FFFFFF99"/>
      </patternFill>
    </fill>
    <fill>
      <patternFill patternType="solid">
        <fgColor rgb="FF9CC2E5"/>
        <bgColor rgb="FF9CC2E5"/>
      </patternFill>
    </fill>
    <fill>
      <patternFill patternType="solid">
        <fgColor rgb="FF000000"/>
        <bgColor rgb="FF000000"/>
      </patternFill>
    </fill>
    <fill>
      <patternFill patternType="solid">
        <fgColor theme="0"/>
        <bgColor theme="0"/>
      </patternFill>
    </fill>
    <fill>
      <patternFill patternType="solid">
        <fgColor rgb="FF93C47D"/>
        <bgColor rgb="FF93C47D"/>
      </patternFill>
    </fill>
    <fill>
      <patternFill patternType="solid">
        <fgColor rgb="FFF8F9FA"/>
        <bgColor rgb="FFF8F9FA"/>
      </patternFill>
    </fill>
    <fill>
      <patternFill patternType="solid">
        <fgColor rgb="FFF7CAAC"/>
        <bgColor rgb="FFF7CAAC"/>
      </patternFill>
    </fill>
    <fill>
      <patternFill patternType="solid">
        <fgColor rgb="FFA4C2F4"/>
        <bgColor rgb="FFA4C2F4"/>
      </patternFill>
    </fill>
    <fill>
      <patternFill patternType="solid">
        <fgColor rgb="FFB6D7A8"/>
        <bgColor rgb="FFB6D7A8"/>
      </patternFill>
    </fill>
    <fill>
      <patternFill patternType="solid">
        <fgColor rgb="FF34A853"/>
        <bgColor rgb="FF34A853"/>
      </patternFill>
    </fill>
    <fill>
      <patternFill patternType="solid">
        <fgColor rgb="FF6AA84F"/>
        <bgColor rgb="FF6AA84F"/>
      </patternFill>
    </fill>
    <fill>
      <patternFill patternType="solid">
        <fgColor rgb="FFA6A6A6"/>
        <bgColor rgb="FFA6A6A6"/>
      </patternFill>
    </fill>
    <fill>
      <patternFill patternType="solid">
        <fgColor rgb="FFFF0000"/>
        <bgColor rgb="FFFF0000"/>
      </patternFill>
    </fill>
    <fill>
      <patternFill patternType="solid">
        <fgColor rgb="FF2E75B6"/>
        <bgColor rgb="FF2E75B6"/>
      </patternFill>
    </fill>
    <fill>
      <patternFill patternType="solid">
        <fgColor rgb="FF6D9EEB"/>
        <bgColor rgb="FF6D9EEB"/>
      </patternFill>
    </fill>
    <fill>
      <patternFill patternType="solid">
        <fgColor rgb="FF4A86E8"/>
        <bgColor rgb="FF4A86E8"/>
      </patternFill>
    </fill>
    <fill>
      <patternFill patternType="solid">
        <fgColor rgb="FF3C78D8"/>
        <bgColor rgb="FF3C78D8"/>
      </patternFill>
    </fill>
    <fill>
      <patternFill patternType="solid">
        <fgColor rgb="FF8E7CC3"/>
        <bgColor rgb="FF8E7CC3"/>
      </patternFill>
    </fill>
    <fill>
      <patternFill patternType="solid">
        <fgColor rgb="FFC9DAF8"/>
        <bgColor rgb="FFC9DAF8"/>
      </patternFill>
    </fill>
    <fill>
      <patternFill patternType="solid">
        <fgColor rgb="FFF4CCCC"/>
        <bgColor rgb="FFF4CCCC"/>
      </patternFill>
    </fill>
    <fill>
      <patternFill patternType="solid">
        <fgColor rgb="FFB45F06"/>
        <bgColor rgb="FFB45F06"/>
      </patternFill>
    </fill>
    <fill>
      <patternFill patternType="solid">
        <fgColor rgb="FFD0E0E3"/>
        <bgColor rgb="FFD0E0E3"/>
      </patternFill>
    </fill>
    <fill>
      <patternFill patternType="solid">
        <fgColor rgb="FF85DCEB"/>
        <bgColor rgb="FF85DCEB"/>
      </patternFill>
    </fill>
    <fill>
      <patternFill patternType="solid">
        <fgColor rgb="FFC6EAF0"/>
        <bgColor rgb="FFC6EAF0"/>
      </patternFill>
    </fill>
    <fill>
      <patternFill patternType="solid">
        <fgColor rgb="FFCCCCCC"/>
        <bgColor rgb="FFCCCCCC"/>
      </patternFill>
    </fill>
    <fill>
      <patternFill patternType="solid">
        <fgColor rgb="FFF6F8F9"/>
        <bgColor rgb="FFF6F8F9"/>
      </patternFill>
    </fill>
    <fill>
      <patternFill patternType="solid">
        <fgColor rgb="FF9FC5E8"/>
        <bgColor rgb="FF9FC5E8"/>
      </patternFill>
    </fill>
    <fill>
      <patternFill patternType="solid">
        <fgColor rgb="FFFFF2CC"/>
        <bgColor rgb="FFFFF2CC"/>
      </patternFill>
    </fill>
    <fill>
      <patternFill patternType="solid">
        <fgColor rgb="FFD5A6BD"/>
        <bgColor rgb="FFD5A6BD"/>
      </patternFill>
    </fill>
    <fill>
      <patternFill patternType="solid">
        <fgColor theme="8"/>
        <bgColor theme="8"/>
      </patternFill>
    </fill>
    <fill>
      <patternFill patternType="solid">
        <fgColor rgb="FFFFE599"/>
        <bgColor rgb="FFFFE599"/>
      </patternFill>
    </fill>
    <fill>
      <patternFill patternType="solid">
        <fgColor rgb="FFFFE598"/>
        <bgColor rgb="FFFFE598"/>
      </patternFill>
    </fill>
    <fill>
      <patternFill patternType="solid">
        <fgColor rgb="FFF3F3F3"/>
        <bgColor rgb="FFF3F3F3"/>
      </patternFill>
    </fill>
    <fill>
      <patternFill patternType="solid">
        <fgColor rgb="FF7F6000"/>
        <bgColor rgb="FF7F6000"/>
      </patternFill>
    </fill>
    <fill>
      <patternFill patternType="solid">
        <fgColor rgb="FFCFE2F3"/>
        <bgColor rgb="FFCFE2F3"/>
      </patternFill>
    </fill>
    <fill>
      <patternFill patternType="solid">
        <fgColor theme="1"/>
        <bgColor theme="1"/>
      </patternFill>
    </fill>
    <fill>
      <patternFill patternType="solid">
        <fgColor rgb="FFCC0000"/>
        <bgColor rgb="FFCC0000"/>
      </patternFill>
    </fill>
    <fill>
      <patternFill patternType="solid">
        <fgColor rgb="FFFF00FF"/>
        <bgColor rgb="FFFF00FF"/>
      </patternFill>
    </fill>
    <fill>
      <patternFill patternType="solid">
        <fgColor theme="9"/>
        <bgColor theme="9"/>
      </patternFill>
    </fill>
  </fills>
  <borders count="69">
    <border/>
    <border>
      <left style="thin">
        <color rgb="FF000000"/>
      </left>
      <top/>
      <bottom style="thin">
        <color rgb="FF000000"/>
      </bottom>
    </border>
    <border>
      <top/>
      <bottom style="thin">
        <color rgb="FF000000"/>
      </bottom>
    </border>
    <border>
      <right style="thin">
        <color rgb="FF000000"/>
      </right>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left style="thin">
        <color rgb="FF000000"/>
      </left>
      <right style="thin">
        <color rgb="FF000000"/>
      </right>
      <top style="thin">
        <color rgb="FF000000"/>
      </top>
      <bottom style="thin">
        <color rgb="FF000000"/>
      </bottom>
    </border>
    <border>
      <left/>
      <top/>
      <bottom/>
    </border>
    <border>
      <right style="thin">
        <color rgb="FF000000"/>
      </right>
      <top style="thin">
        <color rgb="FF000000"/>
      </top>
      <bottom style="thin">
        <color rgb="FF000000"/>
      </bottom>
    </border>
    <border>
      <top/>
      <bottom/>
    </border>
    <border>
      <left/>
      <right/>
      <top/>
      <bottom/>
    </border>
    <border>
      <left style="thin">
        <color rgb="FF000000"/>
      </left>
      <right style="thin">
        <color rgb="FF000000"/>
      </right>
      <top/>
      <bottom style="thin">
        <color rgb="FF000000"/>
      </bottom>
    </border>
    <border>
      <left/>
      <right style="thin">
        <color rgb="FF000000"/>
      </right>
      <top/>
      <bottom style="thin">
        <color rgb="FF000000"/>
      </bottom>
    </border>
    <border>
      <right/>
      <top/>
      <bottom/>
    </border>
    <border>
      <right/>
      <top style="thin">
        <color rgb="FF000000"/>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
      <left style="thin">
        <color rgb="FF000000"/>
      </left>
      <right/>
      <top style="thin">
        <color rgb="FF000000"/>
      </top>
      <bottom style="thin">
        <color rgb="FF000000"/>
      </bottom>
    </border>
    <border>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top style="thin">
        <color rgb="FF000000"/>
      </top>
    </border>
    <border>
      <left/>
      <right/>
      <top/>
      <bottom style="thin">
        <color rgb="FF000000"/>
      </bottom>
    </border>
    <border>
      <bottom style="thin">
        <color rgb="FF000000"/>
      </bottom>
    </border>
    <border>
      <left/>
      <right style="thin">
        <color rgb="FF000000"/>
      </right>
      <bottom style="thin">
        <color rgb="FF000000"/>
      </bottom>
    </border>
    <border>
      <left/>
      <bottom/>
    </border>
    <border>
      <bottom/>
    </border>
    <border>
      <right/>
      <bottom/>
    </border>
    <border>
      <left style="thin">
        <color rgb="FF000000"/>
      </left>
      <right style="thin">
        <color rgb="FF000000"/>
      </right>
      <top style="thin">
        <color rgb="FF000000"/>
      </top>
      <bottom/>
    </border>
    <border>
      <left style="thin">
        <color rgb="FF000000"/>
      </left>
      <right style="thin">
        <color rgb="FF000000"/>
      </right>
    </border>
    <border>
      <left/>
      <right style="thin">
        <color rgb="FF000000"/>
      </right>
      <top/>
      <bottom/>
    </border>
    <border>
      <left/>
      <right/>
      <bottom/>
    </border>
    <border>
      <left/>
      <top/>
      <bottom style="thin">
        <color rgb="FF000000"/>
      </bottom>
    </border>
    <border>
      <left style="thin">
        <color rgb="FF000000"/>
      </left>
      <right/>
      <top/>
      <bottom style="thin">
        <color rgb="FF000000"/>
      </bottom>
    </border>
    <border>
      <left style="thin">
        <color rgb="FF000000"/>
      </left>
      <bottom style="thin">
        <color rgb="FF000000"/>
      </bottom>
    </border>
    <border>
      <left/>
      <right/>
      <top style="thin">
        <color rgb="FF000000"/>
      </top>
      <bottom style="thin">
        <color rgb="FF000000"/>
      </bottom>
    </border>
    <border>
      <right/>
      <top/>
      <bottom style="thin">
        <color rgb="FF000000"/>
      </bottom>
    </border>
    <border>
      <left style="thin">
        <color rgb="FF000000"/>
      </left>
      <right style="thin">
        <color rgb="FF000000"/>
      </right>
      <top/>
      <bottom/>
    </border>
    <border>
      <left/>
      <right style="thin">
        <color rgb="FF000000"/>
      </right>
      <top/>
    </border>
    <border>
      <left/>
      <right style="thin">
        <color rgb="FF000000"/>
      </right>
    </border>
    <border>
      <left/>
      <right style="thin">
        <color rgb="FF000000"/>
      </right>
      <bottom style="thick">
        <color rgb="FF000000"/>
      </bottom>
    </border>
    <border>
      <left style="thin">
        <color rgb="FF000000"/>
      </left>
      <right style="thin">
        <color rgb="FF000000"/>
      </right>
      <top style="thin">
        <color rgb="FF000000"/>
      </top>
      <bottom style="thick">
        <color rgb="FF000000"/>
      </bottom>
    </border>
    <border>
      <left/>
      <right/>
      <top/>
    </border>
    <border>
      <left style="thin">
        <color rgb="FF000000"/>
      </left>
      <right style="thin">
        <color rgb="FF000000"/>
      </right>
      <top style="thick">
        <color rgb="FF000000"/>
      </top>
      <bottom style="thin">
        <color rgb="FF000000"/>
      </bottom>
    </border>
    <border>
      <left/>
      <right style="thin">
        <color rgb="FF000000"/>
      </right>
      <top style="thick">
        <color rgb="FF000000"/>
      </top>
      <bottom style="thin">
        <color rgb="FF000000"/>
      </bottom>
    </border>
    <border>
      <left/>
      <right/>
      <bottom style="thick">
        <color rgb="FF000000"/>
      </bottom>
    </border>
    <border>
      <left style="thin">
        <color rgb="FF000000"/>
      </left>
      <right style="thin">
        <color rgb="FF000000"/>
      </right>
      <top/>
      <bottom style="thick">
        <color rgb="FF000000"/>
      </bottom>
    </border>
    <border>
      <left/>
      <right style="thin">
        <color rgb="FF000000"/>
      </right>
      <top/>
      <bottom style="thick">
        <color rgb="FF000000"/>
      </bottom>
    </border>
    <border>
      <left/>
      <right/>
    </border>
    <border>
      <left/>
      <right/>
      <top/>
      <bottom style="thick">
        <color rgb="FF000000"/>
      </bottom>
    </border>
    <border>
      <left style="thin">
        <color rgb="FF000000"/>
      </left>
      <right style="thin">
        <color rgb="FF000000"/>
      </right>
      <top style="thick">
        <color rgb="FF000000"/>
      </top>
      <bottom/>
    </border>
    <border>
      <left/>
      <right style="thin">
        <color rgb="FF000000"/>
      </right>
      <top style="thick">
        <color rgb="FF000000"/>
      </top>
      <bottom/>
    </border>
    <border>
      <left style="thin">
        <color rgb="FF000000"/>
      </left>
      <top style="thin">
        <color rgb="FF000000"/>
      </top>
      <bottom style="thick">
        <color rgb="FF000000"/>
      </bottom>
    </border>
    <border>
      <top style="thin">
        <color rgb="FF000000"/>
      </top>
      <bottom style="thick">
        <color rgb="FF000000"/>
      </bottom>
    </border>
    <border>
      <right style="thin">
        <color rgb="FF000000"/>
      </right>
      <top style="thin">
        <color rgb="FF000000"/>
      </top>
      <bottom style="thick">
        <color rgb="FF000000"/>
      </bottom>
    </border>
    <border>
      <left style="thick">
        <color rgb="FF000000"/>
      </left>
      <top style="thick">
        <color rgb="FF000000"/>
      </top>
      <bottom style="thick">
        <color rgb="FF000000"/>
      </bottom>
    </border>
    <border>
      <top style="thick">
        <color rgb="FF000000"/>
      </top>
      <bottom style="thick">
        <color rgb="FF000000"/>
      </bottom>
    </border>
    <border>
      <right style="thick">
        <color rgb="FF000000"/>
      </right>
      <top style="thick">
        <color rgb="FF000000"/>
      </top>
      <bottom style="thick">
        <color rgb="FF000000"/>
      </bottom>
    </border>
    <border>
      <left/>
      <right style="thin">
        <color rgb="FF000000"/>
      </right>
      <top style="thin">
        <color rgb="FF000000"/>
      </top>
    </border>
    <border>
      <left style="thin">
        <color rgb="FF000000"/>
      </left>
      <right/>
      <top style="thin">
        <color rgb="FF000000"/>
      </top>
    </border>
    <border>
      <left/>
      <right style="thin">
        <color rgb="FF000000"/>
      </right>
      <top style="thin">
        <color rgb="FF000000"/>
      </top>
      <bottom/>
    </border>
    <border>
      <left/>
      <top style="thin">
        <color rgb="FF000000"/>
      </top>
      <bottom style="thin">
        <color rgb="FF000000"/>
      </bottom>
    </border>
    <border>
      <left/>
      <right style="thin">
        <color rgb="FF000000"/>
      </right>
      <top style="thin">
        <color rgb="FF000000"/>
      </top>
      <bottom style="thick">
        <color rgb="FF000000"/>
      </bottom>
    </border>
    <border>
      <left style="thin">
        <color rgb="FF000000"/>
      </left>
      <right/>
      <top style="thin">
        <color rgb="FF000000"/>
      </top>
      <bottom style="thick">
        <color rgb="FF000000"/>
      </bottom>
    </border>
    <border>
      <left style="thin">
        <color rgb="FF000000"/>
      </left>
      <right style="thin">
        <color rgb="FF000000"/>
      </right>
      <top/>
    </border>
    <border>
      <left/>
      <right/>
      <top style="thick">
        <color rgb="FF000000"/>
      </top>
      <bottom style="thin">
        <color rgb="FF000000"/>
      </bottom>
    </border>
    <border>
      <left style="thin">
        <color rgb="FF000000"/>
      </left>
      <top/>
      <bottom/>
    </border>
    <border>
      <left style="thin">
        <color rgb="FF000000"/>
      </left>
      <right/>
      <bottom style="thin">
        <color rgb="FF000000"/>
      </bottom>
    </border>
    <border>
      <left style="thin">
        <color rgb="FF000000"/>
      </left>
      <right/>
      <top/>
    </border>
    <border>
      <right/>
      <bottom style="thin">
        <color rgb="FF000000"/>
      </bottom>
    </border>
  </borders>
  <cellStyleXfs count="1">
    <xf borderId="0" fillId="0" fontId="0" numFmtId="0" applyAlignment="1" applyFont="1"/>
  </cellStyleXfs>
  <cellXfs count="968">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wrapText="1"/>
    </xf>
    <xf borderId="2" fillId="0" fontId="2" numFmtId="0" xfId="0" applyBorder="1" applyFont="1"/>
    <xf borderId="3" fillId="0" fontId="2" numFmtId="0" xfId="0" applyBorder="1" applyFont="1"/>
    <xf borderId="4" fillId="3" fontId="1" numFmtId="0" xfId="0" applyAlignment="1" applyBorder="1" applyFill="1" applyFont="1">
      <alignment horizontal="center" readingOrder="0" vertical="center"/>
    </xf>
    <xf borderId="1" fillId="4" fontId="3" numFmtId="0" xfId="0" applyAlignment="1" applyBorder="1" applyFill="1" applyFont="1">
      <alignment horizontal="center" readingOrder="0"/>
    </xf>
    <xf borderId="5" fillId="0" fontId="2" numFmtId="0" xfId="0" applyBorder="1" applyFont="1"/>
    <xf borderId="6" fillId="4" fontId="3" numFmtId="164" xfId="0" applyAlignment="1" applyBorder="1" applyFill="1" applyFont="1" applyNumberFormat="1">
      <alignment horizontal="center"/>
    </xf>
    <xf borderId="7" fillId="5" fontId="4" numFmtId="0" xfId="0" applyAlignment="1" applyBorder="1" applyFill="1" applyFont="1">
      <alignment horizontal="center" readingOrder="0"/>
    </xf>
    <xf borderId="6" fillId="4" fontId="5" numFmtId="164" xfId="0" applyAlignment="1" applyBorder="1" applyFill="1" applyFont="1" applyNumberFormat="1">
      <alignment horizontal="center"/>
    </xf>
    <xf borderId="6" fillId="4" fontId="3" numFmtId="164" xfId="0" applyAlignment="1" applyBorder="1" applyFill="1" applyFont="1" applyNumberFormat="1">
      <alignment horizontal="center" readingOrder="0"/>
    </xf>
    <xf borderId="8" fillId="0" fontId="2" numFmtId="0" xfId="0" applyBorder="1" applyFont="1"/>
    <xf borderId="9" fillId="0" fontId="2" numFmtId="0" xfId="0" applyBorder="1" applyFont="1"/>
    <xf borderId="10" fillId="4" fontId="5" numFmtId="164" xfId="0" applyAlignment="1" applyBorder="1" applyFill="1" applyFont="1" applyNumberFormat="1">
      <alignment horizontal="center"/>
    </xf>
    <xf borderId="10" fillId="6" fontId="6" numFmtId="0" xfId="0" applyAlignment="1" applyBorder="1" applyFill="1" applyFont="1">
      <alignment horizontal="left"/>
    </xf>
    <xf borderId="0" fillId="4" fontId="5" numFmtId="164" xfId="0" applyAlignment="1" applyFill="1" applyFont="1" applyNumberFormat="1">
      <alignment horizontal="center"/>
    </xf>
    <xf borderId="4" fillId="7" fontId="7" numFmtId="0" xfId="0" applyAlignment="1" applyBorder="1" applyFill="1" applyFont="1">
      <alignment horizontal="center" shrinkToFit="0" wrapText="1"/>
    </xf>
    <xf borderId="11" fillId="2" fontId="3" numFmtId="0" xfId="0" applyAlignment="1" applyBorder="1" applyFill="1" applyFont="1">
      <alignment horizontal="center"/>
    </xf>
    <xf borderId="12" fillId="2" fontId="3" numFmtId="0" xfId="0" applyBorder="1" applyFill="1" applyFont="1"/>
    <xf borderId="10" fillId="7" fontId="7" numFmtId="0" xfId="0" applyAlignment="1" applyBorder="1" applyFill="1" applyFont="1">
      <alignment horizontal="center" shrinkToFit="0" wrapText="1"/>
    </xf>
    <xf borderId="12" fillId="2" fontId="3" numFmtId="0" xfId="0" applyAlignment="1" applyBorder="1" applyFill="1" applyFont="1">
      <alignment horizontal="center"/>
    </xf>
    <xf borderId="0" fillId="0" fontId="6" numFmtId="0" xfId="0" applyFont="1"/>
    <xf borderId="12" fillId="2" fontId="3" numFmtId="0" xfId="0" applyAlignment="1" applyBorder="1" applyFill="1" applyFont="1">
      <alignment vertical="top"/>
    </xf>
    <xf borderId="13" fillId="0" fontId="2" numFmtId="0" xfId="0" applyBorder="1" applyFont="1"/>
    <xf borderId="0" fillId="0" fontId="8" numFmtId="0" xfId="0" applyAlignment="1" applyFont="1">
      <alignment horizontal="center"/>
    </xf>
    <xf borderId="4" fillId="4" fontId="5" numFmtId="0" xfId="0" applyAlignment="1" applyBorder="1" applyFill="1" applyFont="1">
      <alignment horizontal="center"/>
    </xf>
    <xf borderId="10" fillId="8" fontId="8" numFmtId="0" xfId="0" applyAlignment="1" applyBorder="1" applyFill="1" applyFont="1">
      <alignment horizontal="center"/>
    </xf>
    <xf borderId="10" fillId="4" fontId="3" numFmtId="164" xfId="0" applyAlignment="1" applyBorder="1" applyFill="1" applyFont="1" applyNumberFormat="1">
      <alignment horizontal="center"/>
    </xf>
    <xf borderId="10" fillId="6" fontId="5" numFmtId="164" xfId="0" applyAlignment="1" applyBorder="1" applyFill="1" applyFont="1" applyNumberFormat="1">
      <alignment horizontal="center"/>
    </xf>
    <xf borderId="0" fillId="8" fontId="8" numFmtId="0" xfId="0" applyAlignment="1" applyFill="1" applyFont="1">
      <alignment horizontal="center"/>
    </xf>
    <xf borderId="11" fillId="2" fontId="1" numFmtId="0" xfId="0" applyAlignment="1" applyBorder="1" applyFill="1" applyFont="1">
      <alignment horizontal="center" shrinkToFit="0" wrapText="1"/>
    </xf>
    <xf borderId="0" fillId="9" fontId="8" numFmtId="0" xfId="0" applyAlignment="1" applyFill="1" applyFont="1">
      <alignment horizontal="center" vertical="bottom"/>
    </xf>
    <xf borderId="12" fillId="2" fontId="1" numFmtId="0" xfId="0" applyBorder="1" applyFill="1" applyFont="1"/>
    <xf borderId="0" fillId="9" fontId="8" numFmtId="0" xfId="0" applyAlignment="1" applyFill="1" applyFont="1">
      <alignment horizontal="center" readingOrder="0" vertical="bottom"/>
    </xf>
    <xf borderId="4" fillId="2" fontId="3" numFmtId="0" xfId="0" applyAlignment="1" applyBorder="1" applyFill="1" applyFont="1">
      <alignment horizontal="center"/>
    </xf>
    <xf borderId="12" fillId="2" fontId="1" numFmtId="0" xfId="0" applyAlignment="1" applyBorder="1" applyFill="1" applyFont="1">
      <alignment horizontal="center" shrinkToFit="0" wrapText="1"/>
    </xf>
    <xf borderId="0" fillId="0" fontId="8" numFmtId="0" xfId="0" applyAlignment="1" applyFont="1">
      <alignment vertical="bottom"/>
    </xf>
    <xf borderId="14" fillId="0" fontId="2" numFmtId="0" xfId="0" applyBorder="1" applyFont="1"/>
    <xf borderId="15" fillId="0" fontId="3" numFmtId="0" xfId="0" applyAlignment="1" applyBorder="1" applyFont="1">
      <alignment horizontal="center"/>
    </xf>
    <xf borderId="16" fillId="0" fontId="3" numFmtId="0" xfId="0" applyBorder="1" applyFont="1"/>
    <xf borderId="16" fillId="0" fontId="3" numFmtId="0" xfId="0" applyAlignment="1" applyBorder="1" applyFont="1">
      <alignment horizontal="center"/>
    </xf>
    <xf borderId="12" fillId="2" fontId="1" numFmtId="0" xfId="0" applyAlignment="1" applyBorder="1" applyFill="1" applyFont="1">
      <alignment shrinkToFit="0" vertical="top" wrapText="1"/>
    </xf>
    <xf borderId="16" fillId="0" fontId="3" numFmtId="164" xfId="0" applyBorder="1" applyFont="1" applyNumberFormat="1"/>
    <xf borderId="12" fillId="2" fontId="1" numFmtId="0" xfId="0" applyAlignment="1" applyBorder="1" applyFill="1" applyFont="1">
      <alignment horizontal="center"/>
    </xf>
    <xf borderId="6" fillId="10" fontId="9" numFmtId="0" xfId="0" applyAlignment="1" applyBorder="1" applyFill="1" applyFont="1">
      <alignment horizontal="center"/>
    </xf>
    <xf borderId="6" fillId="0" fontId="9" numFmtId="0" xfId="0" applyAlignment="1" applyBorder="1" applyFont="1">
      <alignment horizontal="center" readingOrder="0"/>
    </xf>
    <xf borderId="17" fillId="7" fontId="8" numFmtId="0" xfId="0" applyBorder="1" applyFill="1" applyFont="1"/>
    <xf borderId="6" fillId="0" fontId="3" numFmtId="0" xfId="0" applyAlignment="1" applyBorder="1" applyFont="1">
      <alignment horizontal="center" shrinkToFit="0" vertical="center" wrapText="1"/>
    </xf>
    <xf borderId="10" fillId="8" fontId="10" numFmtId="0" xfId="0" applyAlignment="1" applyBorder="1" applyFill="1" applyFont="1">
      <alignment horizontal="center"/>
    </xf>
    <xf borderId="6" fillId="0" fontId="3" numFmtId="0" xfId="0" applyAlignment="1" applyBorder="1" applyFont="1">
      <alignment horizontal="left" vertical="center"/>
    </xf>
    <xf borderId="0" fillId="0" fontId="8" numFmtId="0" xfId="0" applyAlignment="1" applyFont="1">
      <alignment horizontal="center" readingOrder="0"/>
    </xf>
    <xf borderId="0" fillId="0" fontId="3" numFmtId="0" xfId="0" applyAlignment="1" applyFont="1">
      <alignment horizontal="left" vertical="center"/>
    </xf>
    <xf borderId="10" fillId="8" fontId="5" numFmtId="164" xfId="0" applyAlignment="1" applyBorder="1" applyFill="1" applyFont="1" applyNumberFormat="1">
      <alignment horizontal="center"/>
    </xf>
    <xf borderId="0" fillId="8" fontId="5" numFmtId="164" xfId="0" applyAlignment="1" applyFill="1" applyFont="1" applyNumberFormat="1">
      <alignment horizontal="center"/>
    </xf>
    <xf borderId="6" fillId="2" fontId="3" numFmtId="0" xfId="0" applyAlignment="1" applyBorder="1" applyFill="1" applyFont="1">
      <alignment horizontal="center"/>
    </xf>
    <xf borderId="6" fillId="4" fontId="5" numFmtId="0" xfId="0" applyAlignment="1" applyBorder="1" applyFill="1" applyFont="1">
      <alignment horizontal="center"/>
    </xf>
    <xf borderId="6" fillId="2" fontId="3" numFmtId="0" xfId="0" applyBorder="1" applyFill="1" applyFont="1"/>
    <xf borderId="6" fillId="4" fontId="5" numFmtId="0" xfId="0" applyAlignment="1" applyBorder="1" applyFill="1" applyFont="1">
      <alignment horizontal="left"/>
    </xf>
    <xf borderId="17" fillId="2" fontId="3" numFmtId="0" xfId="0" applyAlignment="1" applyBorder="1" applyFill="1" applyFont="1">
      <alignment horizontal="center"/>
    </xf>
    <xf borderId="0" fillId="6" fontId="5" numFmtId="164" xfId="0" applyAlignment="1" applyFill="1" applyFont="1" applyNumberFormat="1">
      <alignment horizontal="center"/>
    </xf>
    <xf borderId="0" fillId="0" fontId="8" numFmtId="0" xfId="0" applyAlignment="1" applyFont="1">
      <alignment horizontal="center" vertical="bottom"/>
    </xf>
    <xf borderId="6" fillId="10" fontId="3" numFmtId="0" xfId="0" applyAlignment="1" applyBorder="1" applyFill="1" applyFont="1">
      <alignment horizontal="center" vertical="center"/>
    </xf>
    <xf borderId="6" fillId="0" fontId="3" numFmtId="0" xfId="0" applyAlignment="1" applyBorder="1" applyFont="1">
      <alignment horizontal="center" vertical="center"/>
    </xf>
    <xf borderId="12" fillId="8" fontId="3" numFmtId="0" xfId="0" applyBorder="1" applyFill="1" applyFont="1"/>
    <xf borderId="16" fillId="0" fontId="3" numFmtId="0" xfId="0" applyAlignment="1" applyBorder="1" applyFont="1">
      <alignment horizontal="center" shrinkToFit="0" wrapText="1"/>
    </xf>
    <xf borderId="4" fillId="3" fontId="1" numFmtId="0" xfId="0" applyAlignment="1" applyBorder="1" applyFill="1" applyFont="1">
      <alignment horizontal="center" vertical="center"/>
    </xf>
    <xf borderId="6" fillId="8" fontId="3" numFmtId="0" xfId="0" applyAlignment="1" applyBorder="1" applyFill="1" applyFont="1">
      <alignment horizontal="center"/>
    </xf>
    <xf borderId="6" fillId="8" fontId="3" numFmtId="0" xfId="0" applyBorder="1" applyFill="1" applyFont="1"/>
    <xf borderId="6" fillId="8" fontId="3" numFmtId="164" xfId="0" applyBorder="1" applyFill="1" applyFont="1" applyNumberFormat="1"/>
    <xf borderId="17" fillId="8" fontId="3" numFmtId="0" xfId="0" applyAlignment="1" applyBorder="1" applyFill="1" applyFont="1">
      <alignment horizontal="center"/>
    </xf>
    <xf borderId="6" fillId="0" fontId="9" numFmtId="0" xfId="0" applyAlignment="1" applyBorder="1" applyFont="1">
      <alignment horizontal="center"/>
    </xf>
    <xf borderId="6" fillId="3" fontId="1" numFmtId="0" xfId="0" applyAlignment="1" applyBorder="1" applyFill="1" applyFont="1">
      <alignment horizontal="center" vertical="center"/>
    </xf>
    <xf borderId="6" fillId="0" fontId="11" numFmtId="0" xfId="0" applyAlignment="1" applyBorder="1" applyFont="1">
      <alignment horizontal="center" readingOrder="0"/>
    </xf>
    <xf borderId="6" fillId="11" fontId="3" numFmtId="0" xfId="0" applyAlignment="1" applyBorder="1" applyFill="1" applyFont="1">
      <alignment horizontal="center" vertical="center"/>
    </xf>
    <xf borderId="6" fillId="12" fontId="3" numFmtId="0" xfId="0" applyAlignment="1" applyBorder="1" applyFill="1" applyFont="1">
      <alignment horizontal="right"/>
    </xf>
    <xf borderId="6" fillId="10" fontId="11" numFmtId="0" xfId="0" applyAlignment="1" applyBorder="1" applyFill="1" applyFont="1">
      <alignment horizontal="center"/>
    </xf>
    <xf borderId="6" fillId="0" fontId="3" numFmtId="0" xfId="0" applyAlignment="1" applyBorder="1" applyFont="1">
      <alignment horizontal="center"/>
    </xf>
    <xf borderId="6" fillId="12" fontId="12" numFmtId="0" xfId="0" applyAlignment="1" applyBorder="1" applyFill="1" applyFont="1">
      <alignment horizontal="left" readingOrder="0"/>
    </xf>
    <xf borderId="6" fillId="8" fontId="3" numFmtId="0" xfId="0" applyAlignment="1" applyBorder="1" applyFill="1" applyFont="1">
      <alignment horizontal="left"/>
    </xf>
    <xf borderId="6" fillId="12" fontId="3" numFmtId="0" xfId="0" applyAlignment="1" applyBorder="1" applyFill="1" applyFont="1">
      <alignment horizontal="center"/>
    </xf>
    <xf borderId="16" fillId="0" fontId="3" numFmtId="0" xfId="0" applyAlignment="1" applyBorder="1" applyFont="1">
      <alignment vertical="top"/>
    </xf>
    <xf borderId="6" fillId="0" fontId="3" numFmtId="0" xfId="0" applyAlignment="1" applyBorder="1" applyFont="1">
      <alignment horizontal="left" shrinkToFit="0" wrapText="0"/>
    </xf>
    <xf borderId="0" fillId="8" fontId="10" numFmtId="0" xfId="0" applyAlignment="1" applyFill="1" applyFont="1">
      <alignment horizontal="center"/>
    </xf>
    <xf borderId="6" fillId="10" fontId="3" numFmtId="0" xfId="0" applyAlignment="1" applyBorder="1" applyFill="1" applyFont="1">
      <alignment horizontal="center"/>
    </xf>
    <xf borderId="6" fillId="13" fontId="3" numFmtId="0" xfId="0" applyAlignment="1" applyBorder="1" applyFill="1" applyFont="1">
      <alignment horizontal="center" readingOrder="0"/>
    </xf>
    <xf borderId="6" fillId="10" fontId="13" numFmtId="0" xfId="0" applyAlignment="1" applyBorder="1" applyFill="1" applyFont="1">
      <alignment horizontal="center" readingOrder="0" vertical="center"/>
    </xf>
    <xf borderId="6" fillId="10" fontId="3" numFmtId="0" xfId="0" applyAlignment="1" applyBorder="1" applyFill="1" applyFont="1">
      <alignment horizontal="center" readingOrder="0"/>
    </xf>
    <xf borderId="6" fillId="14" fontId="3" numFmtId="0" xfId="0" applyAlignment="1" applyBorder="1" applyFill="1" applyFont="1">
      <alignment horizontal="center" readingOrder="0" shrinkToFit="0" vertical="center" wrapText="1"/>
    </xf>
    <xf borderId="12" fillId="8" fontId="3" numFmtId="0" xfId="0" applyAlignment="1" applyBorder="1" applyFill="1" applyFont="1">
      <alignment horizontal="center"/>
    </xf>
    <xf borderId="12" fillId="15" fontId="3" numFmtId="0" xfId="0" applyAlignment="1" applyBorder="1" applyFill="1" applyFont="1">
      <alignment horizontal="center"/>
    </xf>
    <xf borderId="6" fillId="16" fontId="8" numFmtId="0" xfId="0" applyBorder="1" applyFill="1" applyFont="1"/>
    <xf borderId="6" fillId="17" fontId="9" numFmtId="0" xfId="0" applyAlignment="1" applyBorder="1" applyFill="1" applyFont="1">
      <alignment horizontal="center" readingOrder="0"/>
    </xf>
    <xf borderId="6" fillId="18" fontId="3" numFmtId="0" xfId="0" applyAlignment="1" applyBorder="1" applyFill="1" applyFont="1">
      <alignment horizontal="center" shrinkToFit="0" vertical="center" wrapText="1"/>
    </xf>
    <xf borderId="6" fillId="8" fontId="9" numFmtId="0" xfId="0" applyAlignment="1" applyBorder="1" applyFill="1" applyFont="1">
      <alignment horizontal="center" vertical="center"/>
    </xf>
    <xf borderId="6" fillId="8" fontId="9" numFmtId="0" xfId="0" applyAlignment="1" applyBorder="1" applyFill="1" applyFont="1">
      <alignment horizontal="left" vertical="center"/>
    </xf>
    <xf borderId="6" fillId="8" fontId="9" numFmtId="0" xfId="0" applyAlignment="1" applyBorder="1" applyFill="1" applyFont="1">
      <alignment horizontal="left" shrinkToFit="0" vertical="center" wrapText="0"/>
    </xf>
    <xf borderId="6" fillId="19" fontId="11" numFmtId="0" xfId="0" applyAlignment="1" applyBorder="1" applyFill="1" applyFont="1">
      <alignment horizontal="center" readingOrder="0"/>
    </xf>
    <xf borderId="6" fillId="0" fontId="3" numFmtId="164" xfId="0" applyBorder="1" applyFont="1" applyNumberFormat="1"/>
    <xf borderId="4" fillId="0" fontId="3" numFmtId="0" xfId="0" applyAlignment="1" applyBorder="1" applyFont="1">
      <alignment horizontal="center"/>
    </xf>
    <xf borderId="0" fillId="20" fontId="8" numFmtId="165" xfId="0" applyAlignment="1" applyFill="1" applyFont="1" applyNumberFormat="1">
      <alignment horizontal="center" readingOrder="0"/>
    </xf>
    <xf borderId="18" fillId="8" fontId="3" numFmtId="0" xfId="0" applyAlignment="1" applyBorder="1" applyFill="1" applyFont="1">
      <alignment horizontal="center"/>
    </xf>
    <xf borderId="16" fillId="8" fontId="3" numFmtId="0" xfId="0" applyBorder="1" applyFill="1" applyFont="1"/>
    <xf borderId="18" fillId="8" fontId="3" numFmtId="0" xfId="0" applyBorder="1" applyFill="1" applyFont="1"/>
    <xf borderId="6" fillId="8" fontId="9" numFmtId="0" xfId="0" applyAlignment="1" applyBorder="1" applyFill="1" applyFont="1">
      <alignment horizontal="center" readingOrder="0"/>
    </xf>
    <xf borderId="6" fillId="21" fontId="3" numFmtId="0" xfId="0" applyAlignment="1" applyBorder="1" applyFill="1" applyFont="1">
      <alignment horizontal="center" shrinkToFit="0" vertical="center" wrapText="1"/>
    </xf>
    <xf borderId="6" fillId="8" fontId="11" numFmtId="0" xfId="0" applyAlignment="1" applyBorder="1" applyFill="1" applyFont="1">
      <alignment horizontal="center" readingOrder="0"/>
    </xf>
    <xf borderId="6" fillId="10" fontId="9" numFmtId="0" xfId="0" applyAlignment="1" applyBorder="1" applyFill="1" applyFont="1">
      <alignment horizontal="center" readingOrder="0"/>
    </xf>
    <xf borderId="6" fillId="22" fontId="11" numFmtId="0" xfId="0" applyAlignment="1" applyBorder="1" applyFill="1" applyFont="1">
      <alignment horizontal="center" readingOrder="0"/>
    </xf>
    <xf borderId="6" fillId="8" fontId="8" numFmtId="0" xfId="0" applyAlignment="1" applyBorder="1" applyFill="1" applyFont="1">
      <alignment horizontal="center"/>
    </xf>
    <xf borderId="6" fillId="23" fontId="9" numFmtId="0" xfId="0" applyAlignment="1" applyBorder="1" applyFill="1" applyFont="1">
      <alignment horizontal="center" readingOrder="0"/>
    </xf>
    <xf borderId="6" fillId="11" fontId="6" numFmtId="0" xfId="0" applyAlignment="1" applyBorder="1" applyFill="1" applyFont="1">
      <alignment horizontal="center" vertical="center"/>
    </xf>
    <xf borderId="6" fillId="0" fontId="14" numFmtId="0" xfId="0" applyAlignment="1" applyBorder="1" applyFont="1">
      <alignment horizontal="center"/>
    </xf>
    <xf borderId="6" fillId="24" fontId="11" numFmtId="0" xfId="0" applyAlignment="1" applyBorder="1" applyFill="1" applyFont="1">
      <alignment horizontal="center" readingOrder="0"/>
    </xf>
    <xf borderId="6" fillId="25" fontId="3" numFmtId="0" xfId="0" applyAlignment="1" applyBorder="1" applyFill="1" applyFont="1">
      <alignment horizontal="center" readingOrder="0"/>
    </xf>
    <xf borderId="0" fillId="8" fontId="3" numFmtId="0" xfId="0" applyAlignment="1" applyFill="1" applyFont="1">
      <alignment horizontal="center"/>
    </xf>
    <xf borderId="11" fillId="8" fontId="3" numFmtId="0" xfId="0" applyAlignment="1" applyBorder="1" applyFill="1" applyFont="1">
      <alignment horizontal="center"/>
    </xf>
    <xf borderId="6" fillId="0" fontId="3" numFmtId="0" xfId="0" applyBorder="1" applyFont="1"/>
    <xf borderId="6" fillId="0" fontId="15" numFmtId="0" xfId="0" applyAlignment="1" applyBorder="1" applyFont="1">
      <alignment readingOrder="0" shrinkToFit="0" vertical="bottom" wrapText="0"/>
    </xf>
    <xf borderId="6" fillId="26" fontId="9" numFmtId="0" xfId="0" applyAlignment="1" applyBorder="1" applyFill="1" applyFont="1">
      <alignment horizontal="center" readingOrder="0" vertical="center"/>
    </xf>
    <xf borderId="6" fillId="23" fontId="3" numFmtId="0" xfId="0" applyAlignment="1" applyBorder="1" applyFill="1" applyFont="1">
      <alignment horizontal="center" readingOrder="0"/>
    </xf>
    <xf borderId="6" fillId="27" fontId="3" numFmtId="0" xfId="0" applyAlignment="1" applyBorder="1" applyFill="1" applyFont="1">
      <alignment horizontal="center" readingOrder="0" vertical="center"/>
    </xf>
    <xf borderId="4" fillId="12" fontId="12" numFmtId="0" xfId="0" applyAlignment="1" applyBorder="1" applyFill="1" applyFont="1">
      <alignment horizontal="center" readingOrder="0"/>
    </xf>
    <xf borderId="6" fillId="22" fontId="3" numFmtId="0" xfId="0" applyAlignment="1" applyBorder="1" applyFill="1" applyFont="1">
      <alignment horizontal="center" readingOrder="0" shrinkToFit="0" vertical="center" wrapText="1"/>
    </xf>
    <xf borderId="6" fillId="0" fontId="3" numFmtId="0" xfId="0" applyAlignment="1" applyBorder="1" applyFont="1">
      <alignment horizontal="center" readingOrder="0" shrinkToFit="0" vertical="center" wrapText="1"/>
    </xf>
    <xf borderId="6" fillId="19" fontId="8" numFmtId="0" xfId="0" applyAlignment="1" applyBorder="1" applyFill="1" applyFont="1">
      <alignment horizontal="center"/>
    </xf>
    <xf borderId="16" fillId="0" fontId="14" numFmtId="0" xfId="0" applyBorder="1" applyFont="1"/>
    <xf borderId="6" fillId="11" fontId="16" numFmtId="0" xfId="0" applyAlignment="1" applyBorder="1" applyFill="1" applyFont="1">
      <alignment horizontal="center" vertical="center"/>
    </xf>
    <xf borderId="16" fillId="0" fontId="14" numFmtId="0" xfId="0" applyAlignment="1" applyBorder="1" applyFont="1">
      <alignment horizontal="center"/>
    </xf>
    <xf borderId="6" fillId="26" fontId="17" numFmtId="0" xfId="0" applyAlignment="1" applyBorder="1" applyFill="1" applyFont="1">
      <alignment horizontal="center" readingOrder="0" vertical="center"/>
    </xf>
    <xf borderId="16" fillId="0" fontId="14" numFmtId="0" xfId="0" applyAlignment="1" applyBorder="1" applyFont="1">
      <alignment shrinkToFit="0" wrapText="0"/>
    </xf>
    <xf borderId="6" fillId="0" fontId="3" numFmtId="0" xfId="0" applyAlignment="1" applyBorder="1" applyFont="1">
      <alignment horizontal="center" shrinkToFit="0" wrapText="1"/>
    </xf>
    <xf borderId="6" fillId="12" fontId="3" numFmtId="0" xfId="0" applyAlignment="1" applyBorder="1" applyFill="1" applyFont="1">
      <alignment horizontal="center" readingOrder="0"/>
    </xf>
    <xf borderId="6" fillId="0" fontId="3" numFmtId="0" xfId="0" applyAlignment="1" applyBorder="1" applyFont="1">
      <alignment shrinkToFit="0" wrapText="1"/>
    </xf>
    <xf borderId="4" fillId="0" fontId="18" numFmtId="0" xfId="0" applyAlignment="1" applyBorder="1" applyFont="1">
      <alignment horizontal="center"/>
    </xf>
    <xf borderId="6" fillId="11" fontId="9" numFmtId="0" xfId="0" applyAlignment="1" applyBorder="1" applyFill="1" applyFont="1">
      <alignment horizontal="center" readingOrder="0"/>
    </xf>
    <xf borderId="6" fillId="26" fontId="3" numFmtId="0" xfId="0" applyAlignment="1" applyBorder="1" applyFill="1" applyFont="1">
      <alignment horizontal="center" readingOrder="0"/>
    </xf>
    <xf borderId="6" fillId="13" fontId="3" numFmtId="0" xfId="0" applyAlignment="1" applyBorder="1" applyFill="1" applyFont="1">
      <alignment horizontal="center"/>
    </xf>
    <xf borderId="19" fillId="0" fontId="3" numFmtId="0" xfId="0" applyAlignment="1" applyBorder="1" applyFont="1">
      <alignment horizontal="center"/>
    </xf>
    <xf borderId="6" fillId="11" fontId="11" numFmtId="0" xfId="0" applyAlignment="1" applyBorder="1" applyFill="1" applyFont="1">
      <alignment horizontal="center" readingOrder="0"/>
    </xf>
    <xf borderId="19" fillId="0" fontId="3" numFmtId="0" xfId="0" applyBorder="1" applyFont="1"/>
    <xf borderId="0" fillId="0" fontId="8" numFmtId="0" xfId="0" applyAlignment="1" applyFont="1">
      <alignment vertical="bottom"/>
    </xf>
    <xf borderId="20" fillId="0" fontId="3" numFmtId="0" xfId="0" applyAlignment="1" applyBorder="1" applyFont="1">
      <alignment horizontal="center"/>
    </xf>
    <xf borderId="6" fillId="0" fontId="11" numFmtId="0" xfId="0" applyAlignment="1" applyBorder="1" applyFont="1">
      <alignment horizontal="center"/>
    </xf>
    <xf borderId="6" fillId="0" fontId="9" numFmtId="0" xfId="0" applyAlignment="1" applyBorder="1" applyFont="1">
      <alignment horizontal="center" vertical="center"/>
    </xf>
    <xf borderId="6" fillId="0" fontId="3" numFmtId="0" xfId="0" applyAlignment="1" applyBorder="1" applyFont="1">
      <alignment horizontal="center" readingOrder="0"/>
    </xf>
    <xf borderId="6" fillId="0" fontId="19" numFmtId="0" xfId="0" applyAlignment="1" applyBorder="1" applyFont="1">
      <alignment horizontal="center"/>
    </xf>
    <xf borderId="6" fillId="0" fontId="9" numFmtId="0" xfId="0" applyAlignment="1" applyBorder="1" applyFont="1">
      <alignment horizontal="left" shrinkToFit="0" vertical="center" wrapText="0"/>
    </xf>
    <xf borderId="6" fillId="17" fontId="20" numFmtId="0" xfId="0" applyAlignment="1" applyBorder="1" applyFill="1" applyFont="1">
      <alignment horizontal="center" readingOrder="0"/>
    </xf>
    <xf borderId="21" fillId="8" fontId="3" numFmtId="0" xfId="0" applyBorder="1" applyFill="1" applyFont="1"/>
    <xf borderId="6" fillId="28" fontId="21" numFmtId="0" xfId="0" applyAlignment="1" applyBorder="1" applyFill="1" applyFont="1">
      <alignment horizontal="center" readingOrder="0"/>
    </xf>
    <xf borderId="6" fillId="29" fontId="3" numFmtId="0" xfId="0" applyAlignment="1" applyBorder="1" applyFill="1" applyFont="1">
      <alignment horizontal="center" vertical="center"/>
    </xf>
    <xf borderId="21" fillId="8" fontId="3" numFmtId="164" xfId="0" applyBorder="1" applyFill="1" applyFont="1" applyNumberFormat="1"/>
    <xf borderId="6" fillId="12" fontId="12" numFmtId="0" xfId="0" applyAlignment="1" applyBorder="1" applyFill="1" applyFont="1">
      <alignment horizontal="center" readingOrder="0"/>
    </xf>
    <xf borderId="6" fillId="11" fontId="16" numFmtId="0" xfId="0" applyAlignment="1" applyBorder="1" applyFill="1" applyFont="1">
      <alignment horizontal="center" readingOrder="0" vertical="center"/>
    </xf>
    <xf borderId="6" fillId="12" fontId="12" numFmtId="0" xfId="0" applyAlignment="1" applyBorder="1" applyFill="1" applyFont="1">
      <alignment horizontal="center"/>
    </xf>
    <xf borderId="15" fillId="0" fontId="8" numFmtId="0" xfId="0" applyAlignment="1" applyBorder="1" applyFont="1">
      <alignment horizontal="center" vertical="bottom"/>
    </xf>
    <xf borderId="16" fillId="0" fontId="8" numFmtId="0" xfId="0" applyAlignment="1" applyBorder="1" applyFont="1">
      <alignment vertical="bottom"/>
    </xf>
    <xf borderId="6" fillId="30" fontId="9" numFmtId="0" xfId="0" applyAlignment="1" applyBorder="1" applyFill="1" applyFont="1">
      <alignment horizontal="center" readingOrder="0"/>
    </xf>
    <xf borderId="16" fillId="0" fontId="8" numFmtId="0" xfId="0" applyAlignment="1" applyBorder="1" applyFont="1">
      <alignment horizontal="center" vertical="bottom"/>
    </xf>
    <xf borderId="6" fillId="8" fontId="3" numFmtId="0" xfId="0" applyAlignment="1" applyBorder="1" applyFill="1" applyFont="1">
      <alignment readingOrder="0"/>
    </xf>
    <xf borderId="0" fillId="8" fontId="3" numFmtId="0" xfId="0" applyAlignment="1" applyFill="1" applyFont="1">
      <alignment horizontal="center" vertical="center"/>
    </xf>
    <xf borderId="16" fillId="0" fontId="8" numFmtId="0" xfId="0" applyAlignment="1" applyBorder="1" applyFont="1">
      <alignment horizontal="center" vertical="bottom"/>
    </xf>
    <xf borderId="6" fillId="12" fontId="11" numFmtId="0" xfId="0" applyAlignment="1" applyBorder="1" applyFill="1" applyFont="1">
      <alignment horizontal="center" readingOrder="0"/>
    </xf>
    <xf borderId="0" fillId="0" fontId="9" numFmtId="0" xfId="0" applyFont="1"/>
    <xf borderId="22" fillId="0" fontId="3" numFmtId="0" xfId="0" applyBorder="1" applyFont="1"/>
    <xf borderId="0" fillId="0" fontId="3" numFmtId="0" xfId="0" applyAlignment="1" applyFont="1">
      <alignment horizontal="center"/>
    </xf>
    <xf borderId="22" fillId="0" fontId="3" numFmtId="164" xfId="0" applyBorder="1" applyFont="1" applyNumberFormat="1"/>
    <xf borderId="10" fillId="7" fontId="3" numFmtId="0" xfId="0" applyAlignment="1" applyBorder="1" applyFill="1" applyFont="1">
      <alignment horizontal="center" vertical="center"/>
    </xf>
    <xf borderId="6" fillId="9" fontId="3" numFmtId="0" xfId="0" applyAlignment="1" applyBorder="1" applyFill="1" applyFont="1">
      <alignment horizontal="center" shrinkToFit="0" vertical="center" wrapText="1"/>
    </xf>
    <xf borderId="4" fillId="31" fontId="1" numFmtId="0" xfId="0" applyAlignment="1" applyBorder="1" applyFill="1" applyFont="1">
      <alignment horizontal="center" shrinkToFit="0" wrapText="1"/>
    </xf>
    <xf borderId="6" fillId="0" fontId="9" numFmtId="0" xfId="0" applyAlignment="1" applyBorder="1" applyFont="1">
      <alignment horizontal="left" readingOrder="0" shrinkToFit="0" vertical="center" wrapText="0"/>
    </xf>
    <xf borderId="1" fillId="32" fontId="3" numFmtId="0" xfId="0" applyAlignment="1" applyBorder="1" applyFill="1" applyFont="1">
      <alignment horizontal="center"/>
    </xf>
    <xf borderId="6" fillId="8" fontId="3" numFmtId="0" xfId="0" applyAlignment="1" applyBorder="1" applyFill="1" applyFont="1">
      <alignment horizontal="center" readingOrder="0"/>
    </xf>
    <xf borderId="6" fillId="27" fontId="3" numFmtId="0" xfId="0" applyAlignment="1" applyBorder="1" applyFill="1" applyFont="1">
      <alignment horizontal="center" vertical="center"/>
    </xf>
    <xf borderId="6" fillId="8" fontId="3" numFmtId="0" xfId="0" applyAlignment="1" applyBorder="1" applyFill="1" applyFont="1">
      <alignment horizontal="center" vertical="center"/>
    </xf>
    <xf borderId="6" fillId="13" fontId="9" numFmtId="0" xfId="0" applyAlignment="1" applyBorder="1" applyFill="1" applyFont="1">
      <alignment horizontal="center" readingOrder="0"/>
    </xf>
    <xf borderId="6" fillId="8" fontId="3" numFmtId="0" xfId="0" applyAlignment="1" applyBorder="1" applyFill="1" applyFont="1">
      <alignment horizontal="left" readingOrder="0" shrinkToFit="0" vertical="center" wrapText="0"/>
    </xf>
    <xf borderId="11" fillId="33" fontId="3" numFmtId="0" xfId="0" applyAlignment="1" applyBorder="1" applyFill="1" applyFont="1">
      <alignment horizontal="center"/>
    </xf>
    <xf borderId="12" fillId="33" fontId="3" numFmtId="0" xfId="0" applyBorder="1" applyFill="1" applyFont="1"/>
    <xf borderId="12" fillId="33" fontId="3" numFmtId="0" xfId="0" applyAlignment="1" applyBorder="1" applyFill="1" applyFont="1">
      <alignment horizontal="center"/>
    </xf>
    <xf borderId="6" fillId="8" fontId="3" numFmtId="0" xfId="0" applyAlignment="1" applyBorder="1" applyFill="1" applyFont="1">
      <alignment horizontal="left" vertical="center"/>
    </xf>
    <xf borderId="12" fillId="33" fontId="3" numFmtId="0" xfId="0" applyAlignment="1" applyBorder="1" applyFill="1" applyFont="1">
      <alignment vertical="top"/>
    </xf>
    <xf borderId="16" fillId="0" fontId="9" numFmtId="0" xfId="0" applyAlignment="1" applyBorder="1" applyFont="1">
      <alignment horizontal="center" vertical="center"/>
    </xf>
    <xf borderId="11" fillId="31" fontId="1" numFmtId="0" xfId="0" applyAlignment="1" applyBorder="1" applyFill="1" applyFont="1">
      <alignment horizontal="center" shrinkToFit="0" wrapText="1"/>
    </xf>
    <xf borderId="6" fillId="8" fontId="3" numFmtId="0" xfId="0" applyAlignment="1" applyBorder="1" applyFill="1" applyFont="1">
      <alignment horizontal="left" shrinkToFit="0" vertical="center" wrapText="0"/>
    </xf>
    <xf borderId="12" fillId="31" fontId="1" numFmtId="0" xfId="0" applyBorder="1" applyFill="1" applyFont="1"/>
    <xf borderId="6" fillId="34" fontId="3" numFmtId="0" xfId="0" applyAlignment="1" applyBorder="1" applyFill="1" applyFont="1">
      <alignment horizontal="center" readingOrder="0"/>
    </xf>
    <xf borderId="12" fillId="31" fontId="1" numFmtId="0" xfId="0" applyAlignment="1" applyBorder="1" applyFill="1" applyFont="1">
      <alignment horizontal="center" shrinkToFit="0" wrapText="1"/>
    </xf>
    <xf borderId="12" fillId="31" fontId="1" numFmtId="0" xfId="0" applyAlignment="1" applyBorder="1" applyFill="1" applyFont="1">
      <alignment shrinkToFit="0" vertical="top" wrapText="1"/>
    </xf>
    <xf borderId="12" fillId="31" fontId="1" numFmtId="0" xfId="0" applyAlignment="1" applyBorder="1" applyFill="1" applyFont="1">
      <alignment horizontal="center"/>
    </xf>
    <xf borderId="15" fillId="0" fontId="9" numFmtId="0" xfId="0" applyAlignment="1" applyBorder="1" applyFont="1">
      <alignment horizontal="center" vertical="center"/>
    </xf>
    <xf borderId="16" fillId="0" fontId="9" numFmtId="0" xfId="0" applyAlignment="1" applyBorder="1" applyFont="1">
      <alignment horizontal="left" vertical="center"/>
    </xf>
    <xf borderId="6" fillId="14" fontId="3" numFmtId="0" xfId="0" applyAlignment="1" applyBorder="1" applyFill="1" applyFont="1">
      <alignment horizontal="center" shrinkToFit="0" vertical="center" wrapText="1"/>
    </xf>
    <xf borderId="10" fillId="7" fontId="8" numFmtId="0" xfId="0" applyAlignment="1" applyBorder="1" applyFill="1" applyFont="1">
      <alignment horizontal="center"/>
    </xf>
    <xf borderId="15" fillId="0" fontId="3" numFmtId="0" xfId="0" applyAlignment="1" applyBorder="1" applyFont="1">
      <alignment horizontal="center" shrinkToFit="0" wrapText="1"/>
    </xf>
    <xf borderId="16" fillId="0" fontId="9" numFmtId="0" xfId="0" applyAlignment="1" applyBorder="1" applyFont="1">
      <alignment horizontal="center" readingOrder="0" vertical="center"/>
    </xf>
    <xf borderId="4" fillId="12" fontId="22" numFmtId="0" xfId="0" applyAlignment="1" applyBorder="1" applyFill="1" applyFont="1">
      <alignment horizontal="center" readingOrder="0"/>
    </xf>
    <xf borderId="16" fillId="0" fontId="3" numFmtId="0" xfId="0" applyAlignment="1" applyBorder="1" applyFont="1">
      <alignment horizontal="center" vertical="top"/>
    </xf>
    <xf borderId="16" fillId="0" fontId="9" numFmtId="0" xfId="0" applyAlignment="1" applyBorder="1" applyFont="1">
      <alignment horizontal="left" readingOrder="0" vertical="center"/>
    </xf>
    <xf borderId="4" fillId="12" fontId="3" numFmtId="0" xfId="0" applyAlignment="1" applyBorder="1" applyFill="1" applyFont="1">
      <alignment horizontal="center" readingOrder="0"/>
    </xf>
    <xf borderId="7" fillId="5" fontId="23" numFmtId="0" xfId="0" applyAlignment="1" applyBorder="1" applyFill="1" applyFont="1">
      <alignment horizontal="center"/>
    </xf>
    <xf borderId="10" fillId="5" fontId="23" numFmtId="0" xfId="0" applyAlignment="1" applyBorder="1" applyFill="1" applyFont="1">
      <alignment horizontal="center"/>
    </xf>
    <xf borderId="6" fillId="0" fontId="14" numFmtId="0" xfId="0" applyAlignment="1" applyBorder="1" applyFont="1">
      <alignment shrinkToFit="0" wrapText="0"/>
    </xf>
    <xf borderId="4" fillId="31" fontId="3" numFmtId="0" xfId="0" applyAlignment="1" applyBorder="1" applyFill="1" applyFont="1">
      <alignment horizontal="center"/>
    </xf>
    <xf borderId="4" fillId="12" fontId="3" numFmtId="0" xfId="0" applyAlignment="1" applyBorder="1" applyFill="1" applyFont="1">
      <alignment horizontal="center"/>
    </xf>
    <xf borderId="6" fillId="0" fontId="14" numFmtId="0" xfId="0" applyAlignment="1" applyBorder="1" applyFont="1">
      <alignment horizontal="center" vertical="bottom"/>
    </xf>
    <xf borderId="6" fillId="0" fontId="14" numFmtId="0" xfId="0" applyAlignment="1" applyBorder="1" applyFont="1">
      <alignment vertical="bottom"/>
    </xf>
    <xf borderId="6" fillId="31" fontId="3" numFmtId="0" xfId="0" applyAlignment="1" applyBorder="1" applyFill="1" applyFont="1">
      <alignment horizontal="center"/>
    </xf>
    <xf borderId="6" fillId="0" fontId="14" numFmtId="164" xfId="0" applyAlignment="1" applyBorder="1" applyFont="1" applyNumberFormat="1">
      <alignment vertical="bottom"/>
    </xf>
    <xf borderId="6" fillId="31" fontId="3" numFmtId="0" xfId="0" applyBorder="1" applyFill="1" applyFont="1"/>
    <xf borderId="10" fillId="7" fontId="9" numFmtId="0" xfId="0" applyAlignment="1" applyBorder="1" applyFill="1" applyFont="1">
      <alignment horizontal="center" vertical="center"/>
    </xf>
    <xf borderId="0" fillId="8" fontId="8" numFmtId="0" xfId="0" applyAlignment="1" applyFill="1" applyFont="1">
      <alignment vertical="bottom"/>
    </xf>
    <xf borderId="10" fillId="8" fontId="10" numFmtId="0" xfId="0" applyAlignment="1" applyBorder="1" applyFill="1" applyFont="1">
      <alignment horizontal="center" readingOrder="0"/>
    </xf>
    <xf borderId="0" fillId="8" fontId="9" numFmtId="0" xfId="0" applyAlignment="1" applyFill="1" applyFont="1">
      <alignment horizontal="center" vertical="center"/>
    </xf>
    <xf borderId="8" fillId="0" fontId="3" numFmtId="0" xfId="0" applyAlignment="1" applyBorder="1" applyFont="1">
      <alignment horizontal="center"/>
    </xf>
    <xf borderId="16" fillId="0" fontId="9" numFmtId="0" xfId="0" applyAlignment="1" applyBorder="1" applyFont="1">
      <alignment vertical="center"/>
    </xf>
    <xf borderId="8" fillId="0" fontId="3" numFmtId="164" xfId="0" applyBorder="1" applyFont="1" applyNumberFormat="1"/>
    <xf borderId="12" fillId="8" fontId="9" numFmtId="0" xfId="0" applyAlignment="1" applyBorder="1" applyFill="1" applyFont="1">
      <alignment horizontal="center" vertical="center"/>
    </xf>
    <xf borderId="5" fillId="0" fontId="3" numFmtId="0" xfId="0" applyAlignment="1" applyBorder="1" applyFont="1">
      <alignment horizontal="center"/>
    </xf>
    <xf borderId="22" fillId="0" fontId="9" numFmtId="0" xfId="0" applyAlignment="1" applyBorder="1" applyFont="1">
      <alignment horizontal="center" vertical="center"/>
    </xf>
    <xf borderId="11" fillId="8" fontId="3" numFmtId="0" xfId="0" applyBorder="1" applyFill="1" applyFont="1"/>
    <xf borderId="0" fillId="0" fontId="24" numFmtId="0" xfId="0" applyAlignment="1" applyFont="1">
      <alignment horizontal="center" vertical="bottom"/>
    </xf>
    <xf borderId="6" fillId="11" fontId="3" numFmtId="0" xfId="0" applyAlignment="1" applyBorder="1" applyFill="1" applyFont="1">
      <alignment horizontal="center" readingOrder="0"/>
    </xf>
    <xf borderId="6" fillId="8" fontId="3" numFmtId="0" xfId="0" applyAlignment="1" applyBorder="1" applyFill="1" applyFont="1">
      <alignment horizontal="left" shrinkToFit="0" wrapText="0"/>
    </xf>
    <xf borderId="4" fillId="12" fontId="25" numFmtId="0" xfId="0" applyAlignment="1" applyBorder="1" applyFill="1" applyFont="1">
      <alignment horizontal="center" readingOrder="0"/>
    </xf>
    <xf borderId="6" fillId="0" fontId="16" numFmtId="0" xfId="0" applyAlignment="1" applyBorder="1" applyFont="1">
      <alignment horizontal="center"/>
    </xf>
    <xf borderId="6" fillId="0" fontId="16" numFmtId="0" xfId="0" applyBorder="1" applyFont="1"/>
    <xf borderId="6" fillId="8" fontId="16" numFmtId="0" xfId="0" applyAlignment="1" applyBorder="1" applyFill="1" applyFont="1">
      <alignment horizontal="center"/>
    </xf>
    <xf borderId="4" fillId="0" fontId="16" numFmtId="0" xfId="0" applyAlignment="1" applyBorder="1" applyFont="1">
      <alignment horizontal="center"/>
    </xf>
    <xf borderId="6" fillId="0" fontId="3" numFmtId="164" xfId="0" applyAlignment="1" applyBorder="1" applyFont="1" applyNumberFormat="1">
      <alignment readingOrder="0"/>
    </xf>
    <xf borderId="6" fillId="17" fontId="3" numFmtId="0" xfId="0" applyAlignment="1" applyBorder="1" applyFill="1" applyFont="1">
      <alignment horizontal="center" readingOrder="0"/>
    </xf>
    <xf borderId="0" fillId="12" fontId="20" numFmtId="0" xfId="0" applyAlignment="1" applyFill="1" applyFont="1">
      <alignment horizontal="center" readingOrder="0"/>
    </xf>
    <xf borderId="10" fillId="8" fontId="16" numFmtId="0" xfId="0" applyAlignment="1" applyBorder="1" applyFill="1" applyFont="1">
      <alignment horizontal="center"/>
    </xf>
    <xf borderId="0" fillId="12" fontId="20" numFmtId="0" xfId="0" applyAlignment="1" applyFill="1" applyFont="1">
      <alignment horizontal="center"/>
    </xf>
    <xf borderId="0" fillId="12" fontId="11" numFmtId="0" xfId="0" applyAlignment="1" applyFill="1" applyFont="1">
      <alignment horizontal="center" readingOrder="0"/>
    </xf>
    <xf borderId="6" fillId="13" fontId="3" numFmtId="0" xfId="0" applyAlignment="1" applyBorder="1" applyFill="1" applyFont="1">
      <alignment horizontal="center" readingOrder="0" shrinkToFit="0" wrapText="0"/>
    </xf>
    <xf borderId="6" fillId="0" fontId="20" numFmtId="0" xfId="0" applyAlignment="1" applyBorder="1" applyFont="1">
      <alignment horizontal="center" readingOrder="0"/>
    </xf>
    <xf borderId="6" fillId="10" fontId="20" numFmtId="0" xfId="0" applyAlignment="1" applyBorder="1" applyFill="1" applyFont="1">
      <alignment horizontal="center"/>
    </xf>
    <xf borderId="6" fillId="35" fontId="3" numFmtId="0" xfId="0" applyAlignment="1" applyBorder="1" applyFill="1" applyFont="1">
      <alignment horizontal="center" readingOrder="0"/>
    </xf>
    <xf borderId="4" fillId="27" fontId="3" numFmtId="0" xfId="0" applyAlignment="1" applyBorder="1" applyFill="1" applyFont="1">
      <alignment horizontal="center"/>
    </xf>
    <xf borderId="6" fillId="23" fontId="20" numFmtId="0" xfId="0" applyAlignment="1" applyBorder="1" applyFill="1" applyFont="1">
      <alignment horizontal="center" readingOrder="0"/>
    </xf>
    <xf borderId="6" fillId="10" fontId="20" numFmtId="0" xfId="0" applyAlignment="1" applyBorder="1" applyFill="1" applyFont="1">
      <alignment horizontal="center" readingOrder="0"/>
    </xf>
    <xf borderId="0" fillId="0" fontId="8" numFmtId="0" xfId="0" applyFont="1"/>
    <xf borderId="13" fillId="8" fontId="5" numFmtId="164" xfId="0" applyAlignment="1" applyBorder="1" applyFill="1" applyFont="1" applyNumberFormat="1">
      <alignment horizontal="center"/>
    </xf>
    <xf borderId="0" fillId="0" fontId="16" numFmtId="0" xfId="0" applyAlignment="1" applyFont="1">
      <alignment horizontal="center"/>
    </xf>
    <xf borderId="6" fillId="5" fontId="3" numFmtId="0" xfId="0" applyAlignment="1" applyBorder="1" applyFill="1" applyFont="1">
      <alignment horizontal="center"/>
    </xf>
    <xf borderId="6" fillId="5" fontId="3" numFmtId="0" xfId="0" applyBorder="1" applyFill="1" applyFont="1"/>
    <xf borderId="4" fillId="27" fontId="1" numFmtId="0" xfId="0" applyAlignment="1" applyBorder="1" applyFill="1" applyFont="1">
      <alignment horizontal="center" shrinkToFit="0" wrapText="1"/>
    </xf>
    <xf borderId="6" fillId="5" fontId="3" numFmtId="164" xfId="0" applyAlignment="1" applyBorder="1" applyFill="1" applyFont="1" applyNumberFormat="1">
      <alignment vertical="top"/>
    </xf>
    <xf borderId="6" fillId="27" fontId="5" numFmtId="164" xfId="0" applyAlignment="1" applyBorder="1" applyFill="1" applyFont="1" applyNumberFormat="1">
      <alignment horizontal="center"/>
    </xf>
    <xf borderId="0" fillId="0" fontId="16" numFmtId="0" xfId="0" applyAlignment="1" applyFont="1">
      <alignment readingOrder="0"/>
    </xf>
    <xf borderId="6" fillId="0" fontId="3" numFmtId="0" xfId="0" applyAlignment="1" applyBorder="1" applyFont="1">
      <alignment horizontal="left"/>
    </xf>
    <xf borderId="6" fillId="8" fontId="20" numFmtId="0" xfId="0" applyAlignment="1" applyBorder="1" applyFill="1" applyFont="1">
      <alignment horizontal="center" readingOrder="0"/>
    </xf>
    <xf borderId="6" fillId="0" fontId="6" numFmtId="0" xfId="0" applyAlignment="1" applyBorder="1" applyFont="1">
      <alignment horizontal="center"/>
    </xf>
    <xf borderId="23" fillId="8" fontId="3" numFmtId="0" xfId="0" applyBorder="1" applyFill="1" applyFont="1"/>
    <xf borderId="6" fillId="0" fontId="3" numFmtId="164" xfId="0" applyAlignment="1" applyBorder="1" applyFont="1" applyNumberFormat="1">
      <alignment horizontal="left" shrinkToFit="0" wrapText="0"/>
    </xf>
    <xf borderId="6" fillId="36" fontId="3" numFmtId="0" xfId="0" applyAlignment="1" applyBorder="1" applyFill="1" applyFont="1">
      <alignment horizontal="center" readingOrder="0"/>
    </xf>
    <xf borderId="0" fillId="0" fontId="11" numFmtId="0" xfId="0" applyFont="1"/>
    <xf borderId="11" fillId="5" fontId="1" numFmtId="0" xfId="0" applyAlignment="1" applyBorder="1" applyFill="1" applyFont="1">
      <alignment horizontal="center" shrinkToFit="0" wrapText="1"/>
    </xf>
    <xf borderId="6" fillId="0" fontId="16" numFmtId="0" xfId="0" applyAlignment="1" applyBorder="1" applyFont="1">
      <alignment readingOrder="0"/>
    </xf>
    <xf borderId="12" fillId="5" fontId="1" numFmtId="0" xfId="0" applyBorder="1" applyFill="1" applyFont="1"/>
    <xf borderId="12" fillId="5" fontId="1" numFmtId="0" xfId="0" applyAlignment="1" applyBorder="1" applyFill="1" applyFont="1">
      <alignment horizontal="center" shrinkToFit="0" wrapText="1"/>
    </xf>
    <xf borderId="12" fillId="5" fontId="1" numFmtId="0" xfId="0" applyAlignment="1" applyBorder="1" applyFill="1" applyFont="1">
      <alignment shrinkToFit="0" vertical="top" wrapText="1"/>
    </xf>
    <xf borderId="6" fillId="0" fontId="3" numFmtId="0" xfId="0" applyAlignment="1" applyBorder="1" applyFont="1">
      <alignment horizontal="left" readingOrder="0"/>
    </xf>
    <xf borderId="12" fillId="5" fontId="1" numFmtId="0" xfId="0" applyAlignment="1" applyBorder="1" applyFill="1" applyFont="1">
      <alignment horizontal="center"/>
    </xf>
    <xf borderId="6" fillId="5" fontId="5" numFmtId="164" xfId="0" applyAlignment="1" applyBorder="1" applyFill="1" applyFont="1" applyNumberFormat="1">
      <alignment horizontal="center"/>
    </xf>
    <xf borderId="10" fillId="7" fontId="16" numFmtId="0" xfId="0" applyAlignment="1" applyBorder="1" applyFill="1" applyFont="1">
      <alignment horizontal="center"/>
    </xf>
    <xf borderId="6" fillId="37" fontId="3" numFmtId="0" xfId="0" applyAlignment="1" applyBorder="1" applyFill="1" applyFont="1">
      <alignment horizontal="center" readingOrder="0"/>
    </xf>
    <xf borderId="10" fillId="5" fontId="5" numFmtId="164" xfId="0" applyAlignment="1" applyBorder="1" applyFill="1" applyFont="1" applyNumberFormat="1">
      <alignment horizontal="center"/>
    </xf>
    <xf borderId="8" fillId="0" fontId="3" numFmtId="0" xfId="0" applyBorder="1" applyFont="1"/>
    <xf borderId="6" fillId="8" fontId="3" numFmtId="164" xfId="0" applyAlignment="1" applyBorder="1" applyFill="1" applyFont="1" applyNumberFormat="1">
      <alignment horizontal="left" shrinkToFit="0" wrapText="0"/>
    </xf>
    <xf borderId="10" fillId="38" fontId="11" numFmtId="0" xfId="0" applyBorder="1" applyFill="1" applyFont="1"/>
    <xf borderId="4" fillId="12" fontId="22" numFmtId="0" xfId="0" applyAlignment="1" applyBorder="1" applyFill="1" applyFont="1">
      <alignment horizontal="center" readingOrder="0" textRotation="0"/>
    </xf>
    <xf borderId="0" fillId="0" fontId="26" numFmtId="0" xfId="0" applyAlignment="1" applyFont="1">
      <alignment horizontal="center" readingOrder="0"/>
    </xf>
    <xf borderId="6" fillId="23" fontId="17" numFmtId="0" xfId="0" applyAlignment="1" applyBorder="1" applyFill="1" applyFont="1">
      <alignment horizontal="center" readingOrder="0"/>
    </xf>
    <xf borderId="6" fillId="8" fontId="16" numFmtId="0" xfId="0" applyBorder="1" applyFill="1" applyFont="1"/>
    <xf borderId="6" fillId="8" fontId="16" numFmtId="164" xfId="0" applyBorder="1" applyFill="1" applyFont="1" applyNumberFormat="1"/>
    <xf borderId="17" fillId="8" fontId="16" numFmtId="0" xfId="0" applyAlignment="1" applyBorder="1" applyFill="1" applyFont="1">
      <alignment horizontal="center"/>
    </xf>
    <xf borderId="6" fillId="8" fontId="9" numFmtId="0" xfId="0" applyAlignment="1" applyBorder="1" applyFill="1" applyFont="1">
      <alignment horizontal="center" readingOrder="0" vertical="center"/>
    </xf>
    <xf borderId="6" fillId="0" fontId="9" numFmtId="0" xfId="0" applyAlignment="1" applyBorder="1" applyFont="1">
      <alignment horizontal="left" readingOrder="0"/>
    </xf>
    <xf borderId="6" fillId="0" fontId="9" numFmtId="0" xfId="0" applyAlignment="1" applyBorder="1" applyFont="1">
      <alignment horizontal="left" shrinkToFit="0" wrapText="0"/>
    </xf>
    <xf borderId="6" fillId="0" fontId="16" numFmtId="164" xfId="0" applyAlignment="1" applyBorder="1" applyFont="1" applyNumberFormat="1">
      <alignment readingOrder="0"/>
    </xf>
    <xf borderId="6" fillId="36" fontId="9" numFmtId="0" xfId="0" applyAlignment="1" applyBorder="1" applyFill="1" applyFont="1">
      <alignment horizontal="center" readingOrder="0"/>
    </xf>
    <xf borderId="6" fillId="15" fontId="3" numFmtId="0" xfId="0" applyAlignment="1" applyBorder="1" applyFill="1" applyFont="1">
      <alignment horizontal="center"/>
    </xf>
    <xf borderId="6" fillId="39" fontId="17" numFmtId="0" xfId="0" applyAlignment="1" applyBorder="1" applyFill="1" applyFont="1">
      <alignment horizontal="center" readingOrder="0" vertical="center"/>
    </xf>
    <xf borderId="6" fillId="15" fontId="9" numFmtId="0" xfId="0" applyAlignment="1" applyBorder="1" applyFill="1" applyFont="1">
      <alignment horizontal="center" readingOrder="0"/>
    </xf>
    <xf borderId="6" fillId="0" fontId="8" numFmtId="0" xfId="0" applyAlignment="1" applyBorder="1" applyFont="1">
      <alignment horizontal="center" shrinkToFit="0" wrapText="1"/>
    </xf>
    <xf borderId="5" fillId="15" fontId="2" numFmtId="0" xfId="0" applyBorder="1" applyFill="1" applyFont="1"/>
    <xf borderId="8" fillId="15" fontId="2" numFmtId="0" xfId="0" applyBorder="1" applyFill="1" applyFont="1"/>
    <xf borderId="10" fillId="15" fontId="11" numFmtId="0" xfId="0" applyBorder="1" applyFill="1" applyFont="1"/>
    <xf borderId="0" fillId="8" fontId="8" numFmtId="0" xfId="0" applyFill="1" applyFont="1"/>
    <xf borderId="6" fillId="0" fontId="19" numFmtId="0" xfId="0" applyAlignment="1" applyBorder="1" applyFont="1">
      <alignment horizontal="center" readingOrder="0"/>
    </xf>
    <xf borderId="6" fillId="0" fontId="8" numFmtId="0" xfId="0" applyAlignment="1" applyBorder="1" applyFont="1">
      <alignment horizontal="center"/>
    </xf>
    <xf borderId="6" fillId="8" fontId="16" numFmtId="0" xfId="0" applyAlignment="1" applyBorder="1" applyFill="1" applyFont="1">
      <alignment readingOrder="0"/>
    </xf>
    <xf borderId="0" fillId="8" fontId="11" numFmtId="0" xfId="0" applyFill="1" applyFont="1"/>
    <xf borderId="6" fillId="0" fontId="16" numFmtId="3" xfId="0" applyAlignment="1" applyBorder="1" applyFont="1" applyNumberFormat="1">
      <alignment horizontal="center" readingOrder="0"/>
    </xf>
    <xf borderId="6" fillId="0" fontId="16" numFmtId="0" xfId="0" applyAlignment="1" applyBorder="1" applyFont="1">
      <alignment horizontal="center" readingOrder="0"/>
    </xf>
    <xf borderId="6" fillId="0" fontId="27" numFmtId="0" xfId="0" applyAlignment="1" applyBorder="1" applyFont="1">
      <alignment horizontal="center" readingOrder="0" vertical="bottom"/>
    </xf>
    <xf borderId="19" fillId="0" fontId="3" numFmtId="0" xfId="0" applyAlignment="1" applyBorder="1" applyFont="1">
      <alignment horizontal="left" shrinkToFit="0" wrapText="0"/>
    </xf>
    <xf borderId="6" fillId="8" fontId="3" numFmtId="0" xfId="0" applyAlignment="1" applyBorder="1" applyFill="1" applyFont="1">
      <alignment horizontal="center"/>
    </xf>
    <xf borderId="6" fillId="0" fontId="20" numFmtId="0" xfId="0" applyAlignment="1" applyBorder="1" applyFont="1">
      <alignment horizontal="center"/>
    </xf>
    <xf borderId="6" fillId="0" fontId="9" numFmtId="0" xfId="0" applyAlignment="1" applyBorder="1" applyFont="1">
      <alignment horizontal="center" readingOrder="0"/>
    </xf>
    <xf borderId="0" fillId="22" fontId="16" numFmtId="0" xfId="0" applyAlignment="1" applyFill="1" applyFont="1">
      <alignment horizontal="left" readingOrder="0"/>
    </xf>
    <xf borderId="6" fillId="13" fontId="9" numFmtId="0" xfId="0" applyBorder="1" applyFill="1" applyFont="1"/>
    <xf borderId="6" fillId="13" fontId="9" numFmtId="0" xfId="0" applyAlignment="1" applyBorder="1" applyFill="1" applyFont="1">
      <alignment horizontal="center"/>
    </xf>
    <xf borderId="24" fillId="5" fontId="28" numFmtId="0" xfId="0" applyAlignment="1" applyBorder="1" applyFill="1" applyFont="1">
      <alignment horizontal="center"/>
    </xf>
    <xf borderId="25" fillId="0" fontId="2" numFmtId="0" xfId="0" applyBorder="1" applyFont="1"/>
    <xf borderId="26" fillId="0" fontId="2" numFmtId="0" xfId="0" applyBorder="1" applyFont="1"/>
    <xf borderId="6" fillId="13" fontId="9" numFmtId="0" xfId="0" applyAlignment="1" applyBorder="1" applyFill="1" applyFont="1">
      <alignment horizontal="center" readingOrder="0"/>
    </xf>
    <xf borderId="6" fillId="0" fontId="26" numFmtId="0" xfId="0" applyAlignment="1" applyBorder="1" applyFont="1">
      <alignment horizontal="center" readingOrder="0"/>
    </xf>
    <xf borderId="10" fillId="5" fontId="28" numFmtId="0" xfId="0" applyAlignment="1" applyBorder="1" applyFill="1" applyFont="1">
      <alignment horizontal="center"/>
    </xf>
    <xf borderId="4" fillId="2" fontId="16" numFmtId="0" xfId="0" applyAlignment="1" applyBorder="1" applyFill="1" applyFont="1">
      <alignment horizontal="center"/>
    </xf>
    <xf borderId="10" fillId="8" fontId="3" numFmtId="0" xfId="0" applyBorder="1" applyFill="1" applyFont="1"/>
    <xf borderId="6" fillId="4" fontId="16" numFmtId="164" xfId="0" applyAlignment="1" applyBorder="1" applyFill="1" applyFont="1" applyNumberFormat="1">
      <alignment horizontal="center"/>
    </xf>
    <xf borderId="11" fillId="8" fontId="9" numFmtId="0" xfId="0" applyAlignment="1" applyBorder="1" applyFill="1" applyFont="1">
      <alignment horizontal="center" shrinkToFit="0" vertical="center" wrapText="1"/>
    </xf>
    <xf borderId="1" fillId="27" fontId="3" numFmtId="0" xfId="0" applyAlignment="1" applyBorder="1" applyFill="1" applyFont="1">
      <alignment horizontal="center"/>
    </xf>
    <xf borderId="6" fillId="4" fontId="14" numFmtId="164" xfId="0" applyAlignment="1" applyBorder="1" applyFill="1" applyFont="1" applyNumberFormat="1">
      <alignment horizontal="center" vertical="bottom"/>
    </xf>
    <xf borderId="12" fillId="8" fontId="9" numFmtId="0" xfId="0" applyAlignment="1" applyBorder="1" applyFill="1" applyFont="1">
      <alignment horizontal="left" vertical="center"/>
    </xf>
    <xf borderId="6" fillId="2" fontId="16" numFmtId="0" xfId="0" applyAlignment="1" applyBorder="1" applyFill="1" applyFont="1">
      <alignment horizontal="center"/>
    </xf>
    <xf borderId="6" fillId="4" fontId="14" numFmtId="164" xfId="0" applyAlignment="1" applyBorder="1" applyFill="1" applyFont="1" applyNumberFormat="1">
      <alignment horizontal="center" readingOrder="0" vertical="bottom"/>
    </xf>
    <xf borderId="6" fillId="8" fontId="14" numFmtId="0" xfId="0" applyAlignment="1" applyBorder="1" applyFill="1" applyFont="1">
      <alignment horizontal="center" vertical="bottom"/>
    </xf>
    <xf borderId="11" fillId="5" fontId="3" numFmtId="0" xfId="0" applyAlignment="1" applyBorder="1" applyFill="1" applyFont="1">
      <alignment horizontal="center"/>
    </xf>
    <xf borderId="19" fillId="0" fontId="14" numFmtId="0" xfId="0" applyAlignment="1" applyBorder="1" applyFont="1">
      <alignment vertical="bottom"/>
    </xf>
    <xf borderId="12" fillId="5" fontId="3" numFmtId="0" xfId="0" applyBorder="1" applyFill="1" applyFont="1"/>
    <xf borderId="27" fillId="10" fontId="3" numFmtId="0" xfId="0" applyAlignment="1" applyBorder="1" applyFill="1" applyFont="1">
      <alignment horizontal="center"/>
    </xf>
    <xf borderId="12" fillId="5" fontId="3" numFmtId="0" xfId="0" applyAlignment="1" applyBorder="1" applyFill="1" applyFont="1">
      <alignment horizontal="center"/>
    </xf>
    <xf borderId="12" fillId="5" fontId="3" numFmtId="0" xfId="0" applyAlignment="1" applyBorder="1" applyFill="1" applyFont="1">
      <alignment vertical="top"/>
    </xf>
    <xf borderId="27" fillId="13" fontId="3" numFmtId="0" xfId="0" applyAlignment="1" applyBorder="1" applyFill="1" applyFont="1">
      <alignment horizontal="center" readingOrder="0"/>
    </xf>
    <xf borderId="6" fillId="12" fontId="9" numFmtId="0" xfId="0" applyAlignment="1" applyBorder="1" applyFill="1" applyFont="1">
      <alignment horizontal="center"/>
    </xf>
    <xf borderId="6" fillId="2" fontId="16" numFmtId="0" xfId="0" applyBorder="1" applyFill="1" applyFont="1"/>
    <xf borderId="10" fillId="4" fontId="14" numFmtId="164" xfId="0" applyAlignment="1" applyBorder="1" applyFill="1" applyFont="1" applyNumberFormat="1">
      <alignment horizontal="center" vertical="bottom"/>
    </xf>
    <xf borderId="12" fillId="8" fontId="9" numFmtId="0" xfId="0" applyAlignment="1" applyBorder="1" applyFill="1" applyFont="1">
      <alignment horizontal="left" shrinkToFit="0" vertical="center" wrapText="1"/>
    </xf>
    <xf borderId="19" fillId="12" fontId="3" numFmtId="0" xfId="0" applyAlignment="1" applyBorder="1" applyFill="1" applyFont="1">
      <alignment horizontal="center"/>
    </xf>
    <xf borderId="19" fillId="12" fontId="3" numFmtId="0" xfId="0" applyAlignment="1" applyBorder="1" applyFill="1" applyFont="1">
      <alignment horizontal="center" readingOrder="0"/>
    </xf>
    <xf borderId="10" fillId="4" fontId="16" numFmtId="164" xfId="0" applyAlignment="1" applyBorder="1" applyFill="1" applyFont="1" applyNumberFormat="1">
      <alignment horizontal="center"/>
    </xf>
    <xf borderId="19" fillId="10" fontId="3" numFmtId="0" xfId="0" applyAlignment="1" applyBorder="1" applyFill="1" applyFont="1">
      <alignment horizontal="center"/>
    </xf>
    <xf borderId="19" fillId="13" fontId="3" numFmtId="0" xfId="0" applyAlignment="1" applyBorder="1" applyFill="1" applyFont="1">
      <alignment horizontal="center" readingOrder="0"/>
    </xf>
    <xf borderId="28" fillId="10" fontId="3" numFmtId="0" xfId="0" applyAlignment="1" applyBorder="1" applyFill="1" applyFont="1">
      <alignment horizontal="center"/>
    </xf>
    <xf borderId="6" fillId="0" fontId="16" numFmtId="164" xfId="0" applyBorder="1" applyFont="1" applyNumberFormat="1"/>
    <xf borderId="6" fillId="0" fontId="14" numFmtId="0" xfId="0" applyAlignment="1" applyBorder="1" applyFont="1">
      <alignment vertical="bottom"/>
    </xf>
    <xf borderId="6" fillId="0" fontId="16" numFmtId="0" xfId="0" applyAlignment="1" applyBorder="1" applyFont="1">
      <alignment horizontal="center" shrinkToFit="0" wrapText="1"/>
    </xf>
    <xf borderId="6" fillId="12" fontId="19" numFmtId="0" xfId="0" applyAlignment="1" applyBorder="1" applyFill="1" applyFont="1">
      <alignment horizontal="center" vertical="bottom"/>
    </xf>
    <xf borderId="19" fillId="8" fontId="3" numFmtId="0" xfId="0" applyAlignment="1" applyBorder="1" applyFill="1" applyFont="1">
      <alignment horizontal="center" readingOrder="0"/>
    </xf>
    <xf borderId="6" fillId="12" fontId="8" numFmtId="0" xfId="0" applyAlignment="1" applyBorder="1" applyFill="1" applyFont="1">
      <alignment vertical="bottom"/>
    </xf>
    <xf borderId="6" fillId="19" fontId="16" numFmtId="0" xfId="0" applyAlignment="1" applyBorder="1" applyFill="1" applyFont="1">
      <alignment horizontal="center" readingOrder="0"/>
    </xf>
    <xf borderId="6" fillId="12" fontId="8" numFmtId="0" xfId="0" applyAlignment="1" applyBorder="1" applyFill="1" applyFont="1">
      <alignment vertical="bottom"/>
    </xf>
    <xf borderId="6" fillId="12" fontId="19" numFmtId="0" xfId="0" applyAlignment="1" applyBorder="1" applyFill="1" applyFont="1">
      <alignment horizontal="center" vertical="bottom"/>
    </xf>
    <xf borderId="4" fillId="38" fontId="5" numFmtId="0" xfId="0" applyAlignment="1" applyBorder="1" applyFill="1" applyFont="1">
      <alignment horizontal="center"/>
    </xf>
    <xf borderId="0" fillId="8" fontId="8" numFmtId="0" xfId="0" applyAlignment="1" applyFill="1" applyFont="1">
      <alignment vertical="bottom"/>
    </xf>
    <xf borderId="11" fillId="38" fontId="5" numFmtId="0" xfId="0" applyAlignment="1" applyBorder="1" applyFill="1" applyFont="1">
      <alignment horizontal="center"/>
    </xf>
    <xf borderId="6" fillId="0" fontId="9" numFmtId="0" xfId="0" applyAlignment="1" applyBorder="1" applyFont="1">
      <alignment horizontal="left" vertical="center"/>
    </xf>
    <xf borderId="6" fillId="17" fontId="3" numFmtId="0" xfId="0" applyAlignment="1" applyBorder="1" applyFill="1" applyFont="1">
      <alignment horizontal="center"/>
    </xf>
    <xf borderId="6" fillId="22" fontId="9" numFmtId="0" xfId="0" applyAlignment="1" applyBorder="1" applyFill="1" applyFont="1">
      <alignment horizontal="center" readingOrder="0"/>
    </xf>
    <xf borderId="4" fillId="0" fontId="9" numFmtId="0" xfId="0" applyAlignment="1" applyBorder="1" applyFont="1">
      <alignment horizontal="left" shrinkToFit="0" vertical="center" wrapText="0"/>
    </xf>
    <xf borderId="12" fillId="8" fontId="9" numFmtId="0" xfId="0" applyAlignment="1" applyBorder="1" applyFill="1" applyFont="1">
      <alignment horizontal="left" readingOrder="0" shrinkToFit="0" vertical="center" wrapText="1"/>
    </xf>
    <xf borderId="12" fillId="35" fontId="3" numFmtId="0" xfId="0" applyAlignment="1" applyBorder="1" applyFill="1" applyFont="1">
      <alignment horizontal="center"/>
    </xf>
    <xf borderId="22" fillId="0" fontId="9" numFmtId="0" xfId="0" applyBorder="1" applyFont="1"/>
    <xf borderId="16" fillId="0" fontId="9" numFmtId="0" xfId="0" applyBorder="1" applyFont="1"/>
    <xf borderId="15" fillId="10" fontId="3" numFmtId="0" xfId="0" applyAlignment="1" applyBorder="1" applyFill="1" applyFont="1">
      <alignment horizontal="center"/>
    </xf>
    <xf borderId="15" fillId="10" fontId="3" numFmtId="0" xfId="0" applyAlignment="1" applyBorder="1" applyFill="1" applyFont="1">
      <alignment horizontal="center" readingOrder="0"/>
    </xf>
    <xf borderId="1" fillId="27" fontId="1" numFmtId="0" xfId="0" applyAlignment="1" applyBorder="1" applyFill="1" applyFont="1">
      <alignment horizontal="center" shrinkToFit="0" wrapText="1"/>
    </xf>
    <xf borderId="29" fillId="35" fontId="8" numFmtId="0" xfId="0" applyAlignment="1" applyBorder="1" applyFill="1" applyFont="1">
      <alignment horizontal="center"/>
    </xf>
    <xf borderId="15" fillId="13" fontId="3" numFmtId="0" xfId="0" applyAlignment="1" applyBorder="1" applyFill="1" applyFont="1">
      <alignment horizontal="center" readingOrder="0"/>
    </xf>
    <xf borderId="10" fillId="7" fontId="20" numFmtId="0" xfId="0" applyAlignment="1" applyBorder="1" applyFill="1" applyFont="1">
      <alignment horizontal="center" vertical="center"/>
    </xf>
    <xf borderId="11" fillId="8" fontId="3" numFmtId="0" xfId="0" applyAlignment="1" applyBorder="1" applyFill="1" applyFont="1">
      <alignment horizontal="center" shrinkToFit="0" wrapText="1"/>
    </xf>
    <xf borderId="6" fillId="8" fontId="3" numFmtId="164" xfId="0" applyAlignment="1" applyBorder="1" applyFill="1" applyFont="1" applyNumberFormat="1">
      <alignment horizontal="center"/>
    </xf>
    <xf borderId="12" fillId="8" fontId="3" numFmtId="0" xfId="0" applyAlignment="1" applyBorder="1" applyFill="1" applyFont="1">
      <alignment horizontal="center" shrinkToFit="0" wrapText="1"/>
    </xf>
    <xf borderId="6" fillId="13" fontId="20" numFmtId="0" xfId="0" applyAlignment="1" applyBorder="1" applyFill="1" applyFont="1">
      <alignment horizontal="center" readingOrder="0"/>
    </xf>
    <xf borderId="0" fillId="0" fontId="16" numFmtId="0" xfId="0" applyAlignment="1" applyFont="1">
      <alignment horizontal="center" readingOrder="0"/>
    </xf>
    <xf borderId="4" fillId="40" fontId="1" numFmtId="0" xfId="0" applyAlignment="1" applyBorder="1" applyFill="1" applyFont="1">
      <alignment horizontal="center" vertical="center"/>
    </xf>
    <xf borderId="6" fillId="41" fontId="8" numFmtId="0" xfId="0" applyBorder="1" applyFill="1" applyFont="1"/>
    <xf borderId="12" fillId="8" fontId="3" numFmtId="0" xfId="0" applyAlignment="1" applyBorder="1" applyFill="1" applyFont="1">
      <alignment horizontal="center" readingOrder="0" shrinkToFit="0" wrapText="1"/>
    </xf>
    <xf borderId="6" fillId="16" fontId="16" numFmtId="0" xfId="0" applyAlignment="1" applyBorder="1" applyFill="1" applyFont="1">
      <alignment horizontal="center" readingOrder="0"/>
    </xf>
    <xf borderId="6" fillId="16" fontId="16" numFmtId="0" xfId="0" applyAlignment="1" applyBorder="1" applyFill="1" applyFont="1">
      <alignment horizontal="center"/>
    </xf>
    <xf borderId="6" fillId="8" fontId="9" numFmtId="0" xfId="0" applyAlignment="1" applyBorder="1" applyFill="1" applyFont="1">
      <alignment horizontal="center" shrinkToFit="0" vertical="center" wrapText="1"/>
    </xf>
    <xf borderId="6" fillId="8" fontId="11" numFmtId="0" xfId="0" applyAlignment="1" applyBorder="1" applyFill="1" applyFont="1">
      <alignment readingOrder="0"/>
    </xf>
    <xf borderId="22" fillId="0" fontId="16" numFmtId="0" xfId="0" applyBorder="1" applyFont="1"/>
    <xf borderId="0" fillId="0" fontId="3" numFmtId="0" xfId="0" applyFont="1"/>
    <xf borderId="4" fillId="14" fontId="29" numFmtId="0" xfId="0" applyAlignment="1" applyBorder="1" applyFill="1" applyFont="1">
      <alignment horizontal="center"/>
    </xf>
    <xf borderId="6" fillId="39" fontId="20" numFmtId="0" xfId="0" applyAlignment="1" applyBorder="1" applyFill="1" applyFont="1">
      <alignment horizontal="center" readingOrder="0"/>
    </xf>
    <xf borderId="6" fillId="41" fontId="8" numFmtId="0" xfId="0" applyAlignment="1" applyBorder="1" applyFill="1" applyFont="1">
      <alignment vertical="bottom"/>
    </xf>
    <xf borderId="12" fillId="2" fontId="3" numFmtId="164" xfId="0" applyAlignment="1" applyBorder="1" applyFill="1" applyFont="1" applyNumberFormat="1">
      <alignment vertical="top"/>
    </xf>
    <xf borderId="6" fillId="14" fontId="16" numFmtId="0" xfId="0" applyAlignment="1" applyBorder="1" applyFill="1" applyFont="1">
      <alignment horizontal="center" shrinkToFit="0" vertical="center" wrapText="1"/>
    </xf>
    <xf borderId="6" fillId="0" fontId="9" numFmtId="0" xfId="0" applyBorder="1" applyFont="1"/>
    <xf borderId="11" fillId="4" fontId="1" numFmtId="0" xfId="0" applyAlignment="1" applyBorder="1" applyFill="1" applyFont="1">
      <alignment horizontal="center" vertical="center"/>
    </xf>
    <xf borderId="6" fillId="0" fontId="8" numFmtId="0" xfId="0" applyBorder="1" applyFont="1"/>
    <xf borderId="12" fillId="4" fontId="1" numFmtId="0" xfId="0" applyAlignment="1" applyBorder="1" applyFill="1" applyFont="1">
      <alignment horizontal="left" vertical="center"/>
    </xf>
    <xf borderId="16" fillId="0" fontId="3" numFmtId="164" xfId="0" applyAlignment="1" applyBorder="1" applyFont="1" applyNumberFormat="1">
      <alignment vertical="top"/>
    </xf>
    <xf borderId="4" fillId="2" fontId="1" numFmtId="0" xfId="0" applyAlignment="1" applyBorder="1" applyFill="1" applyFont="1">
      <alignment horizontal="center" shrinkToFit="0" wrapText="1"/>
    </xf>
    <xf borderId="12" fillId="4" fontId="1" numFmtId="0" xfId="0" applyAlignment="1" applyBorder="1" applyFill="1" applyFont="1">
      <alignment horizontal="center" vertical="center"/>
    </xf>
    <xf borderId="6" fillId="4" fontId="1" numFmtId="0" xfId="0" applyAlignment="1" applyBorder="1" applyFill="1" applyFont="1">
      <alignment horizontal="center" vertical="center"/>
    </xf>
    <xf borderId="12" fillId="8" fontId="20" numFmtId="0" xfId="0" applyAlignment="1" applyBorder="1" applyFill="1" applyFont="1">
      <alignment horizontal="center" readingOrder="0" shrinkToFit="0" vertical="center" wrapText="1"/>
    </xf>
    <xf borderId="6" fillId="10" fontId="30" numFmtId="0" xfId="0" applyAlignment="1" applyBorder="1" applyFill="1" applyFont="1">
      <alignment horizontal="center" readingOrder="0"/>
    </xf>
    <xf borderId="0" fillId="0" fontId="11" numFmtId="0" xfId="0" applyAlignment="1" applyFont="1">
      <alignment readingOrder="0"/>
    </xf>
    <xf borderId="30" fillId="8" fontId="8" numFmtId="0" xfId="0" applyBorder="1" applyFill="1" applyFont="1"/>
    <xf borderId="6" fillId="0" fontId="9" numFmtId="0" xfId="0" applyAlignment="1" applyBorder="1" applyFont="1">
      <alignment horizontal="center" readingOrder="0" vertical="center"/>
    </xf>
    <xf borderId="6" fillId="2" fontId="3" numFmtId="0" xfId="0" applyAlignment="1" applyBorder="1" applyFill="1" applyFont="1">
      <alignment horizontal="center" readingOrder="0"/>
    </xf>
    <xf borderId="7" fillId="5" fontId="28" numFmtId="0" xfId="0" applyAlignment="1" applyBorder="1" applyFill="1" applyFont="1">
      <alignment horizontal="center"/>
    </xf>
    <xf borderId="0" fillId="12" fontId="3" numFmtId="0" xfId="0" applyAlignment="1" applyFill="1" applyFont="1">
      <alignment horizontal="center"/>
    </xf>
    <xf borderId="0" fillId="0" fontId="8" numFmtId="0" xfId="0" applyAlignment="1" applyFont="1">
      <alignment horizontal="left"/>
    </xf>
    <xf borderId="6" fillId="5" fontId="11" numFmtId="0" xfId="0" applyAlignment="1" applyBorder="1" applyFill="1" applyFont="1">
      <alignment horizontal="center" readingOrder="0"/>
    </xf>
    <xf borderId="6" fillId="27" fontId="11" numFmtId="0" xfId="0" applyAlignment="1" applyBorder="1" applyFill="1" applyFont="1">
      <alignment horizontal="center" readingOrder="0"/>
    </xf>
    <xf borderId="4" fillId="31" fontId="16" numFmtId="0" xfId="0" applyAlignment="1" applyBorder="1" applyFill="1" applyFont="1">
      <alignment horizontal="center"/>
    </xf>
    <xf borderId="6" fillId="19" fontId="8" numFmtId="0" xfId="0" applyAlignment="1" applyBorder="1" applyFill="1" applyFont="1">
      <alignment horizontal="center" readingOrder="0"/>
    </xf>
    <xf borderId="4" fillId="4" fontId="1" numFmtId="0" xfId="0" applyAlignment="1" applyBorder="1" applyFill="1" applyFont="1">
      <alignment horizontal="center" vertical="center"/>
    </xf>
    <xf borderId="6" fillId="42" fontId="3" numFmtId="0" xfId="0" applyBorder="1" applyFill="1" applyFont="1"/>
    <xf borderId="6" fillId="31" fontId="16" numFmtId="0" xfId="0" applyAlignment="1" applyBorder="1" applyFill="1" applyFont="1">
      <alignment horizontal="center"/>
    </xf>
    <xf borderId="6" fillId="31" fontId="16" numFmtId="0" xfId="0" applyBorder="1" applyFill="1" applyFont="1"/>
    <xf borderId="6" fillId="4" fontId="1" numFmtId="0" xfId="0" applyAlignment="1" applyBorder="1" applyFill="1" applyFont="1">
      <alignment horizontal="left" vertical="center"/>
    </xf>
    <xf borderId="27" fillId="8" fontId="3" numFmtId="0" xfId="0" applyAlignment="1" applyBorder="1" applyFill="1" applyFont="1">
      <alignment horizontal="center"/>
    </xf>
    <xf borderId="27" fillId="8" fontId="3" numFmtId="0" xfId="0" applyBorder="1" applyFill="1" applyFont="1"/>
    <xf borderId="4" fillId="12" fontId="31" numFmtId="0" xfId="0" applyAlignment="1" applyBorder="1" applyFill="1" applyFont="1">
      <alignment horizontal="center" readingOrder="0"/>
    </xf>
    <xf borderId="12" fillId="8" fontId="3" numFmtId="0" xfId="0" applyAlignment="1" applyBorder="1" applyFill="1" applyFont="1">
      <alignment horizontal="left"/>
    </xf>
    <xf borderId="6" fillId="12" fontId="30" numFmtId="0" xfId="0" applyAlignment="1" applyBorder="1" applyFill="1" applyFont="1">
      <alignment horizontal="center" readingOrder="0"/>
    </xf>
    <xf borderId="6" fillId="12" fontId="11" numFmtId="0" xfId="0" applyAlignment="1" applyBorder="1" applyFill="1" applyFont="1">
      <alignment horizontal="center"/>
    </xf>
    <xf borderId="0" fillId="8" fontId="32" numFmtId="0" xfId="0" applyAlignment="1" applyFill="1" applyFont="1">
      <alignment horizontal="left" readingOrder="0"/>
    </xf>
    <xf borderId="6" fillId="7" fontId="9" numFmtId="0" xfId="0" applyAlignment="1" applyBorder="1" applyFill="1" applyFont="1">
      <alignment horizontal="center"/>
    </xf>
    <xf borderId="6" fillId="8" fontId="16" numFmtId="0" xfId="0" applyAlignment="1" applyBorder="1" applyFill="1" applyFont="1">
      <alignment horizontal="center" readingOrder="0"/>
    </xf>
    <xf borderId="16" fillId="0" fontId="3" numFmtId="0" xfId="0" applyAlignment="1" applyBorder="1" applyFont="1">
      <alignment horizontal="left" shrinkToFit="0" wrapText="0"/>
    </xf>
    <xf borderId="6" fillId="8" fontId="14" numFmtId="0" xfId="0" applyAlignment="1" applyBorder="1" applyFill="1" applyFont="1">
      <alignment vertical="bottom"/>
    </xf>
    <xf borderId="6" fillId="10" fontId="11" numFmtId="0" xfId="0" applyAlignment="1" applyBorder="1" applyFill="1" applyFont="1">
      <alignment horizontal="center" readingOrder="0"/>
    </xf>
    <xf borderId="6" fillId="19" fontId="19" numFmtId="0" xfId="0" applyAlignment="1" applyBorder="1" applyFill="1" applyFont="1">
      <alignment horizontal="center" vertical="bottom"/>
    </xf>
    <xf borderId="0" fillId="7" fontId="16" numFmtId="0" xfId="0" applyAlignment="1" applyFill="1" applyFont="1">
      <alignment horizontal="center" readingOrder="0"/>
    </xf>
    <xf borderId="16" fillId="0" fontId="3" numFmtId="0" xfId="0" applyAlignment="1" applyBorder="1" applyFont="1">
      <alignment horizontal="left"/>
    </xf>
    <xf borderId="6" fillId="8" fontId="16" numFmtId="0" xfId="0" applyAlignment="1" applyBorder="1" applyFill="1" applyFont="1">
      <alignment horizontal="left"/>
    </xf>
    <xf borderId="12" fillId="8" fontId="9" numFmtId="0" xfId="0" applyAlignment="1" applyBorder="1" applyFill="1" applyFont="1">
      <alignment horizontal="center" readingOrder="0" vertical="center"/>
    </xf>
    <xf borderId="6" fillId="0" fontId="14" numFmtId="0" xfId="0" applyBorder="1" applyFont="1"/>
    <xf borderId="6" fillId="8" fontId="14" numFmtId="0" xfId="0" applyAlignment="1" applyBorder="1" applyFill="1" applyFont="1">
      <alignment horizontal="center"/>
    </xf>
    <xf borderId="6" fillId="0" fontId="14" numFmtId="0" xfId="0" applyAlignment="1" applyBorder="1" applyFont="1">
      <alignment readingOrder="0"/>
    </xf>
    <xf borderId="19" fillId="10" fontId="11" numFmtId="0" xfId="0" applyAlignment="1" applyBorder="1" applyFill="1" applyFont="1">
      <alignment horizontal="center"/>
    </xf>
    <xf borderId="19" fillId="0" fontId="11" numFmtId="0" xfId="0" applyAlignment="1" applyBorder="1" applyFont="1">
      <alignment horizontal="center" readingOrder="0"/>
    </xf>
    <xf borderId="19" fillId="8" fontId="11" numFmtId="0" xfId="0" applyAlignment="1" applyBorder="1" applyFill="1" applyFont="1">
      <alignment horizontal="center" readingOrder="0"/>
    </xf>
    <xf borderId="6" fillId="24" fontId="3" numFmtId="0" xfId="0" applyAlignment="1" applyBorder="1" applyFill="1" applyFont="1">
      <alignment horizontal="center" readingOrder="0"/>
    </xf>
    <xf borderId="6" fillId="23" fontId="16" numFmtId="0" xfId="0" applyAlignment="1" applyBorder="1" applyFill="1" applyFont="1">
      <alignment horizontal="center" readingOrder="0"/>
    </xf>
    <xf borderId="6" fillId="0" fontId="3" numFmtId="164" xfId="0" applyAlignment="1" applyBorder="1" applyFont="1" applyNumberFormat="1">
      <alignment horizontal="left" shrinkToFit="0" wrapText="1"/>
    </xf>
    <xf borderId="6" fillId="12" fontId="3" numFmtId="164" xfId="0" applyAlignment="1" applyBorder="1" applyFill="1" applyFont="1" applyNumberFormat="1">
      <alignment horizontal="left" shrinkToFit="0" wrapText="1"/>
    </xf>
    <xf borderId="0" fillId="6" fontId="8" numFmtId="0" xfId="0" applyAlignment="1" applyFill="1" applyFont="1">
      <alignment horizontal="center" vertical="bottom"/>
    </xf>
    <xf borderId="6" fillId="12" fontId="33" numFmtId="0" xfId="0" applyAlignment="1" applyBorder="1" applyFill="1" applyFont="1">
      <alignment horizontal="center" readingOrder="0"/>
    </xf>
    <xf borderId="16" fillId="0" fontId="9" numFmtId="166" xfId="0" applyAlignment="1" applyBorder="1" applyFont="1" applyNumberFormat="1">
      <alignment horizontal="center" vertical="center"/>
    </xf>
    <xf borderId="16" fillId="0" fontId="3" numFmtId="0" xfId="0" applyAlignment="1" applyBorder="1" applyFont="1">
      <alignment readingOrder="0"/>
    </xf>
    <xf borderId="16" fillId="0" fontId="9" numFmtId="0" xfId="0" applyAlignment="1" applyBorder="1" applyFont="1">
      <alignment horizontal="left" shrinkToFit="0" vertical="center" wrapText="0"/>
    </xf>
    <xf borderId="5" fillId="12" fontId="12" numFmtId="0" xfId="0" applyAlignment="1" applyBorder="1" applyFill="1" applyFont="1">
      <alignment horizontal="center" readingOrder="0"/>
    </xf>
    <xf borderId="0" fillId="0" fontId="26" numFmtId="0" xfId="0" applyFont="1"/>
    <xf borderId="1" fillId="31" fontId="3" numFmtId="0" xfId="0" applyAlignment="1" applyBorder="1" applyFill="1" applyFont="1">
      <alignment horizontal="center"/>
    </xf>
    <xf borderId="11" fillId="31" fontId="3" numFmtId="0" xfId="0" applyAlignment="1" applyBorder="1" applyFill="1" applyFont="1">
      <alignment horizontal="center"/>
    </xf>
    <xf borderId="8" fillId="12" fontId="22" numFmtId="0" xfId="0" applyAlignment="1" applyBorder="1" applyFill="1" applyFont="1">
      <alignment horizontal="center" readingOrder="0"/>
    </xf>
    <xf borderId="1" fillId="31" fontId="1" numFmtId="0" xfId="0" applyAlignment="1" applyBorder="1" applyFill="1" applyFont="1">
      <alignment horizontal="center" shrinkToFit="0" wrapText="1"/>
    </xf>
    <xf borderId="12" fillId="8" fontId="3" numFmtId="0" xfId="0" applyAlignment="1" applyBorder="1" applyFill="1" applyFont="1">
      <alignment horizontal="left" shrinkToFit="0" wrapText="0"/>
    </xf>
    <xf borderId="6" fillId="36" fontId="33" numFmtId="0" xfId="0" applyAlignment="1" applyBorder="1" applyFill="1" applyFont="1">
      <alignment horizontal="center"/>
    </xf>
    <xf borderId="12" fillId="31" fontId="3" numFmtId="0" xfId="0" applyBorder="1" applyFill="1" applyFont="1"/>
    <xf borderId="12" fillId="31" fontId="3" numFmtId="0" xfId="0" applyAlignment="1" applyBorder="1" applyFill="1" applyFont="1">
      <alignment horizontal="center"/>
    </xf>
    <xf borderId="0" fillId="11" fontId="8" numFmtId="0" xfId="0" applyAlignment="1" applyFill="1" applyFont="1">
      <alignment horizontal="center" readingOrder="0"/>
    </xf>
    <xf borderId="12" fillId="31" fontId="3" numFmtId="0" xfId="0" applyAlignment="1" applyBorder="1" applyFill="1" applyFont="1">
      <alignment vertical="top"/>
    </xf>
    <xf borderId="12" fillId="8" fontId="3" numFmtId="0" xfId="0" applyAlignment="1" applyBorder="1" applyFill="1" applyFont="1">
      <alignment shrinkToFit="0" vertical="top" wrapText="1"/>
    </xf>
    <xf borderId="6" fillId="15" fontId="20" numFmtId="0" xfId="0" applyAlignment="1" applyBorder="1" applyFill="1" applyFont="1">
      <alignment horizontal="center" readingOrder="0"/>
    </xf>
    <xf borderId="1" fillId="3" fontId="1" numFmtId="0" xfId="0" applyAlignment="1" applyBorder="1" applyFill="1" applyFont="1">
      <alignment horizontal="center" vertical="center"/>
    </xf>
    <xf borderId="19" fillId="0" fontId="20" numFmtId="0" xfId="0" applyAlignment="1" applyBorder="1" applyFont="1">
      <alignment horizontal="center"/>
    </xf>
    <xf borderId="19" fillId="0" fontId="20" numFmtId="0" xfId="0" applyBorder="1" applyFont="1"/>
    <xf borderId="19" fillId="0" fontId="20" numFmtId="0" xfId="0" applyAlignment="1" applyBorder="1" applyFont="1">
      <alignment horizontal="left"/>
    </xf>
    <xf borderId="10" fillId="16" fontId="8" numFmtId="0" xfId="0" applyBorder="1" applyFill="1" applyFont="1"/>
    <xf borderId="6" fillId="0" fontId="14" numFmtId="0" xfId="0" applyAlignment="1" applyBorder="1" applyFont="1">
      <alignment horizontal="center" readingOrder="0"/>
    </xf>
    <xf borderId="31" fillId="16" fontId="8" numFmtId="0" xfId="0" applyBorder="1" applyFill="1" applyFont="1"/>
    <xf borderId="8" fillId="0" fontId="9" numFmtId="0" xfId="0" applyAlignment="1" applyBorder="1" applyFont="1">
      <alignment horizontal="left" vertical="center"/>
    </xf>
    <xf borderId="8" fillId="0" fontId="9" numFmtId="0" xfId="0" applyAlignment="1" applyBorder="1" applyFont="1">
      <alignment horizontal="center" vertical="center"/>
    </xf>
    <xf borderId="8" fillId="0" fontId="9" numFmtId="0" xfId="0" applyAlignment="1" applyBorder="1" applyFont="1">
      <alignment horizontal="left" shrinkToFit="0" vertical="center" wrapText="0"/>
    </xf>
    <xf borderId="6" fillId="15" fontId="16" numFmtId="0" xfId="0" applyBorder="1" applyFill="1" applyFont="1"/>
    <xf borderId="6" fillId="0" fontId="3" numFmtId="0" xfId="0" applyAlignment="1" applyBorder="1" applyFont="1">
      <alignment horizontal="center" vertical="top"/>
    </xf>
    <xf borderId="0" fillId="0" fontId="26" numFmtId="0" xfId="0" applyAlignment="1" applyFont="1">
      <alignment readingOrder="0"/>
    </xf>
    <xf borderId="6" fillId="22" fontId="20" numFmtId="0" xfId="0" applyAlignment="1" applyBorder="1" applyFill="1" applyFont="1">
      <alignment horizontal="center" readingOrder="0"/>
    </xf>
    <xf borderId="6" fillId="8" fontId="9" numFmtId="0" xfId="0" applyAlignment="1" applyBorder="1" applyFill="1" applyFont="1">
      <alignment horizontal="left" readingOrder="0" vertical="center"/>
    </xf>
    <xf borderId="4" fillId="12" fontId="34" numFmtId="0" xfId="0" applyAlignment="1" applyBorder="1" applyFill="1" applyFont="1">
      <alignment horizontal="center" readingOrder="0"/>
    </xf>
    <xf borderId="19" fillId="0" fontId="9" numFmtId="0" xfId="0" applyAlignment="1" applyBorder="1" applyFont="1">
      <alignment horizontal="center"/>
    </xf>
    <xf borderId="15" fillId="0" fontId="9" numFmtId="0" xfId="0" applyAlignment="1" applyBorder="1" applyFont="1">
      <alignment horizontal="center"/>
    </xf>
    <xf borderId="6" fillId="0" fontId="9" numFmtId="0" xfId="0" applyAlignment="1" applyBorder="1" applyFont="1">
      <alignment horizontal="left"/>
    </xf>
    <xf borderId="12" fillId="8" fontId="9" numFmtId="0" xfId="0" applyAlignment="1" applyBorder="1" applyFill="1" applyFont="1">
      <alignment horizontal="center"/>
    </xf>
    <xf borderId="18" fillId="8" fontId="9" numFmtId="0" xfId="0" applyAlignment="1" applyBorder="1" applyFill="1" applyFont="1">
      <alignment horizontal="center" vertical="center"/>
    </xf>
    <xf borderId="6" fillId="43" fontId="9" numFmtId="0" xfId="0" applyAlignment="1" applyBorder="1" applyFill="1" applyFont="1">
      <alignment horizontal="center" readingOrder="0"/>
    </xf>
    <xf borderId="6" fillId="8" fontId="13" numFmtId="0" xfId="0" applyAlignment="1" applyBorder="1" applyFill="1" applyFont="1">
      <alignment horizontal="center"/>
    </xf>
    <xf borderId="11" fillId="8" fontId="16" numFmtId="0" xfId="0" applyAlignment="1" applyBorder="1" applyFill="1" applyFont="1">
      <alignment horizontal="center"/>
    </xf>
    <xf borderId="6" fillId="0" fontId="13" numFmtId="0" xfId="0" applyAlignment="1" applyBorder="1" applyFont="1">
      <alignment horizontal="left"/>
    </xf>
    <xf borderId="12" fillId="8" fontId="16" numFmtId="0" xfId="0" applyBorder="1" applyFill="1" applyFont="1"/>
    <xf borderId="6" fillId="0" fontId="13" numFmtId="0" xfId="0" applyAlignment="1" applyBorder="1" applyFont="1">
      <alignment horizontal="center"/>
    </xf>
    <xf borderId="12" fillId="8" fontId="16" numFmtId="0" xfId="0" applyAlignment="1" applyBorder="1" applyFill="1" applyFont="1">
      <alignment horizontal="center"/>
    </xf>
    <xf borderId="12" fillId="8" fontId="16" numFmtId="164" xfId="0" applyBorder="1" applyFill="1" applyFont="1" applyNumberFormat="1"/>
    <xf borderId="12" fillId="8" fontId="16" numFmtId="0" xfId="0" applyAlignment="1" applyBorder="1" applyFill="1" applyFont="1">
      <alignment horizontal="center" shrinkToFit="0" wrapText="1"/>
    </xf>
    <xf borderId="18" fillId="8" fontId="9" numFmtId="0" xfId="0" applyAlignment="1" applyBorder="1" applyFill="1" applyFont="1">
      <alignment horizontal="left" shrinkToFit="0" vertical="center" wrapText="0"/>
    </xf>
    <xf borderId="0" fillId="0" fontId="26" numFmtId="0" xfId="0" applyFont="1"/>
    <xf borderId="18" fillId="8" fontId="9" numFmtId="0" xfId="0" applyAlignment="1" applyBorder="1" applyFill="1" applyFont="1">
      <alignment horizontal="left" vertical="center"/>
    </xf>
    <xf borderId="4" fillId="12" fontId="35" numFmtId="0" xfId="0" applyAlignment="1" applyBorder="1" applyFill="1" applyFont="1">
      <alignment horizontal="center" readingOrder="0"/>
    </xf>
    <xf borderId="10" fillId="8" fontId="11" numFmtId="0" xfId="0" applyBorder="1" applyFill="1" applyFont="1"/>
    <xf borderId="6" fillId="8" fontId="9" numFmtId="0" xfId="0" applyAlignment="1" applyBorder="1" applyFill="1" applyFont="1">
      <alignment horizontal="center"/>
    </xf>
    <xf borderId="8" fillId="0" fontId="3" numFmtId="0" xfId="0" applyAlignment="1" applyBorder="1" applyFont="1">
      <alignment horizontal="left"/>
    </xf>
    <xf borderId="8" fillId="0" fontId="3" numFmtId="0" xfId="0" applyAlignment="1" applyBorder="1" applyFont="1">
      <alignment horizontal="left" shrinkToFit="0" wrapText="0"/>
    </xf>
    <xf borderId="0" fillId="8" fontId="9" numFmtId="0" xfId="0" applyAlignment="1" applyFill="1" applyFont="1">
      <alignment horizontal="center" shrinkToFit="0" vertical="center" wrapText="1"/>
    </xf>
    <xf borderId="6" fillId="22" fontId="3" numFmtId="0" xfId="0" applyAlignment="1" applyBorder="1" applyFill="1" applyFont="1">
      <alignment horizontal="center" readingOrder="0"/>
    </xf>
    <xf borderId="6" fillId="8" fontId="3" numFmtId="0" xfId="0" applyAlignment="1" applyBorder="1" applyFill="1" applyFont="1">
      <alignment shrinkToFit="0" wrapText="0"/>
    </xf>
    <xf borderId="11" fillId="8" fontId="3" numFmtId="0" xfId="0" applyAlignment="1" applyBorder="1" applyFill="1" applyFont="1">
      <alignment horizontal="left"/>
    </xf>
    <xf borderId="6" fillId="19" fontId="3" numFmtId="0" xfId="0" applyAlignment="1" applyBorder="1" applyFill="1" applyFont="1">
      <alignment horizontal="center" readingOrder="0"/>
    </xf>
    <xf borderId="11" fillId="8" fontId="3" numFmtId="0" xfId="0" applyAlignment="1" applyBorder="1" applyFill="1" applyFont="1">
      <alignment horizontal="center" shrinkToFit="0" vertical="center" wrapText="1"/>
    </xf>
    <xf borderId="10" fillId="8" fontId="8" numFmtId="0" xfId="0" applyBorder="1" applyFill="1" applyFont="1"/>
    <xf borderId="6" fillId="8" fontId="9" numFmtId="0" xfId="0" applyAlignment="1" applyBorder="1" applyFill="1" applyFont="1">
      <alignment horizontal="left"/>
    </xf>
    <xf borderId="6" fillId="8" fontId="9" numFmtId="0" xfId="0" applyAlignment="1" applyBorder="1" applyFill="1" applyFont="1">
      <alignment shrinkToFit="0" wrapText="0"/>
    </xf>
    <xf borderId="32" fillId="8" fontId="3" numFmtId="0" xfId="0" applyBorder="1" applyFill="1" applyFont="1"/>
    <xf borderId="32" fillId="8" fontId="3" numFmtId="0" xfId="0" applyAlignment="1" applyBorder="1" applyFill="1" applyFont="1">
      <alignment horizontal="center"/>
    </xf>
    <xf borderId="33" fillId="0" fontId="3" numFmtId="0" xfId="0" applyBorder="1" applyFont="1"/>
    <xf borderId="6" fillId="0" fontId="3" numFmtId="0" xfId="0" applyAlignment="1" applyBorder="1" applyFont="1">
      <alignment shrinkToFit="0" wrapText="0"/>
    </xf>
    <xf borderId="32" fillId="8" fontId="3" numFmtId="164" xfId="0" applyBorder="1" applyFill="1" applyFont="1" applyNumberFormat="1"/>
    <xf borderId="11" fillId="8" fontId="14" numFmtId="0" xfId="0" applyAlignment="1" applyBorder="1" applyFill="1" applyFont="1">
      <alignment horizontal="center" vertical="bottom"/>
    </xf>
    <xf borderId="6" fillId="8" fontId="36" numFmtId="0" xfId="0" applyAlignment="1" applyBorder="1" applyFill="1" applyFont="1">
      <alignment horizontal="center" vertical="bottom"/>
    </xf>
    <xf borderId="16" fillId="0" fontId="14" numFmtId="0" xfId="0" applyAlignment="1" applyBorder="1" applyFont="1">
      <alignment shrinkToFit="0" vertical="bottom" wrapText="0"/>
    </xf>
    <xf borderId="16" fillId="10" fontId="3" numFmtId="0" xfId="0" applyAlignment="1" applyBorder="1" applyFill="1" applyFont="1">
      <alignment horizontal="center"/>
    </xf>
    <xf borderId="10" fillId="23" fontId="7" numFmtId="0" xfId="0" applyAlignment="1" applyBorder="1" applyFill="1" applyFont="1">
      <alignment horizontal="center" readingOrder="0"/>
    </xf>
    <xf borderId="16" fillId="13" fontId="3" numFmtId="0" xfId="0" applyAlignment="1" applyBorder="1" applyFill="1" applyFont="1">
      <alignment horizontal="center" readingOrder="0"/>
    </xf>
    <xf borderId="16" fillId="8" fontId="3" numFmtId="0" xfId="0" applyAlignment="1" applyBorder="1" applyFill="1" applyFont="1">
      <alignment horizontal="center" readingOrder="0"/>
    </xf>
    <xf borderId="31" fillId="38" fontId="1" numFmtId="0" xfId="0" applyAlignment="1" applyBorder="1" applyFill="1" applyFont="1">
      <alignment horizontal="center" readingOrder="0" vertical="center"/>
    </xf>
    <xf borderId="22" fillId="0" fontId="3" numFmtId="0" xfId="0" applyAlignment="1" applyBorder="1" applyFont="1">
      <alignment horizontal="center"/>
    </xf>
    <xf borderId="6" fillId="44" fontId="9" numFmtId="0" xfId="0" applyAlignment="1" applyBorder="1" applyFill="1" applyFont="1">
      <alignment horizontal="center" readingOrder="0"/>
    </xf>
    <xf borderId="27" fillId="8" fontId="3" numFmtId="0" xfId="0" applyAlignment="1" applyBorder="1" applyFill="1" applyFont="1">
      <alignment horizontal="left"/>
    </xf>
    <xf borderId="27" fillId="8" fontId="9" numFmtId="0" xfId="0" applyAlignment="1" applyBorder="1" applyFill="1" applyFont="1">
      <alignment horizontal="center"/>
    </xf>
    <xf borderId="27" fillId="8" fontId="3" numFmtId="164" xfId="0" applyAlignment="1" applyBorder="1" applyFill="1" applyFont="1" applyNumberFormat="1">
      <alignment horizontal="left" shrinkToFit="0" wrapText="0"/>
    </xf>
    <xf borderId="6" fillId="10" fontId="8" numFmtId="0" xfId="0" applyAlignment="1" applyBorder="1" applyFill="1" applyFont="1">
      <alignment vertical="bottom"/>
    </xf>
    <xf borderId="6" fillId="8" fontId="8" numFmtId="0" xfId="0" applyAlignment="1" applyBorder="1" applyFill="1" applyFont="1">
      <alignment horizontal="center" readingOrder="0" vertical="bottom"/>
    </xf>
    <xf borderId="4" fillId="12" fontId="34" numFmtId="0" xfId="0" applyAlignment="1" applyBorder="1" applyFill="1" applyFont="1">
      <alignment horizontal="center" readingOrder="0" vertical="bottom"/>
    </xf>
    <xf borderId="6" fillId="8" fontId="14" numFmtId="0" xfId="0" applyBorder="1" applyFill="1" applyFont="1"/>
    <xf borderId="6" fillId="0" fontId="14" numFmtId="166" xfId="0" applyAlignment="1" applyBorder="1" applyFont="1" applyNumberFormat="1">
      <alignment horizontal="center"/>
    </xf>
    <xf borderId="6" fillId="8" fontId="14" numFmtId="0" xfId="0" applyAlignment="1" applyBorder="1" applyFill="1" applyFont="1">
      <alignment shrinkToFit="0" wrapText="0"/>
    </xf>
    <xf borderId="6" fillId="12" fontId="14" numFmtId="0" xfId="0" applyAlignment="1" applyBorder="1" applyFill="1" applyFont="1">
      <alignment horizontal="center" vertical="bottom"/>
    </xf>
    <xf borderId="6" fillId="12" fontId="14" numFmtId="0" xfId="0" applyAlignment="1" applyBorder="1" applyFill="1" applyFont="1">
      <alignment horizontal="center" vertical="bottom"/>
    </xf>
    <xf borderId="15" fillId="0" fontId="9" numFmtId="0" xfId="0" applyAlignment="1" applyBorder="1" applyFont="1">
      <alignment horizontal="left"/>
    </xf>
    <xf borderId="15" fillId="0" fontId="9" numFmtId="0" xfId="0" applyAlignment="1" applyBorder="1" applyFont="1">
      <alignment horizontal="left" shrinkToFit="0" wrapText="0"/>
    </xf>
    <xf borderId="4" fillId="14" fontId="29" numFmtId="0" xfId="0" applyAlignment="1" applyBorder="1" applyFill="1" applyFont="1">
      <alignment horizontal="center"/>
    </xf>
    <xf borderId="12" fillId="8" fontId="14" numFmtId="0" xfId="0" applyAlignment="1" applyBorder="1" applyFill="1" applyFont="1">
      <alignment horizontal="center" vertical="bottom"/>
    </xf>
    <xf borderId="12" fillId="8" fontId="14" numFmtId="0" xfId="0" applyAlignment="1" applyBorder="1" applyFill="1" applyFont="1">
      <alignment shrinkToFit="0" vertical="bottom" wrapText="0"/>
    </xf>
    <xf borderId="6" fillId="39" fontId="9" numFmtId="0" xfId="0" applyAlignment="1" applyBorder="1" applyFill="1" applyFont="1">
      <alignment horizontal="center" readingOrder="0"/>
    </xf>
    <xf borderId="6" fillId="0" fontId="8" numFmtId="164" xfId="0" applyBorder="1" applyFont="1" applyNumberFormat="1"/>
    <xf borderId="4" fillId="3" fontId="5" numFmtId="0" xfId="0" applyAlignment="1" applyBorder="1" applyFill="1" applyFont="1">
      <alignment horizontal="center"/>
    </xf>
    <xf borderId="10" fillId="7" fontId="7" numFmtId="0" xfId="0" applyAlignment="1" applyBorder="1" applyFill="1" applyFont="1">
      <alignment horizontal="center"/>
    </xf>
    <xf borderId="6" fillId="0" fontId="9" numFmtId="0" xfId="0" applyAlignment="1" applyBorder="1" applyFont="1">
      <alignment horizontal="center" shrinkToFit="0" vertical="center" wrapText="1"/>
    </xf>
    <xf borderId="34" fillId="7" fontId="5" numFmtId="0" xfId="0" applyAlignment="1" applyBorder="1" applyFill="1" applyFont="1">
      <alignment horizontal="center" shrinkToFit="0" wrapText="1"/>
    </xf>
    <xf borderId="6" fillId="8" fontId="3" numFmtId="164" xfId="0" applyAlignment="1" applyBorder="1" applyFill="1" applyFont="1" applyNumberFormat="1">
      <alignment readingOrder="0"/>
    </xf>
    <xf borderId="6" fillId="12" fontId="9" numFmtId="0" xfId="0" applyAlignment="1" applyBorder="1" applyFill="1" applyFont="1">
      <alignment horizontal="center" readingOrder="0"/>
    </xf>
    <xf borderId="13" fillId="8" fontId="8" numFmtId="0" xfId="0" applyAlignment="1" applyBorder="1" applyFill="1" applyFont="1">
      <alignment horizontal="center" readingOrder="0"/>
    </xf>
    <xf borderId="6" fillId="8" fontId="3" numFmtId="3" xfId="0" applyAlignment="1" applyBorder="1" applyFill="1" applyFont="1" applyNumberFormat="1">
      <alignment horizontal="center" readingOrder="0"/>
    </xf>
    <xf borderId="0" fillId="12" fontId="9" numFmtId="0" xfId="0" applyAlignment="1" applyFill="1" applyFont="1">
      <alignment horizontal="center" readingOrder="0"/>
    </xf>
    <xf borderId="0" fillId="12" fontId="9" numFmtId="0" xfId="0" applyAlignment="1" applyFill="1" applyFont="1">
      <alignment horizontal="center"/>
    </xf>
    <xf borderId="6" fillId="12" fontId="1" numFmtId="0" xfId="0" applyAlignment="1" applyBorder="1" applyFill="1" applyFont="1">
      <alignment horizontal="center" vertical="center"/>
    </xf>
    <xf borderId="0" fillId="8" fontId="3" numFmtId="0" xfId="0" applyAlignment="1" applyFill="1" applyFont="1">
      <alignment readingOrder="0"/>
    </xf>
    <xf borderId="0" fillId="8" fontId="3" numFmtId="3" xfId="0" applyAlignment="1" applyFill="1" applyFont="1" applyNumberFormat="1">
      <alignment horizontal="center" readingOrder="0"/>
    </xf>
    <xf borderId="6" fillId="28" fontId="1" numFmtId="0" xfId="0" applyAlignment="1" applyBorder="1" applyFill="1" applyFont="1">
      <alignment horizontal="center" readingOrder="0" vertical="center"/>
    </xf>
    <xf borderId="24" fillId="5" fontId="23" numFmtId="0" xfId="0" applyAlignment="1" applyBorder="1" applyFill="1" applyFont="1">
      <alignment horizontal="center"/>
    </xf>
    <xf borderId="30" fillId="5" fontId="23" numFmtId="0" xfId="0" applyAlignment="1" applyBorder="1" applyFill="1" applyFont="1">
      <alignment horizontal="center"/>
    </xf>
    <xf borderId="11" fillId="8" fontId="9" numFmtId="0" xfId="0" applyAlignment="1" applyBorder="1" applyFill="1" applyFont="1">
      <alignment horizontal="center" vertical="center"/>
    </xf>
    <xf borderId="12" fillId="8" fontId="9" numFmtId="0" xfId="0" applyAlignment="1" applyBorder="1" applyFill="1" applyFont="1">
      <alignment horizontal="left" shrinkToFit="0" vertical="center" wrapText="0"/>
    </xf>
    <xf borderId="6" fillId="45" fontId="3" numFmtId="0" xfId="0" applyAlignment="1" applyBorder="1" applyFill="1" applyFont="1">
      <alignment horizontal="center"/>
    </xf>
    <xf borderId="6" fillId="45" fontId="3" numFmtId="0" xfId="0" applyAlignment="1" applyBorder="1" applyFill="1" applyFont="1">
      <alignment horizontal="center" readingOrder="0"/>
    </xf>
    <xf borderId="6" fillId="46" fontId="3" numFmtId="0" xfId="0" applyAlignment="1" applyBorder="1" applyFill="1" applyFont="1">
      <alignment horizontal="center"/>
    </xf>
    <xf borderId="6" fillId="46" fontId="3" numFmtId="0" xfId="0" applyAlignment="1" applyBorder="1" applyFill="1" applyFont="1">
      <alignment horizontal="center" readingOrder="0"/>
    </xf>
    <xf borderId="4" fillId="12" fontId="22" numFmtId="0" xfId="0" applyAlignment="1" applyBorder="1" applyFill="1" applyFont="1">
      <alignment horizontal="center" readingOrder="0" shrinkToFit="0" vertical="center" wrapText="1"/>
    </xf>
    <xf borderId="0" fillId="0" fontId="3" numFmtId="164" xfId="0" applyFont="1" applyNumberFormat="1"/>
    <xf borderId="0" fillId="0" fontId="14" numFmtId="0" xfId="0" applyFont="1"/>
    <xf borderId="1" fillId="4" fontId="1" numFmtId="0" xfId="0" applyAlignment="1" applyBorder="1" applyFill="1" applyFont="1">
      <alignment horizontal="center" vertical="center"/>
    </xf>
    <xf borderId="35" fillId="0" fontId="2" numFmtId="0" xfId="0" applyBorder="1" applyFont="1"/>
    <xf borderId="22" fillId="0" fontId="9" numFmtId="0" xfId="0" applyAlignment="1" applyBorder="1" applyFont="1">
      <alignment horizontal="left" vertical="center"/>
    </xf>
    <xf borderId="4" fillId="4" fontId="3" numFmtId="0" xfId="0" applyAlignment="1" applyBorder="1" applyFill="1" applyFont="1">
      <alignment horizontal="center"/>
    </xf>
    <xf borderId="6" fillId="4" fontId="3" numFmtId="0" xfId="0" applyAlignment="1" applyBorder="1" applyFill="1" applyFont="1">
      <alignment horizontal="center"/>
    </xf>
    <xf borderId="6" fillId="4" fontId="3" numFmtId="0" xfId="0" applyBorder="1" applyFill="1" applyFont="1"/>
    <xf borderId="27" fillId="8" fontId="9" numFmtId="0" xfId="0" applyAlignment="1" applyBorder="1" applyFill="1" applyFont="1">
      <alignment horizontal="left" shrinkToFit="0" vertical="center" wrapText="0"/>
    </xf>
    <xf borderId="11" fillId="8" fontId="9" numFmtId="0" xfId="0" applyAlignment="1" applyBorder="1" applyFill="1" applyFont="1">
      <alignment horizontal="left" vertical="center"/>
    </xf>
    <xf borderId="6" fillId="0" fontId="3" numFmtId="0" xfId="0" applyAlignment="1" applyBorder="1" applyFont="1">
      <alignment horizontal="left" shrinkToFit="0" wrapText="1"/>
    </xf>
    <xf borderId="6" fillId="10" fontId="8" numFmtId="0" xfId="0" applyAlignment="1" applyBorder="1" applyFill="1" applyFont="1">
      <alignment readingOrder="0" vertical="bottom"/>
    </xf>
    <xf borderId="10" fillId="28" fontId="8" numFmtId="0" xfId="0" applyAlignment="1" applyBorder="1" applyFill="1" applyFont="1">
      <alignment horizontal="center"/>
    </xf>
    <xf borderId="6" fillId="0" fontId="9" numFmtId="164" xfId="0" applyAlignment="1" applyBorder="1" applyFont="1" applyNumberFormat="1">
      <alignment horizontal="left" vertical="center"/>
    </xf>
    <xf borderId="4" fillId="31" fontId="8" numFmtId="0" xfId="0" applyAlignment="1" applyBorder="1" applyFill="1" applyFont="1">
      <alignment horizontal="center"/>
    </xf>
    <xf borderId="0" fillId="0" fontId="26" numFmtId="165" xfId="0" applyAlignment="1" applyFont="1" applyNumberFormat="1">
      <alignment readingOrder="0"/>
    </xf>
    <xf borderId="6" fillId="31" fontId="8" numFmtId="0" xfId="0" applyAlignment="1" applyBorder="1" applyFill="1" applyFont="1">
      <alignment horizontal="center"/>
    </xf>
    <xf borderId="6" fillId="31" fontId="8" numFmtId="0" xfId="0" applyBorder="1" applyFill="1" applyFont="1"/>
    <xf borderId="6" fillId="12" fontId="22" numFmtId="0" xfId="0" applyAlignment="1" applyBorder="1" applyFill="1" applyFont="1">
      <alignment horizontal="center"/>
    </xf>
    <xf borderId="6" fillId="12" fontId="22" numFmtId="0" xfId="0" applyAlignment="1" applyBorder="1" applyFill="1" applyFont="1">
      <alignment horizontal="center" readingOrder="0"/>
    </xf>
    <xf borderId="6" fillId="8" fontId="8" numFmtId="0" xfId="0" applyBorder="1" applyFill="1" applyFont="1"/>
    <xf borderId="6" fillId="8" fontId="8" numFmtId="164" xfId="0" applyBorder="1" applyFill="1" applyFont="1" applyNumberFormat="1"/>
    <xf borderId="6" fillId="8" fontId="9" numFmtId="0" xfId="0" applyAlignment="1" applyBorder="1" applyFill="1" applyFont="1">
      <alignment horizontal="center" shrinkToFit="0" wrapText="1"/>
    </xf>
    <xf borderId="6" fillId="8" fontId="9" numFmtId="164" xfId="0" applyAlignment="1" applyBorder="1" applyFill="1" applyFont="1" applyNumberFormat="1">
      <alignment horizontal="center"/>
    </xf>
    <xf borderId="6" fillId="8" fontId="9" numFmtId="164" xfId="0" applyAlignment="1" applyBorder="1" applyFill="1" applyFont="1" applyNumberFormat="1">
      <alignment horizontal="left"/>
    </xf>
    <xf borderId="18" fillId="8" fontId="3" numFmtId="0" xfId="0" applyAlignment="1" applyBorder="1" applyFill="1" applyFont="1">
      <alignment horizontal="left"/>
    </xf>
    <xf borderId="8" fillId="0" fontId="3" numFmtId="164" xfId="0" applyAlignment="1" applyBorder="1" applyFont="1" applyNumberFormat="1">
      <alignment horizontal="center"/>
    </xf>
    <xf borderId="16" fillId="0" fontId="9" numFmtId="0" xfId="0" applyAlignment="1" applyBorder="1" applyFont="1">
      <alignment horizontal="left"/>
    </xf>
    <xf borderId="16" fillId="0" fontId="9" numFmtId="0" xfId="0" applyAlignment="1" applyBorder="1" applyFont="1">
      <alignment horizontal="center"/>
    </xf>
    <xf borderId="6" fillId="29" fontId="8" numFmtId="0" xfId="0" applyAlignment="1" applyBorder="1" applyFill="1" applyFont="1">
      <alignment horizontal="center"/>
    </xf>
    <xf borderId="6" fillId="0" fontId="8" numFmtId="0" xfId="0" applyAlignment="1" applyBorder="1" applyFont="1">
      <alignment readingOrder="0"/>
    </xf>
    <xf borderId="12" fillId="8" fontId="3" numFmtId="0" xfId="0" applyAlignment="1" applyBorder="1" applyFill="1" applyFont="1">
      <alignment vertical="top"/>
    </xf>
    <xf borderId="1" fillId="38" fontId="1" numFmtId="0" xfId="0" applyAlignment="1" applyBorder="1" applyFill="1" applyFont="1">
      <alignment horizontal="center" vertical="center"/>
    </xf>
    <xf borderId="6" fillId="0" fontId="9" numFmtId="0" xfId="0" applyAlignment="1" applyBorder="1" applyFont="1">
      <alignment horizontal="left" readingOrder="0" vertical="center"/>
    </xf>
    <xf borderId="1" fillId="40" fontId="1" numFmtId="0" xfId="0" applyAlignment="1" applyBorder="1" applyFill="1" applyFont="1">
      <alignment horizontal="center" vertical="center"/>
    </xf>
    <xf borderId="27" fillId="8" fontId="3" numFmtId="0" xfId="0" applyAlignment="1" applyBorder="1" applyFill="1" applyFont="1">
      <alignment horizontal="left" readingOrder="0" shrinkToFit="0" wrapText="0"/>
    </xf>
    <xf borderId="6" fillId="0" fontId="9" numFmtId="0" xfId="0" applyAlignment="1" applyBorder="1" applyFont="1">
      <alignment horizontal="left" shrinkToFit="0" vertical="center" wrapText="1"/>
    </xf>
    <xf borderId="8" fillId="0" fontId="9" numFmtId="0" xfId="0" applyAlignment="1" applyBorder="1" applyFont="1">
      <alignment horizontal="left" shrinkToFit="0" vertical="center" wrapText="1"/>
    </xf>
    <xf borderId="15" fillId="0" fontId="14" numFmtId="0" xfId="0" applyAlignment="1" applyBorder="1" applyFont="1">
      <alignment horizontal="center"/>
    </xf>
    <xf borderId="6" fillId="0" fontId="8" numFmtId="0" xfId="0" applyAlignment="1" applyBorder="1" applyFont="1">
      <alignment readingOrder="0" vertical="bottom"/>
    </xf>
    <xf borderId="8" fillId="12" fontId="34" numFmtId="0" xfId="0" applyAlignment="1" applyBorder="1" applyFill="1" applyFont="1">
      <alignment readingOrder="0" vertical="bottom"/>
    </xf>
    <xf borderId="6" fillId="26" fontId="14" numFmtId="0" xfId="0" applyAlignment="1" applyBorder="1" applyFill="1" applyFont="1">
      <alignment horizontal="center" vertical="bottom"/>
    </xf>
    <xf borderId="18" fillId="8" fontId="9" numFmtId="0" xfId="0" applyAlignment="1" applyBorder="1" applyFill="1" applyFont="1">
      <alignment horizontal="left" shrinkToFit="0" vertical="center" wrapText="1"/>
    </xf>
    <xf borderId="16" fillId="0" fontId="9" numFmtId="0" xfId="0" applyAlignment="1" applyBorder="1" applyFont="1">
      <alignment horizontal="left" shrinkToFit="0" vertical="center" wrapText="1"/>
    </xf>
    <xf borderId="4" fillId="3" fontId="37" numFmtId="0" xfId="0" applyAlignment="1" applyBorder="1" applyFill="1" applyFont="1">
      <alignment horizontal="center" vertical="center"/>
    </xf>
    <xf borderId="6" fillId="27" fontId="33" numFmtId="0" xfId="0" applyAlignment="1" applyBorder="1" applyFill="1" applyFont="1">
      <alignment horizontal="center" readingOrder="0"/>
    </xf>
    <xf borderId="9" fillId="8" fontId="7" numFmtId="0" xfId="0" applyAlignment="1" applyBorder="1" applyFill="1" applyFont="1">
      <alignment horizontal="center" readingOrder="0" shrinkToFit="0" wrapText="1"/>
    </xf>
    <xf borderId="9" fillId="8" fontId="7" numFmtId="0" xfId="0" applyAlignment="1" applyBorder="1" applyFill="1" applyFont="1">
      <alignment horizontal="center" readingOrder="0"/>
    </xf>
    <xf borderId="0" fillId="0" fontId="8" numFmtId="0" xfId="0" applyAlignment="1" applyFont="1">
      <alignment horizontal="center" readingOrder="0" vertical="bottom"/>
    </xf>
    <xf borderId="16" fillId="0" fontId="9" numFmtId="164" xfId="0" applyAlignment="1" applyBorder="1" applyFont="1" applyNumberFormat="1">
      <alignment horizontal="left" shrinkToFit="0" vertical="center" wrapText="1"/>
    </xf>
    <xf borderId="15" fillId="0" fontId="9" numFmtId="0" xfId="0" applyAlignment="1" applyBorder="1" applyFont="1">
      <alignment horizontal="center" shrinkToFit="0" vertical="center" wrapText="1"/>
    </xf>
    <xf borderId="16" fillId="0" fontId="9" numFmtId="0" xfId="0" applyAlignment="1" applyBorder="1" applyFont="1">
      <alignment horizontal="center" shrinkToFit="0" vertical="center" wrapText="1"/>
    </xf>
    <xf borderId="8" fillId="0" fontId="9" numFmtId="0" xfId="0" applyAlignment="1" applyBorder="1" applyFont="1">
      <alignment horizontal="center" shrinkToFit="0" vertical="center" wrapText="1"/>
    </xf>
    <xf borderId="8" fillId="0" fontId="9" numFmtId="164" xfId="0" applyAlignment="1" applyBorder="1" applyFont="1" applyNumberFormat="1">
      <alignment horizontal="left" shrinkToFit="0" vertical="center" wrapText="1"/>
    </xf>
    <xf borderId="12" fillId="8" fontId="9" numFmtId="0" xfId="0" applyAlignment="1" applyBorder="1" applyFill="1" applyFont="1">
      <alignment horizontal="center" shrinkToFit="0" vertical="center" wrapText="1"/>
    </xf>
    <xf borderId="12" fillId="8" fontId="1" numFmtId="0" xfId="0" applyAlignment="1" applyBorder="1" applyFill="1" applyFont="1">
      <alignment horizontal="left" readingOrder="0" shrinkToFit="0" vertical="center" wrapText="1"/>
    </xf>
    <xf borderId="12" fillId="8" fontId="9" numFmtId="0" xfId="0" applyAlignment="1" applyBorder="1" applyFill="1" applyFont="1">
      <alignment horizontal="left"/>
    </xf>
    <xf borderId="16" fillId="0" fontId="9" numFmtId="0" xfId="0" applyAlignment="1" applyBorder="1" applyFont="1">
      <alignment horizontal="left" shrinkToFit="0" wrapText="1"/>
    </xf>
    <xf borderId="6" fillId="10" fontId="3" numFmtId="0" xfId="0" applyAlignment="1" applyBorder="1" applyFill="1" applyFont="1">
      <alignment horizontal="center" readingOrder="0" vertical="center"/>
    </xf>
    <xf borderId="6" fillId="8" fontId="9" numFmtId="0" xfId="0" applyAlignment="1" applyBorder="1" applyFill="1" applyFont="1">
      <alignment horizontal="left" shrinkToFit="0" wrapText="1"/>
    </xf>
    <xf borderId="6" fillId="8" fontId="9" numFmtId="164" xfId="0" applyAlignment="1" applyBorder="1" applyFill="1" applyFont="1" applyNumberFormat="1">
      <alignment horizontal="left" shrinkToFit="0" wrapText="1"/>
    </xf>
    <xf borderId="11" fillId="8" fontId="9" numFmtId="164" xfId="0" applyAlignment="1" applyBorder="1" applyFill="1" applyFont="1" applyNumberFormat="1">
      <alignment horizontal="left" shrinkToFit="0" wrapText="1"/>
    </xf>
    <xf borderId="6" fillId="8" fontId="3" numFmtId="0" xfId="0" applyAlignment="1" applyBorder="1" applyFill="1" applyFont="1">
      <alignment horizontal="left" shrinkToFit="0" wrapText="1"/>
    </xf>
    <xf borderId="6" fillId="47" fontId="3" numFmtId="0" xfId="0" applyAlignment="1" applyBorder="1" applyFill="1" applyFont="1">
      <alignment horizontal="center" readingOrder="0"/>
    </xf>
    <xf borderId="15" fillId="0" fontId="3" numFmtId="164" xfId="0" applyAlignment="1" applyBorder="1" applyFont="1" applyNumberFormat="1">
      <alignment horizontal="left" shrinkToFit="0" wrapText="1"/>
    </xf>
    <xf borderId="6" fillId="0" fontId="8" numFmtId="164" xfId="0" applyAlignment="1" applyBorder="1" applyFont="1" applyNumberFormat="1">
      <alignment shrinkToFit="0" wrapText="1"/>
    </xf>
    <xf borderId="11" fillId="8" fontId="8" numFmtId="0" xfId="0" applyAlignment="1" applyBorder="1" applyFill="1" applyFont="1">
      <alignment horizontal="center"/>
    </xf>
    <xf borderId="6" fillId="8" fontId="8" numFmtId="164" xfId="0" applyAlignment="1" applyBorder="1" applyFill="1" applyFont="1" applyNumberFormat="1">
      <alignment shrinkToFit="0" wrapText="1"/>
    </xf>
    <xf borderId="6" fillId="8" fontId="3" numFmtId="0" xfId="0" applyAlignment="1" applyBorder="1" applyFill="1" applyFont="1">
      <alignment shrinkToFit="0" wrapText="1"/>
    </xf>
    <xf borderId="11" fillId="8" fontId="3" numFmtId="0" xfId="0" applyAlignment="1" applyBorder="1" applyFill="1" applyFont="1">
      <alignment shrinkToFit="0" wrapText="1"/>
    </xf>
    <xf borderId="0" fillId="22" fontId="8" numFmtId="0" xfId="0" applyAlignment="1" applyFill="1" applyFont="1">
      <alignment readingOrder="0"/>
    </xf>
    <xf borderId="6" fillId="0" fontId="26" numFmtId="0" xfId="0" applyAlignment="1" applyBorder="1" applyFont="1">
      <alignment readingOrder="0"/>
    </xf>
    <xf borderId="4" fillId="38" fontId="1" numFmtId="0" xfId="0" applyAlignment="1" applyBorder="1" applyFill="1" applyFont="1">
      <alignment horizontal="center" vertical="center"/>
    </xf>
    <xf borderId="6" fillId="8" fontId="9" numFmtId="0" xfId="0" applyAlignment="1" applyBorder="1" applyFill="1" applyFont="1">
      <alignment horizontal="left" shrinkToFit="0" vertical="center" wrapText="1"/>
    </xf>
    <xf borderId="36" fillId="4" fontId="1" numFmtId="0" xfId="0" applyAlignment="1" applyBorder="1" applyFill="1" applyFont="1">
      <alignment horizontal="center" vertical="center"/>
    </xf>
    <xf borderId="29" fillId="4" fontId="1" numFmtId="0" xfId="0" applyAlignment="1" applyBorder="1" applyFill="1" applyFont="1">
      <alignment horizontal="left" vertical="center"/>
    </xf>
    <xf borderId="29" fillId="4" fontId="1" numFmtId="0" xfId="0" applyAlignment="1" applyBorder="1" applyFill="1" applyFont="1">
      <alignment horizontal="center" vertical="center"/>
    </xf>
    <xf borderId="27" fillId="4" fontId="1" numFmtId="0" xfId="0" applyAlignment="1" applyBorder="1" applyFill="1" applyFont="1">
      <alignment horizontal="center" vertical="center"/>
    </xf>
    <xf borderId="15" fillId="0" fontId="3" numFmtId="0" xfId="0" applyAlignment="1" applyBorder="1" applyFont="1">
      <alignment horizontal="center" vertical="center"/>
    </xf>
    <xf borderId="12" fillId="8" fontId="3" numFmtId="0" xfId="0" applyAlignment="1" applyBorder="1" applyFill="1" applyFont="1">
      <alignment horizontal="left" vertical="center"/>
    </xf>
    <xf borderId="16" fillId="0" fontId="3" numFmtId="0" xfId="0" applyAlignment="1" applyBorder="1" applyFont="1">
      <alignment horizontal="center" vertical="center"/>
    </xf>
    <xf borderId="22" fillId="0" fontId="3" numFmtId="0" xfId="0" applyAlignment="1" applyBorder="1" applyFont="1">
      <alignment horizontal="left" vertical="center"/>
    </xf>
    <xf borderId="6" fillId="8" fontId="3" numFmtId="0" xfId="0" applyAlignment="1" applyBorder="1" applyFill="1" applyFont="1">
      <alignment horizontal="center" vertical="bottom"/>
    </xf>
    <xf borderId="6" fillId="0" fontId="3" numFmtId="0" xfId="0" applyAlignment="1" applyBorder="1" applyFont="1">
      <alignment vertical="bottom"/>
    </xf>
    <xf borderId="6" fillId="0" fontId="3" numFmtId="0" xfId="0" applyAlignment="1" applyBorder="1" applyFont="1">
      <alignment horizontal="center" vertical="bottom"/>
    </xf>
    <xf borderId="6" fillId="8" fontId="3" numFmtId="0" xfId="0" applyAlignment="1" applyBorder="1" applyFill="1" applyFont="1">
      <alignment vertical="bottom"/>
    </xf>
    <xf borderId="4" fillId="45" fontId="3" numFmtId="0" xfId="0" applyAlignment="1" applyBorder="1" applyFill="1" applyFont="1">
      <alignment horizontal="center" readingOrder="0"/>
    </xf>
    <xf borderId="0" fillId="26" fontId="3" numFmtId="0" xfId="0" applyAlignment="1" applyFill="1" applyFont="1">
      <alignment horizontal="center" readingOrder="0"/>
    </xf>
    <xf borderId="0" fillId="48" fontId="8" numFmtId="0" xfId="0" applyAlignment="1" applyFill="1" applyFont="1">
      <alignment horizontal="center" readingOrder="0"/>
    </xf>
    <xf borderId="15" fillId="0" fontId="3" numFmtId="0" xfId="0" applyAlignment="1" applyBorder="1" applyFont="1">
      <alignment horizontal="left" vertical="center"/>
    </xf>
    <xf borderId="16" fillId="0" fontId="3" numFmtId="0" xfId="0" applyAlignment="1" applyBorder="1" applyFont="1">
      <alignment horizontal="left" vertical="center"/>
    </xf>
    <xf borderId="33" fillId="12" fontId="12" numFmtId="0" xfId="0" applyAlignment="1" applyBorder="1" applyFill="1" applyFont="1">
      <alignment horizontal="center" readingOrder="0"/>
    </xf>
    <xf borderId="22" fillId="0" fontId="2" numFmtId="0" xfId="0" applyBorder="1" applyFont="1"/>
    <xf borderId="16" fillId="0" fontId="2" numFmtId="0" xfId="0" applyBorder="1" applyFont="1"/>
    <xf borderId="12" fillId="8" fontId="3" numFmtId="164" xfId="0" applyAlignment="1" applyBorder="1" applyFill="1" applyFont="1" applyNumberFormat="1">
      <alignment horizontal="left" shrinkToFit="0" vertical="center" wrapText="0"/>
    </xf>
    <xf borderId="16" fillId="0" fontId="9" numFmtId="164" xfId="0" applyAlignment="1" applyBorder="1" applyFont="1" applyNumberFormat="1">
      <alignment horizontal="left" shrinkToFit="0" vertical="center" wrapText="0"/>
    </xf>
    <xf borderId="6" fillId="0" fontId="3" numFmtId="0" xfId="0" applyAlignment="1" applyBorder="1" applyFont="1">
      <alignment horizontal="left" shrinkToFit="0" vertical="center" wrapText="0"/>
    </xf>
    <xf borderId="6" fillId="5" fontId="3" numFmtId="0" xfId="0" applyAlignment="1" applyBorder="1" applyFill="1" applyFont="1">
      <alignment horizontal="center" readingOrder="0"/>
    </xf>
    <xf borderId="7" fillId="29" fontId="7" numFmtId="0" xfId="0" applyAlignment="1" applyBorder="1" applyFill="1" applyFont="1">
      <alignment horizontal="center" readingOrder="0"/>
    </xf>
    <xf borderId="12" fillId="8" fontId="9" numFmtId="164" xfId="0" applyAlignment="1" applyBorder="1" applyFill="1" applyFont="1" applyNumberFormat="1">
      <alignment horizontal="left" shrinkToFit="0" vertical="center" wrapText="0"/>
    </xf>
    <xf borderId="6" fillId="8" fontId="3" numFmtId="0" xfId="0" applyAlignment="1" applyBorder="1" applyFill="1" applyFont="1">
      <alignment horizontal="center" readingOrder="0" vertical="center"/>
    </xf>
    <xf borderId="6" fillId="0" fontId="11" numFmtId="0" xfId="0" applyAlignment="1" applyBorder="1" applyFont="1">
      <alignment horizontal="left" readingOrder="0"/>
    </xf>
    <xf borderId="6" fillId="0" fontId="9" numFmtId="0" xfId="0" applyAlignment="1" applyBorder="1" applyFont="1">
      <alignment readingOrder="0"/>
    </xf>
    <xf borderId="6" fillId="12" fontId="3" numFmtId="0" xfId="0" applyBorder="1" applyFill="1" applyFont="1"/>
    <xf borderId="10" fillId="8" fontId="6" numFmtId="0" xfId="0" applyAlignment="1" applyBorder="1" applyFill="1" applyFont="1">
      <alignment horizontal="center"/>
    </xf>
    <xf borderId="4" fillId="3" fontId="38" numFmtId="0" xfId="0" applyAlignment="1" applyBorder="1" applyFill="1" applyFont="1">
      <alignment horizontal="center" readingOrder="0" vertical="center"/>
    </xf>
    <xf borderId="1" fillId="4" fontId="5" numFmtId="0" xfId="0" applyAlignment="1" applyBorder="1" applyFill="1" applyFont="1">
      <alignment horizontal="center"/>
    </xf>
    <xf borderId="11" fillId="4" fontId="5" numFmtId="0" xfId="0" applyAlignment="1" applyBorder="1" applyFill="1" applyFont="1">
      <alignment horizontal="center"/>
    </xf>
    <xf borderId="12" fillId="4" fontId="5" numFmtId="0" xfId="0" applyBorder="1" applyFill="1" applyFont="1"/>
    <xf borderId="12" fillId="4" fontId="5" numFmtId="0" xfId="0" applyAlignment="1" applyBorder="1" applyFill="1" applyFont="1">
      <alignment horizontal="center"/>
    </xf>
    <xf borderId="37" fillId="2" fontId="5" numFmtId="0" xfId="0" applyAlignment="1" applyBorder="1" applyFill="1" applyFont="1">
      <alignment horizontal="center" shrinkToFit="0" vertical="center" wrapText="1"/>
    </xf>
    <xf borderId="11" fillId="2" fontId="5" numFmtId="0" xfId="0" applyAlignment="1" applyBorder="1" applyFill="1" applyFont="1">
      <alignment horizontal="center"/>
    </xf>
    <xf borderId="12" fillId="2" fontId="3" numFmtId="164" xfId="0" applyBorder="1" applyFill="1" applyFont="1" applyNumberFormat="1"/>
    <xf borderId="21" fillId="2" fontId="3" numFmtId="0" xfId="0" applyAlignment="1" applyBorder="1" applyFill="1" applyFont="1">
      <alignment horizontal="center"/>
    </xf>
    <xf borderId="0" fillId="0" fontId="10" numFmtId="0" xfId="0" applyAlignment="1" applyFont="1">
      <alignment horizontal="center"/>
    </xf>
    <xf borderId="38" fillId="0" fontId="2" numFmtId="0" xfId="0" applyBorder="1" applyFont="1"/>
    <xf borderId="36" fillId="2" fontId="5" numFmtId="0" xfId="0" applyAlignment="1" applyBorder="1" applyFill="1" applyFont="1">
      <alignment horizontal="center"/>
    </xf>
    <xf borderId="29" fillId="2" fontId="3" numFmtId="0" xfId="0" applyBorder="1" applyFill="1" applyFont="1"/>
    <xf borderId="29" fillId="2" fontId="3" numFmtId="0" xfId="0" applyAlignment="1" applyBorder="1" applyFill="1" applyFont="1">
      <alignment horizontal="center"/>
    </xf>
    <xf borderId="29" fillId="2" fontId="3" numFmtId="164" xfId="0" applyBorder="1" applyFill="1" applyFont="1" applyNumberFormat="1"/>
    <xf borderId="10" fillId="2" fontId="3" numFmtId="0" xfId="0" applyAlignment="1" applyBorder="1" applyFill="1" applyFont="1">
      <alignment horizontal="center"/>
    </xf>
    <xf borderId="39" fillId="0" fontId="2" numFmtId="0" xfId="0" applyBorder="1" applyFont="1"/>
    <xf borderId="27" fillId="2" fontId="5" numFmtId="0" xfId="0" applyAlignment="1" applyBorder="1" applyFill="1" applyFont="1">
      <alignment horizontal="center"/>
    </xf>
    <xf borderId="27" fillId="2" fontId="3" numFmtId="0" xfId="0" applyBorder="1" applyFill="1" applyFont="1"/>
    <xf borderId="27" fillId="2" fontId="3" numFmtId="0" xfId="0" applyAlignment="1" applyBorder="1" applyFill="1" applyFont="1">
      <alignment horizontal="center"/>
    </xf>
    <xf borderId="27" fillId="2" fontId="3" numFmtId="164" xfId="0" applyBorder="1" applyFill="1" applyFont="1" applyNumberFormat="1"/>
    <xf borderId="40" fillId="0" fontId="11" numFmtId="0" xfId="0" applyAlignment="1" applyBorder="1" applyFont="1">
      <alignment horizontal="center" readingOrder="0"/>
    </xf>
    <xf borderId="40" fillId="10" fontId="11" numFmtId="0" xfId="0" applyAlignment="1" applyBorder="1" applyFill="1" applyFont="1">
      <alignment horizontal="center"/>
    </xf>
    <xf borderId="40" fillId="0" fontId="11" numFmtId="0" xfId="0" applyAlignment="1" applyBorder="1" applyFont="1">
      <alignment horizontal="center"/>
    </xf>
    <xf borderId="41" fillId="31" fontId="5" numFmtId="0" xfId="0" applyAlignment="1" applyBorder="1" applyFill="1" applyFont="1">
      <alignment horizontal="center" shrinkToFit="0" wrapText="1"/>
    </xf>
    <xf borderId="42" fillId="31" fontId="5" numFmtId="0" xfId="0" applyAlignment="1" applyBorder="1" applyFill="1" applyFont="1">
      <alignment horizontal="center"/>
    </xf>
    <xf borderId="43" fillId="31" fontId="3" numFmtId="0" xfId="0" applyBorder="1" applyFill="1" applyFont="1"/>
    <xf borderId="43" fillId="31" fontId="3" numFmtId="0" xfId="0" applyAlignment="1" applyBorder="1" applyFill="1" applyFont="1">
      <alignment horizontal="center"/>
    </xf>
    <xf borderId="43" fillId="31" fontId="3" numFmtId="0" xfId="0" applyAlignment="1" applyBorder="1" applyFill="1" applyFont="1">
      <alignment horizontal="center" readingOrder="0"/>
    </xf>
    <xf borderId="15" fillId="0" fontId="11" numFmtId="0" xfId="0" applyAlignment="1" applyBorder="1" applyFont="1">
      <alignment horizontal="center" readingOrder="0"/>
    </xf>
    <xf borderId="15" fillId="10" fontId="11" numFmtId="0" xfId="0" applyAlignment="1" applyBorder="1" applyFill="1" applyFont="1">
      <alignment horizontal="center"/>
    </xf>
    <xf borderId="15" fillId="10" fontId="11" numFmtId="0" xfId="0" applyAlignment="1" applyBorder="1" applyFill="1" applyFont="1">
      <alignment horizontal="center" readingOrder="0"/>
    </xf>
    <xf borderId="15" fillId="8" fontId="11" numFmtId="0" xfId="0" applyAlignment="1" applyBorder="1" applyFill="1" applyFont="1">
      <alignment horizontal="center" readingOrder="0"/>
    </xf>
    <xf borderId="30" fillId="0" fontId="2" numFmtId="0" xfId="0" applyBorder="1" applyFont="1"/>
    <xf borderId="11" fillId="31" fontId="5" numFmtId="0" xfId="0" applyAlignment="1" applyBorder="1" applyFill="1" applyFont="1">
      <alignment horizontal="center"/>
    </xf>
    <xf borderId="10" fillId="31" fontId="6" numFmtId="0" xfId="0" applyBorder="1" applyFill="1" applyFont="1"/>
    <xf borderId="15" fillId="4" fontId="5" numFmtId="164" xfId="0" applyAlignment="1" applyBorder="1" applyFill="1" applyFont="1" applyNumberFormat="1">
      <alignment horizontal="center"/>
    </xf>
    <xf borderId="36" fillId="4" fontId="5" numFmtId="0" xfId="0" applyAlignment="1" applyBorder="1" applyFill="1" applyFont="1">
      <alignment horizontal="center"/>
    </xf>
    <xf borderId="29" fillId="4" fontId="5" numFmtId="0" xfId="0" applyAlignment="1" applyBorder="1" applyFill="1" applyFont="1">
      <alignment horizontal="center"/>
    </xf>
    <xf borderId="29" fillId="4" fontId="5" numFmtId="0" xfId="0" applyBorder="1" applyFill="1" applyFont="1"/>
    <xf borderId="41" fillId="2" fontId="5" numFmtId="0" xfId="0" applyAlignment="1" applyBorder="1" applyFill="1" applyFont="1">
      <alignment horizontal="center" shrinkToFit="0" wrapText="1"/>
    </xf>
    <xf borderId="6" fillId="2" fontId="5" numFmtId="0" xfId="0" applyAlignment="1" applyBorder="1" applyFill="1" applyFont="1">
      <alignment horizontal="center"/>
    </xf>
    <xf borderId="6" fillId="2" fontId="39" numFmtId="0" xfId="0" applyAlignment="1" applyBorder="1" applyFill="1" applyFont="1">
      <alignment horizontal="center"/>
    </xf>
    <xf borderId="40" fillId="2" fontId="39" numFmtId="0" xfId="0" applyAlignment="1" applyBorder="1" applyFill="1" applyFont="1">
      <alignment horizontal="center"/>
    </xf>
    <xf borderId="40" fillId="2" fontId="3" numFmtId="0" xfId="0" applyBorder="1" applyFill="1" applyFont="1"/>
    <xf borderId="40" fillId="2" fontId="3" numFmtId="0" xfId="0" applyAlignment="1" applyBorder="1" applyFill="1" applyFont="1">
      <alignment horizontal="center"/>
    </xf>
    <xf borderId="40" fillId="2" fontId="3" numFmtId="164" xfId="0" applyBorder="1" applyFill="1" applyFont="1" applyNumberFormat="1"/>
    <xf borderId="40" fillId="10" fontId="9" numFmtId="0" xfId="0" applyAlignment="1" applyBorder="1" applyFill="1" applyFont="1">
      <alignment horizontal="center"/>
    </xf>
    <xf borderId="40" fillId="0" fontId="9" numFmtId="0" xfId="0" applyAlignment="1" applyBorder="1" applyFont="1">
      <alignment horizontal="center" readingOrder="0"/>
    </xf>
    <xf borderId="40" fillId="8" fontId="9" numFmtId="0" xfId="0" applyAlignment="1" applyBorder="1" applyFill="1" applyFont="1">
      <alignment horizontal="center" readingOrder="0"/>
    </xf>
    <xf borderId="40" fillId="23" fontId="9" numFmtId="0" xfId="0" applyAlignment="1" applyBorder="1" applyFill="1" applyFont="1">
      <alignment horizontal="center" readingOrder="0"/>
    </xf>
    <xf borderId="15" fillId="31" fontId="5" numFmtId="0" xfId="0" applyAlignment="1" applyBorder="1" applyFill="1" applyFont="1">
      <alignment horizontal="center"/>
    </xf>
    <xf borderId="23" fillId="31" fontId="3" numFmtId="0" xfId="0" applyBorder="1" applyFill="1" applyFont="1"/>
    <xf borderId="23" fillId="31" fontId="3" numFmtId="0" xfId="0" applyAlignment="1" applyBorder="1" applyFill="1" applyFont="1">
      <alignment horizontal="center"/>
    </xf>
    <xf borderId="23" fillId="31" fontId="3" numFmtId="164" xfId="0" applyBorder="1" applyFill="1" applyFont="1" applyNumberFormat="1"/>
    <xf borderId="15" fillId="10" fontId="9" numFmtId="0" xfId="0" applyAlignment="1" applyBorder="1" applyFill="1" applyFont="1">
      <alignment horizontal="center"/>
    </xf>
    <xf borderId="15" fillId="8" fontId="9" numFmtId="0" xfId="0" applyAlignment="1" applyBorder="1" applyFill="1" applyFont="1">
      <alignment horizontal="center" readingOrder="0"/>
    </xf>
    <xf borderId="15" fillId="0" fontId="9" numFmtId="0" xfId="0" applyAlignment="1" applyBorder="1" applyFont="1">
      <alignment horizontal="center" readingOrder="0"/>
    </xf>
    <xf borderId="15" fillId="23" fontId="9" numFmtId="0" xfId="0" applyAlignment="1" applyBorder="1" applyFill="1" applyFont="1">
      <alignment horizontal="center" readingOrder="0"/>
    </xf>
    <xf borderId="10" fillId="31" fontId="5" numFmtId="0" xfId="0" applyAlignment="1" applyBorder="1" applyFill="1" applyFont="1">
      <alignment horizontal="center" shrinkToFit="0" wrapText="1"/>
    </xf>
    <xf borderId="6" fillId="31" fontId="39" numFmtId="0" xfId="0" applyAlignment="1" applyBorder="1" applyFill="1" applyFont="1">
      <alignment horizontal="center"/>
    </xf>
    <xf borderId="6" fillId="31" fontId="3" numFmtId="164" xfId="0" applyBorder="1" applyFill="1" applyFont="1" applyNumberFormat="1"/>
    <xf borderId="40" fillId="0" fontId="9" numFmtId="0" xfId="0" applyAlignment="1" applyBorder="1" applyFont="1">
      <alignment horizontal="center"/>
    </xf>
    <xf borderId="44" fillId="0" fontId="2" numFmtId="0" xfId="0" applyBorder="1" applyFont="1"/>
    <xf borderId="45" fillId="2" fontId="5" numFmtId="0" xfId="0" applyAlignment="1" applyBorder="1" applyFill="1" applyFont="1">
      <alignment horizontal="center"/>
    </xf>
    <xf borderId="46" fillId="2" fontId="3" numFmtId="0" xfId="0" applyBorder="1" applyFill="1" applyFont="1"/>
    <xf borderId="46" fillId="2" fontId="3" numFmtId="0" xfId="0" applyAlignment="1" applyBorder="1" applyFill="1" applyFont="1">
      <alignment horizontal="center"/>
    </xf>
    <xf borderId="40" fillId="22" fontId="11" numFmtId="0" xfId="0" applyAlignment="1" applyBorder="1" applyFill="1" applyFont="1">
      <alignment horizontal="center" readingOrder="0"/>
    </xf>
    <xf borderId="40" fillId="10" fontId="11" numFmtId="0" xfId="0" applyAlignment="1" applyBorder="1" applyFill="1" applyFont="1">
      <alignment horizontal="center" readingOrder="0"/>
    </xf>
    <xf borderId="47" fillId="31" fontId="5" numFmtId="0" xfId="0" applyAlignment="1" applyBorder="1" applyFill="1" applyFont="1">
      <alignment horizontal="center" shrinkToFit="0" wrapText="1"/>
    </xf>
    <xf borderId="12" fillId="31" fontId="3" numFmtId="164" xfId="0" applyBorder="1" applyFill="1" applyFont="1" applyNumberFormat="1"/>
    <xf borderId="40" fillId="11" fontId="19" numFmtId="0" xfId="0" applyAlignment="1" applyBorder="1" applyFill="1" applyFont="1">
      <alignment horizontal="center" readingOrder="0" vertical="bottom"/>
    </xf>
    <xf borderId="15" fillId="23" fontId="11" numFmtId="0" xfId="0" applyAlignment="1" applyBorder="1" applyFill="1" applyFont="1">
      <alignment horizontal="center" readingOrder="0"/>
    </xf>
    <xf borderId="12" fillId="4" fontId="5" numFmtId="164" xfId="0" applyBorder="1" applyFill="1" applyFont="1" applyNumberFormat="1"/>
    <xf borderId="12" fillId="4" fontId="5" numFmtId="164" xfId="0" applyAlignment="1" applyBorder="1" applyFill="1" applyFont="1" applyNumberFormat="1">
      <alignment horizontal="center"/>
    </xf>
    <xf borderId="6" fillId="4" fontId="5" numFmtId="164" xfId="0" applyAlignment="1" applyBorder="1" applyFill="1" applyFont="1" applyNumberFormat="1">
      <alignment horizontal="center" readingOrder="0"/>
    </xf>
    <xf borderId="12" fillId="2" fontId="3" numFmtId="164" xfId="0" applyAlignment="1" applyBorder="1" applyFill="1" applyFont="1" applyNumberFormat="1">
      <alignment horizontal="center"/>
    </xf>
    <xf borderId="46" fillId="2" fontId="3" numFmtId="164" xfId="0" applyBorder="1" applyFill="1" applyFont="1" applyNumberFormat="1"/>
    <xf borderId="46" fillId="2" fontId="3" numFmtId="164" xfId="0" applyAlignment="1" applyBorder="1" applyFill="1" applyFont="1" applyNumberFormat="1">
      <alignment horizontal="center" shrinkToFit="0" wrapText="1"/>
    </xf>
    <xf borderId="23" fillId="31" fontId="3" numFmtId="164" xfId="0" applyAlignment="1" applyBorder="1" applyFill="1" applyFont="1" applyNumberFormat="1">
      <alignment horizontal="center" shrinkToFit="0" wrapText="1"/>
    </xf>
    <xf borderId="15" fillId="19" fontId="11" numFmtId="0" xfId="0" applyAlignment="1" applyBorder="1" applyFill="1" applyFont="1">
      <alignment horizontal="center" readingOrder="0"/>
    </xf>
    <xf borderId="15" fillId="0" fontId="11" numFmtId="0" xfId="0" applyAlignment="1" applyBorder="1" applyFont="1">
      <alignment horizontal="center"/>
    </xf>
    <xf borderId="12" fillId="31" fontId="3" numFmtId="164" xfId="0" applyAlignment="1" applyBorder="1" applyFill="1" applyFont="1" applyNumberFormat="1">
      <alignment horizontal="center"/>
    </xf>
    <xf borderId="0" fillId="0" fontId="10" numFmtId="0" xfId="0" applyAlignment="1" applyFont="1">
      <alignment horizontal="center" readingOrder="0"/>
    </xf>
    <xf borderId="22" fillId="0" fontId="6" numFmtId="0" xfId="0" applyBorder="1" applyFont="1"/>
    <xf borderId="40" fillId="2" fontId="5" numFmtId="0" xfId="0" applyAlignment="1" applyBorder="1" applyFill="1" applyFont="1">
      <alignment horizontal="center"/>
    </xf>
    <xf borderId="40" fillId="2" fontId="3" numFmtId="0" xfId="0" applyAlignment="1" applyBorder="1" applyFill="1" applyFont="1">
      <alignment readingOrder="0"/>
    </xf>
    <xf borderId="0" fillId="16" fontId="10" numFmtId="0" xfId="0" applyAlignment="1" applyFill="1" applyFont="1">
      <alignment horizontal="center" readingOrder="0"/>
    </xf>
    <xf borderId="30" fillId="31" fontId="5" numFmtId="0" xfId="0" applyAlignment="1" applyBorder="1" applyFill="1" applyFont="1">
      <alignment horizontal="center" shrinkToFit="0" wrapText="1"/>
    </xf>
    <xf borderId="6" fillId="2" fontId="3" numFmtId="164" xfId="0" applyBorder="1" applyFill="1" applyFont="1" applyNumberFormat="1"/>
    <xf borderId="48" fillId="2" fontId="6" numFmtId="0" xfId="0" applyBorder="1" applyFill="1" applyFont="1"/>
    <xf borderId="12" fillId="44" fontId="5" numFmtId="0" xfId="0" applyAlignment="1" applyBorder="1" applyFill="1" applyFont="1">
      <alignment horizontal="center"/>
    </xf>
    <xf borderId="12" fillId="44" fontId="3" numFmtId="0" xfId="0" applyBorder="1" applyFill="1" applyFont="1"/>
    <xf borderId="12" fillId="44" fontId="3" numFmtId="0" xfId="0" applyAlignment="1" applyBorder="1" applyFill="1" applyFont="1">
      <alignment horizontal="center"/>
    </xf>
    <xf borderId="21" fillId="44" fontId="3" numFmtId="0" xfId="0" applyAlignment="1" applyBorder="1" applyFill="1" applyFont="1">
      <alignment horizontal="center"/>
    </xf>
    <xf borderId="15" fillId="44" fontId="3" numFmtId="0" xfId="0" applyAlignment="1" applyBorder="1" applyFill="1" applyFont="1">
      <alignment horizontal="center"/>
    </xf>
    <xf borderId="16" fillId="44" fontId="3" numFmtId="0" xfId="0" applyAlignment="1" applyBorder="1" applyFill="1" applyFont="1">
      <alignment horizontal="center"/>
    </xf>
    <xf borderId="16" fillId="44" fontId="3" numFmtId="0" xfId="0" applyBorder="1" applyFill="1" applyFont="1"/>
    <xf borderId="33" fillId="12" fontId="25" numFmtId="0" xfId="0" applyAlignment="1" applyBorder="1" applyFill="1" applyFont="1">
      <alignment horizontal="center" readingOrder="0"/>
    </xf>
    <xf borderId="49" fillId="31" fontId="5" numFmtId="0" xfId="0" applyAlignment="1" applyBorder="1" applyFill="1" applyFont="1">
      <alignment horizontal="center"/>
    </xf>
    <xf borderId="50" fillId="31" fontId="3" numFmtId="0" xfId="0" applyBorder="1" applyFill="1" applyFont="1"/>
    <xf borderId="49" fillId="31" fontId="3" numFmtId="0" xfId="0" applyAlignment="1" applyBorder="1" applyFill="1" applyFont="1">
      <alignment horizontal="center"/>
    </xf>
    <xf borderId="50" fillId="31" fontId="3" numFmtId="0" xfId="0" applyAlignment="1" applyBorder="1" applyFill="1" applyFont="1">
      <alignment horizontal="center"/>
    </xf>
    <xf borderId="6" fillId="31" fontId="5" numFmtId="0" xfId="0" applyAlignment="1" applyBorder="1" applyFill="1" applyFont="1">
      <alignment horizontal="center"/>
    </xf>
    <xf borderId="16" fillId="0" fontId="6" numFmtId="0" xfId="0" applyBorder="1" applyFont="1"/>
    <xf borderId="41" fillId="2" fontId="5" numFmtId="0" xfId="0" applyAlignment="1" applyBorder="1" applyFill="1" applyFont="1">
      <alignment horizontal="center" shrinkToFit="0" vertical="center" wrapText="1"/>
    </xf>
    <xf borderId="21" fillId="31" fontId="3" numFmtId="0" xfId="0" applyBorder="1" applyFill="1" applyFont="1"/>
    <xf borderId="41" fillId="4" fontId="5" numFmtId="164" xfId="0" applyAlignment="1" applyBorder="1" applyFill="1" applyFont="1" applyNumberFormat="1">
      <alignment horizontal="center"/>
    </xf>
    <xf borderId="0" fillId="2" fontId="5" numFmtId="0" xfId="0" applyAlignment="1" applyFill="1" applyFont="1">
      <alignment horizontal="center" readingOrder="0" shrinkToFit="0" wrapText="1"/>
    </xf>
    <xf borderId="15" fillId="2" fontId="3" numFmtId="0" xfId="0" applyAlignment="1" applyBorder="1" applyFill="1" applyFont="1">
      <alignment horizontal="center"/>
    </xf>
    <xf borderId="18" fillId="2" fontId="3" numFmtId="0" xfId="0" applyBorder="1" applyFill="1" applyFont="1"/>
    <xf borderId="16" fillId="2" fontId="3" numFmtId="0" xfId="0" applyAlignment="1" applyBorder="1" applyFill="1" applyFont="1">
      <alignment horizontal="center" shrinkToFit="0" wrapText="1"/>
    </xf>
    <xf borderId="4" fillId="10" fontId="11" numFmtId="0" xfId="0" applyAlignment="1" applyBorder="1" applyFill="1" applyFont="1">
      <alignment horizontal="center"/>
    </xf>
    <xf borderId="6" fillId="2" fontId="3" numFmtId="0" xfId="0" applyAlignment="1" applyBorder="1" applyFill="1" applyFont="1">
      <alignment horizontal="center" shrinkToFit="0" wrapText="1"/>
    </xf>
    <xf borderId="51" fillId="12" fontId="25" numFmtId="0" xfId="0" applyAlignment="1" applyBorder="1" applyFill="1" applyFont="1">
      <alignment horizontal="center" readingOrder="0"/>
    </xf>
    <xf borderId="52" fillId="0" fontId="2" numFmtId="0" xfId="0" applyBorder="1" applyFont="1"/>
    <xf borderId="53" fillId="0" fontId="2" numFmtId="0" xfId="0" applyBorder="1" applyFont="1"/>
    <xf borderId="51" fillId="10" fontId="11" numFmtId="0" xfId="0" applyAlignment="1" applyBorder="1" applyFill="1" applyFont="1">
      <alignment horizontal="center"/>
    </xf>
    <xf borderId="53" fillId="0" fontId="11" numFmtId="0" xfId="0" applyAlignment="1" applyBorder="1" applyFont="1">
      <alignment horizontal="center" readingOrder="0"/>
    </xf>
    <xf borderId="42" fillId="31" fontId="3" numFmtId="0" xfId="0" applyBorder="1" applyFill="1" applyFont="1"/>
    <xf borderId="42" fillId="31" fontId="3" numFmtId="0" xfId="0" applyAlignment="1" applyBorder="1" applyFill="1" applyFont="1">
      <alignment horizontal="center"/>
    </xf>
    <xf borderId="33" fillId="10" fontId="11" numFmtId="0" xfId="0" applyAlignment="1" applyBorder="1" applyFill="1" applyFont="1">
      <alignment horizontal="center"/>
    </xf>
    <xf borderId="16" fillId="10" fontId="11" numFmtId="0" xfId="0" applyAlignment="1" applyBorder="1" applyFill="1" applyFont="1">
      <alignment horizontal="center"/>
    </xf>
    <xf borderId="0" fillId="0" fontId="26" numFmtId="0" xfId="0" applyAlignment="1" applyFont="1">
      <alignment horizontal="center"/>
    </xf>
    <xf borderId="54" fillId="3" fontId="38" numFmtId="0" xfId="0" applyAlignment="1" applyBorder="1" applyFill="1" applyFont="1">
      <alignment horizontal="center" vertical="bottom"/>
    </xf>
    <xf borderId="55" fillId="0" fontId="2" numFmtId="0" xfId="0" applyBorder="1" applyFont="1"/>
    <xf borderId="56" fillId="0" fontId="2" numFmtId="0" xfId="0" applyBorder="1" applyFont="1"/>
    <xf borderId="0" fillId="0" fontId="5" numFmtId="164" xfId="0" applyAlignment="1" applyFont="1" applyNumberFormat="1">
      <alignment horizontal="center"/>
    </xf>
    <xf borderId="33" fillId="4" fontId="5" numFmtId="0" xfId="0" applyAlignment="1" applyBorder="1" applyFill="1" applyFont="1">
      <alignment horizontal="center"/>
    </xf>
    <xf borderId="12" fillId="4" fontId="9" numFmtId="0" xfId="0" applyAlignment="1" applyBorder="1" applyFill="1" applyFont="1">
      <alignment horizontal="center" shrinkToFit="0" wrapText="1"/>
    </xf>
    <xf borderId="12" fillId="4" fontId="9" numFmtId="0" xfId="0" applyAlignment="1" applyBorder="1" applyFill="1" applyFont="1">
      <alignment horizontal="left"/>
    </xf>
    <xf borderId="29" fillId="4" fontId="9" numFmtId="0" xfId="0" applyAlignment="1" applyBorder="1" applyFill="1" applyFont="1">
      <alignment horizontal="center"/>
    </xf>
    <xf borderId="29" fillId="4" fontId="9" numFmtId="0" xfId="0" applyAlignment="1" applyBorder="1" applyFill="1" applyFont="1">
      <alignment horizontal="center" vertical="top"/>
    </xf>
    <xf borderId="10" fillId="4" fontId="3" numFmtId="164" xfId="0" applyAlignment="1" applyBorder="1" applyFill="1" applyFont="1" applyNumberFormat="1">
      <alignment horizontal="center" readingOrder="0"/>
    </xf>
    <xf borderId="19" fillId="2" fontId="1" numFmtId="0" xfId="0" applyAlignment="1" applyBorder="1" applyFill="1" applyFont="1">
      <alignment horizontal="center" shrinkToFit="0" vertical="center" wrapText="1"/>
    </xf>
    <xf borderId="57" fillId="2" fontId="3" numFmtId="0" xfId="0" applyAlignment="1" applyBorder="1" applyFill="1" applyFont="1">
      <alignment horizontal="center"/>
    </xf>
    <xf borderId="58" fillId="2" fontId="3" numFmtId="0" xfId="0" applyBorder="1" applyFill="1" applyFont="1"/>
    <xf borderId="6" fillId="26" fontId="9" numFmtId="0" xfId="0" applyAlignment="1" applyBorder="1" applyFill="1" applyFont="1">
      <alignment horizontal="center" readingOrder="0"/>
    </xf>
    <xf borderId="15" fillId="0" fontId="2" numFmtId="0" xfId="0" applyBorder="1" applyFont="1"/>
    <xf borderId="6" fillId="2" fontId="40" numFmtId="0" xfId="0" applyAlignment="1" applyBorder="1" applyFill="1" applyFont="1">
      <alignment horizontal="center" readingOrder="0" shrinkToFit="0" vertical="bottom" wrapText="0"/>
    </xf>
    <xf borderId="6" fillId="2" fontId="40" numFmtId="0" xfId="0" applyAlignment="1" applyBorder="1" applyFill="1" applyFont="1">
      <alignment horizontal="left" readingOrder="0" shrinkToFit="0" vertical="bottom" wrapText="0"/>
    </xf>
    <xf borderId="6" fillId="2" fontId="40" numFmtId="0" xfId="0" applyAlignment="1" applyBorder="1" applyFill="1" applyFont="1">
      <alignment horizontal="center" readingOrder="0" shrinkToFit="0" vertical="bottom" wrapText="0"/>
    </xf>
    <xf borderId="16" fillId="8" fontId="40" numFmtId="0" xfId="0" applyAlignment="1" applyBorder="1" applyFill="1" applyFont="1">
      <alignment horizontal="center" readingOrder="0" shrinkToFit="0" vertical="bottom" wrapText="0"/>
    </xf>
    <xf borderId="16" fillId="10" fontId="40" numFmtId="0" xfId="0" applyAlignment="1" applyBorder="1" applyFill="1" applyFont="1">
      <alignment horizontal="center" shrinkToFit="0" vertical="bottom" wrapText="0"/>
    </xf>
    <xf borderId="40" fillId="2" fontId="1" numFmtId="0" xfId="0" applyAlignment="1" applyBorder="1" applyFill="1" applyFont="1">
      <alignment horizontal="center" shrinkToFit="0" vertical="center" wrapText="1"/>
    </xf>
    <xf borderId="40" fillId="2" fontId="8" numFmtId="0" xfId="0" applyAlignment="1" applyBorder="1" applyFill="1" applyFont="1">
      <alignment horizontal="center"/>
    </xf>
    <xf borderId="40" fillId="2" fontId="8" numFmtId="0" xfId="0" applyBorder="1" applyFill="1" applyFont="1"/>
    <xf borderId="40" fillId="2" fontId="8" numFmtId="164" xfId="0" applyBorder="1" applyFill="1" applyFont="1" applyNumberFormat="1"/>
    <xf borderId="40" fillId="10" fontId="9" numFmtId="0" xfId="0" applyAlignment="1" applyBorder="1" applyFill="1" applyFont="1">
      <alignment horizontal="center" readingOrder="0"/>
    </xf>
    <xf borderId="10" fillId="7" fontId="8" numFmtId="0" xfId="0" applyBorder="1" applyFill="1" applyFont="1"/>
    <xf borderId="19" fillId="31" fontId="1" numFmtId="0" xfId="0" applyAlignment="1" applyBorder="1" applyFill="1" applyFont="1">
      <alignment horizontal="center" readingOrder="0" shrinkToFit="0" vertical="center" wrapText="1"/>
    </xf>
    <xf borderId="18" fillId="44" fontId="9" numFmtId="0" xfId="0" applyAlignment="1" applyBorder="1" applyFill="1" applyFont="1">
      <alignment horizontal="center"/>
    </xf>
    <xf borderId="6" fillId="44" fontId="9" numFmtId="0" xfId="0" applyAlignment="1" applyBorder="1" applyFill="1" applyFont="1">
      <alignment horizontal="left"/>
    </xf>
    <xf borderId="18" fillId="44" fontId="9" numFmtId="164" xfId="0" applyBorder="1" applyFill="1" applyFont="1" applyNumberFormat="1"/>
    <xf borderId="34" fillId="44" fontId="9" numFmtId="164" xfId="0" applyAlignment="1" applyBorder="1" applyFill="1" applyFont="1" applyNumberFormat="1">
      <alignment horizontal="center"/>
    </xf>
    <xf borderId="15" fillId="26" fontId="9" numFmtId="0" xfId="0" applyAlignment="1" applyBorder="1" applyFill="1" applyFont="1">
      <alignment horizontal="center" readingOrder="0"/>
    </xf>
    <xf borderId="6" fillId="11" fontId="14" numFmtId="0" xfId="0" applyAlignment="1" applyBorder="1" applyFill="1" applyFont="1">
      <alignment horizontal="center" readingOrder="0" vertical="bottom"/>
    </xf>
    <xf borderId="28" fillId="0" fontId="2" numFmtId="0" xfId="0" applyBorder="1" applyFont="1"/>
    <xf borderId="18" fillId="44" fontId="3" numFmtId="0" xfId="0" applyAlignment="1" applyBorder="1" applyFill="1" applyFont="1">
      <alignment horizontal="center"/>
    </xf>
    <xf borderId="6" fillId="44" fontId="3" numFmtId="0" xfId="0" applyBorder="1" applyFill="1" applyFont="1"/>
    <xf borderId="6" fillId="44" fontId="3" numFmtId="0" xfId="0" applyAlignment="1" applyBorder="1" applyFill="1" applyFont="1">
      <alignment horizontal="center"/>
    </xf>
    <xf borderId="17" fillId="44" fontId="3" numFmtId="0" xfId="0" applyAlignment="1" applyBorder="1" applyFill="1" applyFont="1">
      <alignment horizontal="center"/>
    </xf>
    <xf borderId="10" fillId="25" fontId="10" numFmtId="0" xfId="0" applyAlignment="1" applyBorder="1" applyFill="1" applyFont="1">
      <alignment horizontal="center" readingOrder="0"/>
    </xf>
    <xf borderId="10" fillId="8" fontId="11" numFmtId="0" xfId="0" applyAlignment="1" applyBorder="1" applyFill="1" applyFont="1">
      <alignment horizontal="center"/>
    </xf>
    <xf borderId="12" fillId="4" fontId="9" numFmtId="0" xfId="0" applyAlignment="1" applyBorder="1" applyFill="1" applyFont="1">
      <alignment horizontal="center"/>
    </xf>
    <xf borderId="12" fillId="4" fontId="9" numFmtId="0" xfId="0" applyAlignment="1" applyBorder="1" applyFill="1" applyFont="1">
      <alignment horizontal="center" vertical="top"/>
    </xf>
    <xf borderId="12" fillId="4" fontId="9" numFmtId="0" xfId="0" applyAlignment="1" applyBorder="1" applyFill="1" applyFont="1">
      <alignment horizontal="center" shrinkToFit="0" wrapText="0"/>
    </xf>
    <xf borderId="18" fillId="2" fontId="3" numFmtId="0" xfId="0" applyAlignment="1" applyBorder="1" applyFill="1" applyFont="1">
      <alignment horizontal="center"/>
    </xf>
    <xf borderId="17" fillId="2" fontId="3" numFmtId="0" xfId="0" applyAlignment="1" applyBorder="1" applyFill="1" applyFont="1">
      <alignment horizontal="center" shrinkToFit="0" wrapText="0"/>
    </xf>
    <xf borderId="6" fillId="19" fontId="9" numFmtId="0" xfId="0" applyAlignment="1" applyBorder="1" applyFill="1" applyFont="1">
      <alignment horizontal="center" readingOrder="0"/>
    </xf>
    <xf borderId="6" fillId="5" fontId="9" numFmtId="0" xfId="0" applyAlignment="1" applyBorder="1" applyFill="1" applyFont="1">
      <alignment horizontal="center" readingOrder="0"/>
    </xf>
    <xf borderId="6" fillId="2" fontId="3" numFmtId="0" xfId="0" applyAlignment="1" applyBorder="1" applyFill="1" applyFont="1">
      <alignment readingOrder="0"/>
    </xf>
    <xf borderId="40" fillId="2" fontId="3" numFmtId="0" xfId="0" applyAlignment="1" applyBorder="1" applyFill="1" applyFont="1">
      <alignment horizontal="center" shrinkToFit="0" wrapText="0"/>
    </xf>
    <xf borderId="40" fillId="11" fontId="9" numFmtId="0" xfId="0" applyAlignment="1" applyBorder="1" applyFill="1" applyFont="1">
      <alignment horizontal="center" readingOrder="0"/>
    </xf>
    <xf borderId="19" fillId="31" fontId="5" numFmtId="0" xfId="0" applyAlignment="1" applyBorder="1" applyFill="1" applyFont="1">
      <alignment horizontal="center" shrinkToFit="0" vertical="center" wrapText="1"/>
    </xf>
    <xf borderId="43" fillId="44" fontId="9" numFmtId="0" xfId="0" applyAlignment="1" applyBorder="1" applyFill="1" applyFont="1">
      <alignment horizontal="center"/>
    </xf>
    <xf borderId="42" fillId="44" fontId="9" numFmtId="0" xfId="0" applyAlignment="1" applyBorder="1" applyFill="1" applyFont="1">
      <alignment horizontal="left"/>
    </xf>
    <xf borderId="43" fillId="44" fontId="9" numFmtId="0" xfId="0" applyBorder="1" applyFill="1" applyFont="1"/>
    <xf borderId="43" fillId="44" fontId="9" numFmtId="0" xfId="0" applyAlignment="1" applyBorder="1" applyFill="1" applyFont="1">
      <alignment horizontal="center" shrinkToFit="0" wrapText="0"/>
    </xf>
    <xf borderId="0" fillId="0" fontId="11" numFmtId="0" xfId="0" applyAlignment="1" applyFont="1">
      <alignment horizontal="center"/>
    </xf>
    <xf borderId="6" fillId="44" fontId="9" numFmtId="0" xfId="0" applyAlignment="1" applyBorder="1" applyFill="1" applyFont="1">
      <alignment horizontal="center"/>
    </xf>
    <xf borderId="6" fillId="44" fontId="9" numFmtId="0" xfId="0" applyBorder="1" applyFill="1" applyFont="1"/>
    <xf borderId="6" fillId="44" fontId="9" numFmtId="0" xfId="0" applyAlignment="1" applyBorder="1" applyFill="1" applyFont="1">
      <alignment horizontal="center" shrinkToFit="0" wrapText="0"/>
    </xf>
    <xf borderId="0" fillId="22" fontId="41" numFmtId="0" xfId="0" applyAlignment="1" applyFill="1" applyFont="1">
      <alignment readingOrder="0"/>
    </xf>
    <xf borderId="19" fillId="2" fontId="5" numFmtId="0" xfId="0" applyAlignment="1" applyBorder="1" applyFill="1" applyFont="1">
      <alignment horizontal="center" shrinkToFit="0" vertical="center" wrapText="1"/>
    </xf>
    <xf borderId="18" fillId="2" fontId="9" numFmtId="0" xfId="0" applyAlignment="1" applyBorder="1" applyFill="1" applyFont="1">
      <alignment horizontal="center"/>
    </xf>
    <xf borderId="6" fillId="2" fontId="9" numFmtId="0" xfId="0" applyAlignment="1" applyBorder="1" applyFill="1" applyFont="1">
      <alignment horizontal="left"/>
    </xf>
    <xf borderId="6" fillId="2" fontId="9" numFmtId="0" xfId="0" applyAlignment="1" applyBorder="1" applyFill="1" applyFont="1">
      <alignment horizontal="center"/>
    </xf>
    <xf borderId="6" fillId="2" fontId="9" numFmtId="0" xfId="0" applyBorder="1" applyFill="1" applyFont="1"/>
    <xf borderId="17" fillId="2" fontId="9" numFmtId="0" xfId="0" applyAlignment="1" applyBorder="1" applyFill="1" applyFont="1">
      <alignment horizontal="center" shrinkToFit="0" wrapText="0"/>
    </xf>
    <xf borderId="6" fillId="2" fontId="9" numFmtId="0" xfId="0" applyAlignment="1" applyBorder="1" applyFill="1" applyFont="1">
      <alignment horizontal="center" shrinkToFit="0" wrapText="0"/>
    </xf>
    <xf borderId="59" fillId="2" fontId="9" numFmtId="0" xfId="0" applyAlignment="1" applyBorder="1" applyFill="1" applyFont="1">
      <alignment horizontal="center"/>
    </xf>
    <xf borderId="27" fillId="2" fontId="9" numFmtId="0" xfId="0" applyAlignment="1" applyBorder="1" applyFill="1" applyFont="1">
      <alignment horizontal="left"/>
    </xf>
    <xf borderId="27" fillId="2" fontId="9" numFmtId="0" xfId="0" applyAlignment="1" applyBorder="1" applyFill="1" applyFont="1">
      <alignment horizontal="center"/>
    </xf>
    <xf borderId="27" fillId="2" fontId="9" numFmtId="0" xfId="0" applyAlignment="1" applyBorder="1" applyFill="1" applyFont="1">
      <alignment horizontal="center" shrinkToFit="0" wrapText="0"/>
    </xf>
    <xf borderId="42" fillId="44" fontId="9" numFmtId="0" xfId="0" applyAlignment="1" applyBorder="1" applyFill="1" applyFont="1">
      <alignment horizontal="center"/>
    </xf>
    <xf borderId="42" fillId="44" fontId="9" numFmtId="0" xfId="0" applyBorder="1" applyFill="1" applyFont="1"/>
    <xf borderId="42" fillId="44" fontId="9" numFmtId="0" xfId="0" applyAlignment="1" applyBorder="1" applyFill="1" applyFont="1">
      <alignment horizontal="center" shrinkToFit="0" wrapText="0"/>
    </xf>
    <xf borderId="12" fillId="44" fontId="9" numFmtId="0" xfId="0" applyAlignment="1" applyBorder="1" applyFill="1" applyFont="1">
      <alignment horizontal="center"/>
    </xf>
    <xf borderId="11" fillId="44" fontId="9" numFmtId="0" xfId="0" applyAlignment="1" applyBorder="1" applyFill="1" applyFont="1">
      <alignment horizontal="left"/>
    </xf>
    <xf borderId="11" fillId="44" fontId="9" numFmtId="0" xfId="0" applyAlignment="1" applyBorder="1" applyFill="1" applyFont="1">
      <alignment horizontal="center"/>
    </xf>
    <xf borderId="11" fillId="44" fontId="9" numFmtId="0" xfId="0" applyBorder="1" applyFill="1" applyFont="1"/>
    <xf borderId="11" fillId="44" fontId="9" numFmtId="0" xfId="0" applyAlignment="1" applyBorder="1" applyFill="1" applyFont="1">
      <alignment horizontal="center" shrinkToFit="0" wrapText="0"/>
    </xf>
    <xf borderId="10" fillId="22" fontId="10" numFmtId="0" xfId="0" applyAlignment="1" applyBorder="1" applyFill="1" applyFont="1">
      <alignment horizontal="center" readingOrder="0"/>
    </xf>
    <xf borderId="60" fillId="3" fontId="42" numFmtId="0" xfId="0" applyAlignment="1" applyBorder="1" applyFill="1" applyFont="1">
      <alignment horizontal="center" vertical="center"/>
    </xf>
    <xf borderId="12" fillId="4" fontId="1" numFmtId="0" xfId="0" applyAlignment="1" applyBorder="1" applyFill="1" applyFont="1">
      <alignment horizontal="center" shrinkToFit="0" wrapText="1"/>
    </xf>
    <xf borderId="12" fillId="4" fontId="1" numFmtId="0" xfId="0" applyAlignment="1" applyBorder="1" applyFill="1" applyFont="1">
      <alignment horizontal="left"/>
    </xf>
    <xf borderId="12" fillId="4" fontId="1" numFmtId="0" xfId="0" applyAlignment="1" applyBorder="1" applyFill="1" applyFont="1">
      <alignment horizontal="center"/>
    </xf>
    <xf borderId="12" fillId="4" fontId="1" numFmtId="0" xfId="0" applyAlignment="1" applyBorder="1" applyFill="1" applyFont="1">
      <alignment horizontal="center" vertical="top"/>
    </xf>
    <xf borderId="10" fillId="4" fontId="5" numFmtId="164" xfId="0" applyAlignment="1" applyBorder="1" applyFill="1" applyFont="1" applyNumberFormat="1">
      <alignment horizontal="center" readingOrder="0"/>
    </xf>
    <xf borderId="6" fillId="2" fontId="1" numFmtId="0" xfId="0" applyAlignment="1" applyBorder="1" applyFill="1" applyFont="1">
      <alignment horizontal="center" shrinkToFit="0" vertical="center" wrapText="1"/>
    </xf>
    <xf borderId="46" fillId="2" fontId="1" numFmtId="0" xfId="0" applyAlignment="1" applyBorder="1" applyFill="1" applyFont="1">
      <alignment horizontal="center"/>
    </xf>
    <xf borderId="45" fillId="2" fontId="9" numFmtId="0" xfId="0" applyAlignment="1" applyBorder="1" applyFill="1" applyFont="1">
      <alignment horizontal="left"/>
    </xf>
    <xf borderId="46" fillId="2" fontId="9" numFmtId="0" xfId="0" applyAlignment="1" applyBorder="1" applyFill="1" applyFont="1">
      <alignment horizontal="center"/>
    </xf>
    <xf borderId="46" fillId="2" fontId="9" numFmtId="0" xfId="0" applyAlignment="1" applyBorder="1" applyFill="1" applyFont="1">
      <alignment vertical="top"/>
    </xf>
    <xf borderId="0" fillId="0" fontId="11" numFmtId="0" xfId="0" applyAlignment="1" applyFont="1">
      <alignment horizontal="center" readingOrder="0"/>
    </xf>
    <xf borderId="19" fillId="31" fontId="1" numFmtId="0" xfId="0" applyAlignment="1" applyBorder="1" applyFill="1" applyFont="1">
      <alignment horizontal="center" shrinkToFit="0" vertical="center" wrapText="1"/>
    </xf>
    <xf borderId="12" fillId="44" fontId="1" numFmtId="0" xfId="0" applyAlignment="1" applyBorder="1" applyFill="1" applyFont="1">
      <alignment horizontal="center"/>
    </xf>
    <xf borderId="12" fillId="44" fontId="9" numFmtId="164" xfId="0" applyBorder="1" applyFill="1" applyFont="1" applyNumberFormat="1"/>
    <xf borderId="12" fillId="44" fontId="9" numFmtId="0" xfId="0" applyBorder="1" applyFill="1" applyFont="1"/>
    <xf borderId="12" fillId="44" fontId="9" numFmtId="0" xfId="0" applyAlignment="1" applyBorder="1" applyFill="1" applyFont="1">
      <alignment horizontal="left"/>
    </xf>
    <xf borderId="12" fillId="44" fontId="9" numFmtId="164" xfId="0" applyAlignment="1" applyBorder="1" applyFill="1" applyFont="1" applyNumberFormat="1">
      <alignment horizontal="center"/>
    </xf>
    <xf borderId="6" fillId="3" fontId="3" numFmtId="0" xfId="0" applyAlignment="1" applyBorder="1" applyFill="1" applyFont="1">
      <alignment horizontal="center" readingOrder="0"/>
    </xf>
    <xf borderId="29" fillId="4" fontId="1" numFmtId="0" xfId="0" applyAlignment="1" applyBorder="1" applyFill="1" applyFont="1">
      <alignment horizontal="center"/>
    </xf>
    <xf borderId="18" fillId="2" fontId="5" numFmtId="0" xfId="0" applyAlignment="1" applyBorder="1" applyFill="1" applyFont="1">
      <alignment horizontal="center"/>
    </xf>
    <xf borderId="17" fillId="2" fontId="3" numFmtId="0" xfId="0" applyBorder="1" applyFill="1" applyFont="1"/>
    <xf borderId="6" fillId="2" fontId="3" numFmtId="0" xfId="0" applyAlignment="1" applyBorder="1" applyFill="1" applyFont="1">
      <alignment horizontal="center" shrinkToFit="0" wrapText="0"/>
    </xf>
    <xf borderId="61" fillId="2" fontId="5" numFmtId="0" xfId="0" applyAlignment="1" applyBorder="1" applyFill="1" applyFont="1">
      <alignment horizontal="center"/>
    </xf>
    <xf borderId="62" fillId="2" fontId="3" numFmtId="0" xfId="0" applyBorder="1" applyFill="1" applyFont="1"/>
    <xf borderId="40" fillId="20" fontId="9" numFmtId="0" xfId="0" applyAlignment="1" applyBorder="1" applyFill="1" applyFont="1">
      <alignment horizontal="center" readingOrder="0"/>
    </xf>
    <xf borderId="63" fillId="31" fontId="5" numFmtId="0" xfId="0" applyAlignment="1" applyBorder="1" applyFill="1" applyFont="1">
      <alignment horizontal="center" shrinkToFit="0" vertical="center" wrapText="1"/>
    </xf>
    <xf borderId="43" fillId="44" fontId="1" numFmtId="0" xfId="0" applyAlignment="1" applyBorder="1" applyFill="1" applyFont="1">
      <alignment horizontal="center"/>
    </xf>
    <xf borderId="43" fillId="44" fontId="9" numFmtId="0" xfId="0" applyAlignment="1" applyBorder="1" applyFill="1" applyFont="1">
      <alignment horizontal="left"/>
    </xf>
    <xf borderId="64" fillId="44" fontId="9" numFmtId="0" xfId="0" applyAlignment="1" applyBorder="1" applyFill="1" applyFont="1">
      <alignment readingOrder="0"/>
    </xf>
    <xf borderId="12" fillId="44" fontId="9" numFmtId="0" xfId="0" applyAlignment="1" applyBorder="1" applyFill="1" applyFont="1">
      <alignment horizontal="center" shrinkToFit="0" wrapText="0"/>
    </xf>
    <xf borderId="29" fillId="4" fontId="1" numFmtId="0" xfId="0" applyAlignment="1" applyBorder="1" applyFill="1" applyFont="1">
      <alignment horizontal="center" shrinkToFit="0" wrapText="1"/>
    </xf>
    <xf borderId="29" fillId="4" fontId="1" numFmtId="0" xfId="0" applyAlignment="1" applyBorder="1" applyFill="1" applyFont="1">
      <alignment horizontal="left"/>
    </xf>
    <xf borderId="29" fillId="4" fontId="1" numFmtId="0" xfId="0" applyAlignment="1" applyBorder="1" applyFill="1" applyFont="1">
      <alignment vertical="top"/>
    </xf>
    <xf borderId="18" fillId="2" fontId="1" numFmtId="0" xfId="0" applyAlignment="1" applyBorder="1" applyFill="1" applyFont="1">
      <alignment horizontal="center"/>
    </xf>
    <xf borderId="6" fillId="2" fontId="9" numFmtId="164" xfId="0" applyBorder="1" applyFill="1" applyFont="1" applyNumberFormat="1"/>
    <xf borderId="46" fillId="2" fontId="9" numFmtId="0" xfId="0" applyAlignment="1" applyBorder="1" applyFill="1" applyFont="1">
      <alignment horizontal="left"/>
    </xf>
    <xf borderId="46" fillId="2" fontId="9" numFmtId="164" xfId="0" applyAlignment="1" applyBorder="1" applyFill="1" applyFont="1" applyNumberFormat="1">
      <alignment vertical="top"/>
    </xf>
    <xf borderId="48" fillId="2" fontId="9" numFmtId="0" xfId="0" applyAlignment="1" applyBorder="1" applyFill="1" applyFont="1">
      <alignment horizontal="center" shrinkToFit="0" wrapText="0"/>
    </xf>
    <xf borderId="40" fillId="36" fontId="11" numFmtId="0" xfId="0" applyAlignment="1" applyBorder="1" applyFill="1" applyFont="1">
      <alignment horizontal="center" readingOrder="0"/>
    </xf>
    <xf borderId="36" fillId="31" fontId="5" numFmtId="0" xfId="0" applyAlignment="1" applyBorder="1" applyFill="1" applyFont="1">
      <alignment horizontal="center" shrinkToFit="0" vertical="center" wrapText="1"/>
    </xf>
    <xf borderId="60" fillId="3" fontId="42" numFmtId="0" xfId="0" applyAlignment="1" applyBorder="1" applyFill="1" applyFont="1">
      <alignment horizontal="center"/>
    </xf>
    <xf borderId="12" fillId="4" fontId="1" numFmtId="0" xfId="0" applyAlignment="1" applyBorder="1" applyFill="1" applyFont="1">
      <alignment vertical="top"/>
    </xf>
    <xf borderId="18" fillId="2" fontId="1" numFmtId="0" xfId="0" applyAlignment="1" applyBorder="1" applyFill="1" applyFont="1">
      <alignment horizontal="center" shrinkToFit="0" wrapText="1"/>
    </xf>
    <xf borderId="6" fillId="2" fontId="9" numFmtId="0" xfId="0" applyAlignment="1" applyBorder="1" applyFill="1" applyFont="1">
      <alignment horizontal="left" shrinkToFit="0" wrapText="1"/>
    </xf>
    <xf borderId="6" fillId="2" fontId="9" numFmtId="0" xfId="0" applyAlignment="1" applyBorder="1" applyFill="1" applyFont="1">
      <alignment horizontal="center" shrinkToFit="0" wrapText="1"/>
    </xf>
    <xf borderId="12" fillId="44" fontId="9" numFmtId="0" xfId="0" applyAlignment="1" applyBorder="1" applyFill="1" applyFont="1">
      <alignment horizontal="center" shrinkToFit="0" wrapText="1"/>
    </xf>
    <xf borderId="21" fillId="44" fontId="9" numFmtId="0" xfId="0" applyAlignment="1" applyBorder="1" applyFill="1" applyFont="1">
      <alignment horizontal="center"/>
    </xf>
    <xf borderId="6" fillId="2" fontId="9" numFmtId="0" xfId="0" applyAlignment="1" applyBorder="1" applyFill="1" applyFont="1">
      <alignment horizontal="center" shrinkToFit="0" vertical="top" wrapText="0"/>
    </xf>
    <xf borderId="46" fillId="2" fontId="9" numFmtId="0" xfId="0" applyBorder="1" applyFill="1" applyFont="1"/>
    <xf borderId="65" fillId="24" fontId="33" numFmtId="0" xfId="0" applyAlignment="1" applyBorder="1" applyFill="1" applyFont="1">
      <alignment horizontal="left" shrinkToFit="0" wrapText="0"/>
    </xf>
    <xf borderId="0" fillId="24" fontId="33" numFmtId="0" xfId="0" applyAlignment="1" applyFill="1" applyFont="1">
      <alignment horizontal="left" shrinkToFit="0" wrapText="0"/>
    </xf>
    <xf borderId="43" fillId="44" fontId="9" numFmtId="0" xfId="0" applyAlignment="1" applyBorder="1" applyFill="1" applyFont="1">
      <alignment horizontal="center" shrinkToFit="0" wrapText="1"/>
    </xf>
    <xf borderId="65" fillId="24" fontId="33" numFmtId="164" xfId="0" applyAlignment="1" applyBorder="1" applyFill="1" applyFont="1" applyNumberFormat="1">
      <alignment horizontal="left" readingOrder="0"/>
    </xf>
    <xf borderId="0" fillId="24" fontId="33" numFmtId="164" xfId="0" applyAlignment="1" applyFill="1" applyFont="1" applyNumberFormat="1">
      <alignment horizontal="left" readingOrder="0"/>
    </xf>
    <xf borderId="11" fillId="44" fontId="3" numFmtId="0" xfId="0" applyBorder="1" applyFill="1" applyFont="1"/>
    <xf borderId="12" fillId="44" fontId="3" numFmtId="0" xfId="0" applyAlignment="1" applyBorder="1" applyFill="1" applyFont="1">
      <alignment horizontal="center" shrinkToFit="0" wrapText="1"/>
    </xf>
    <xf borderId="58" fillId="2" fontId="5" numFmtId="0" xfId="0" applyAlignment="1" applyBorder="1" applyFill="1" applyFont="1">
      <alignment horizontal="center" shrinkToFit="0" vertical="center" wrapText="1"/>
    </xf>
    <xf borderId="6" fillId="2" fontId="1" numFmtId="0" xfId="0" applyAlignment="1" applyBorder="1" applyFill="1" applyFont="1">
      <alignment horizontal="center" shrinkToFit="0" wrapText="1"/>
    </xf>
    <xf borderId="66" fillId="0" fontId="2" numFmtId="0" xfId="0" applyBorder="1" applyFont="1"/>
    <xf borderId="27" fillId="2" fontId="1" numFmtId="0" xfId="0" applyAlignment="1" applyBorder="1" applyFill="1" applyFont="1">
      <alignment horizontal="center" shrinkToFit="0" wrapText="1"/>
    </xf>
    <xf borderId="27" fillId="2" fontId="9" numFmtId="0" xfId="0" applyBorder="1" applyFill="1" applyFont="1"/>
    <xf borderId="67" fillId="31" fontId="5" numFmtId="0" xfId="0" applyAlignment="1" applyBorder="1" applyFill="1" applyFont="1">
      <alignment horizontal="center" shrinkToFit="0" vertical="center" wrapText="1"/>
    </xf>
    <xf borderId="42" fillId="44" fontId="1" numFmtId="0" xfId="0" applyAlignment="1" applyBorder="1" applyFill="1" applyFont="1">
      <alignment horizontal="center"/>
    </xf>
    <xf borderId="42" fillId="44" fontId="9" numFmtId="0" xfId="0" applyAlignment="1" applyBorder="1" applyFill="1" applyFont="1">
      <alignment horizontal="center" shrinkToFit="0" wrapText="1"/>
    </xf>
    <xf borderId="4" fillId="6" fontId="5" numFmtId="0" xfId="0" applyAlignment="1" applyBorder="1" applyFill="1" applyFont="1">
      <alignment horizontal="center" shrinkToFit="0" wrapText="1"/>
    </xf>
    <xf borderId="6" fillId="44" fontId="1" numFmtId="0" xfId="0" applyAlignment="1" applyBorder="1" applyFill="1" applyFont="1">
      <alignment horizontal="center"/>
    </xf>
    <xf borderId="6" fillId="44" fontId="9" numFmtId="0" xfId="0" applyAlignment="1" applyBorder="1" applyFill="1" applyFont="1">
      <alignment horizontal="center" shrinkToFit="0" wrapText="1"/>
    </xf>
    <xf borderId="1" fillId="3" fontId="5" numFmtId="0" xfId="0" applyAlignment="1" applyBorder="1" applyFill="1" applyFont="1">
      <alignment horizontal="center" shrinkToFit="0" wrapText="1"/>
    </xf>
    <xf borderId="1" fillId="4" fontId="5" numFmtId="0" xfId="0" applyAlignment="1" applyBorder="1" applyFill="1" applyFont="1">
      <alignment horizontal="center" shrinkToFit="0" wrapText="1"/>
    </xf>
    <xf borderId="11" fillId="4" fontId="5" numFmtId="0" xfId="0" applyAlignment="1" applyBorder="1" applyFill="1" applyFont="1">
      <alignment horizontal="center" shrinkToFit="0" wrapText="1"/>
    </xf>
    <xf borderId="12" fillId="4" fontId="5" numFmtId="0" xfId="0" applyAlignment="1" applyBorder="1" applyFill="1" applyFont="1">
      <alignment horizontal="center" shrinkToFit="0" wrapText="1"/>
    </xf>
    <xf borderId="15" fillId="0" fontId="39" numFmtId="0" xfId="0" applyAlignment="1" applyBorder="1" applyFont="1">
      <alignment horizontal="center" shrinkToFit="0" vertical="center" wrapText="1"/>
    </xf>
    <xf borderId="16" fillId="0" fontId="3" numFmtId="167" xfId="0" applyAlignment="1" applyBorder="1" applyFont="1" applyNumberFormat="1">
      <alignment horizontal="center" shrinkToFit="0" wrapText="1"/>
    </xf>
    <xf borderId="6" fillId="19" fontId="11" numFmtId="0" xfId="0" applyAlignment="1" applyBorder="1" applyFill="1" applyFont="1">
      <alignment horizontal="center"/>
    </xf>
    <xf borderId="15" fillId="0" fontId="39" numFmtId="0" xfId="0" applyAlignment="1" applyBorder="1" applyFont="1">
      <alignment horizontal="center"/>
    </xf>
    <xf borderId="0" fillId="10" fontId="26" numFmtId="0" xfId="0" applyFill="1" applyFont="1"/>
    <xf borderId="4" fillId="3" fontId="1" numFmtId="0" xfId="0" applyAlignment="1" applyBorder="1" applyFill="1" applyFont="1">
      <alignment horizontal="center"/>
    </xf>
    <xf borderId="1" fillId="3" fontId="5" numFmtId="0" xfId="0" applyAlignment="1" applyBorder="1" applyFill="1" applyFont="1">
      <alignment horizontal="center"/>
    </xf>
    <xf borderId="11" fillId="4" fontId="1" numFmtId="0" xfId="0" applyAlignment="1" applyBorder="1" applyFill="1" applyFont="1">
      <alignment horizontal="center"/>
    </xf>
    <xf borderId="6" fillId="11" fontId="19" numFmtId="0" xfId="0" applyAlignment="1" applyBorder="1" applyFill="1" applyFont="1">
      <alignment horizontal="center" readingOrder="0" vertical="bottom"/>
    </xf>
    <xf borderId="6" fillId="19" fontId="14" numFmtId="0" xfId="0" applyAlignment="1" applyBorder="1" applyFill="1" applyFont="1">
      <alignment horizontal="center" vertical="bottom"/>
    </xf>
    <xf borderId="4" fillId="12" fontId="43" numFmtId="0" xfId="0" applyAlignment="1" applyBorder="1" applyFill="1" applyFont="1">
      <alignment horizontal="center" readingOrder="0" vertical="bottom"/>
    </xf>
    <xf borderId="16" fillId="0" fontId="3" numFmtId="0" xfId="0" applyAlignment="1" applyBorder="1" applyFont="1">
      <alignment shrinkToFit="0" wrapText="0"/>
    </xf>
    <xf borderId="6" fillId="17" fontId="10" numFmtId="0" xfId="0" applyAlignment="1" applyBorder="1" applyFill="1" applyFont="1">
      <alignment horizontal="center" readingOrder="0"/>
    </xf>
    <xf borderId="27" fillId="13" fontId="3" numFmtId="0" xfId="0" applyAlignment="1" applyBorder="1" applyFill="1" applyFont="1">
      <alignment horizontal="center"/>
    </xf>
    <xf borderId="6" fillId="8" fontId="9" numFmtId="0" xfId="0" applyAlignment="1" applyBorder="1" applyFill="1" applyFont="1">
      <alignment shrinkToFit="0" wrapText="1"/>
    </xf>
    <xf borderId="6" fillId="8" fontId="9" numFmtId="0" xfId="0" applyBorder="1" applyFill="1" applyFont="1"/>
    <xf borderId="33" fillId="3" fontId="5" numFmtId="0" xfId="0" applyAlignment="1" applyBorder="1" applyFill="1" applyFont="1">
      <alignment horizontal="center"/>
    </xf>
    <xf borderId="68" fillId="0" fontId="2" numFmtId="0" xfId="0" applyBorder="1" applyFont="1"/>
    <xf borderId="10" fillId="3" fontId="1" numFmtId="0" xfId="0" applyAlignment="1" applyBorder="1" applyFill="1" applyFont="1">
      <alignment horizontal="center"/>
    </xf>
    <xf borderId="6" fillId="0" fontId="44" numFmtId="0" xfId="0" applyAlignment="1" applyBorder="1" applyFont="1">
      <alignment horizontal="center"/>
    </xf>
    <xf borderId="15" fillId="0" fontId="9" numFmtId="0" xfId="0" applyAlignment="1" applyBorder="1" applyFont="1">
      <alignment horizontal="center" vertical="top"/>
    </xf>
    <xf borderId="12" fillId="8" fontId="9" numFmtId="0" xfId="0" applyBorder="1" applyFill="1" applyFont="1"/>
    <xf borderId="11" fillId="8" fontId="14" numFmtId="0" xfId="0" applyAlignment="1" applyBorder="1" applyFill="1" applyFont="1">
      <alignment horizontal="center" shrinkToFit="0" wrapText="1"/>
    </xf>
    <xf borderId="12" fillId="8" fontId="14" numFmtId="0" xfId="0" applyBorder="1" applyFill="1" applyFont="1"/>
    <xf borderId="12" fillId="8" fontId="14" numFmtId="0" xfId="0" applyAlignment="1" applyBorder="1" applyFill="1" applyFont="1">
      <alignment horizontal="center"/>
    </xf>
    <xf borderId="12" fillId="8" fontId="9" numFmtId="0" xfId="0" applyAlignment="1" applyBorder="1" applyFill="1" applyFont="1">
      <alignment horizontal="left" readingOrder="0" shrinkToFit="0" vertical="center" wrapText="1"/>
    </xf>
    <xf borderId="15" fillId="0" fontId="3" numFmtId="0" xfId="0" applyAlignment="1" applyBorder="1" applyFont="1">
      <alignment horizontal="left"/>
    </xf>
    <xf borderId="33" fillId="0" fontId="3" numFmtId="0" xfId="0" applyAlignment="1" applyBorder="1" applyFont="1">
      <alignment horizontal="center"/>
    </xf>
    <xf borderId="0" fillId="0" fontId="8" numFmtId="0" xfId="0" applyAlignment="1" applyFont="1">
      <alignment horizontal="center" vertical="bottom"/>
    </xf>
  </cellXfs>
  <cellStyles count="1">
    <cellStyle xfId="0" name="Normal" builtinId="0"/>
  </cellStyles>
  <dxfs count="5">
    <dxf>
      <font/>
      <fill>
        <patternFill patternType="none"/>
      </fill>
      <border/>
    </dxf>
    <dxf>
      <font/>
      <fill>
        <patternFill patternType="solid">
          <fgColor rgb="FFFFFFFF"/>
          <bgColor rgb="FFFFFFFF"/>
        </patternFill>
      </fill>
      <border/>
    </dxf>
    <dxf>
      <font/>
      <fill>
        <patternFill patternType="solid">
          <fgColor rgb="FFF8F9FA"/>
          <bgColor rgb="FFF8F9FA"/>
        </patternFill>
      </fill>
      <border/>
    </dxf>
    <dxf>
      <font>
        <color rgb="FFEFEFEF"/>
      </font>
      <fill>
        <patternFill patternType="solid">
          <fgColor rgb="FFCC0000"/>
          <bgColor rgb="FFCC0000"/>
        </patternFill>
      </fill>
      <border/>
    </dxf>
    <dxf>
      <font/>
      <fill>
        <patternFill patternType="solid">
          <fgColor rgb="FFF6B26B"/>
          <bgColor rgb="FFF6B26B"/>
        </patternFill>
      </fill>
      <border/>
    </dxf>
  </dxfs>
  <tableStyles count="1">
    <tableStyle count="2" pivot="0" name="TURNO TARDE DE 14 A 22 HS-style">
      <tableStyleElement dxfId="1" type="firstRowStripe"/>
      <tableStyleElement dxfId="2" type="secondRowStripe"/>
    </tableStyle>
  </tableStyles>
</styleSheet>
</file>

<file path=xl/_rels/comments1.xml.rels><?xml version="1.0" encoding="UTF-8" standalone="yes"?><Relationships xmlns="http://schemas.openxmlformats.org/package/2006/relationships"><Relationship Id="rId1" Type="http://customschemas.google.com/relationships/workbookmetadata" Target="commentsmeta5"/></Relationships>
</file>

<file path=xl/_rels/comments2.xml.rels><?xml version="1.0" encoding="UTF-8" standalone="yes"?><Relationships xmlns="http://schemas.openxmlformats.org/package/2006/relationships"><Relationship Id="rId1" Type="http://customschemas.google.com/relationships/workbookmetadata" Target="commentsmeta4"/></Relationships>
</file>

<file path=xl/_rels/comments3.xml.rels><?xml version="1.0" encoding="UTF-8" standalone="yes"?><Relationships xmlns="http://schemas.openxmlformats.org/package/2006/relationships"><Relationship Id="rId1" Type="http://customschemas.google.com/relationships/workbookmetadata" Target="commentsmeta1"/></Relationships>
</file>

<file path=xl/_rels/comments4.xml.rels><?xml version="1.0" encoding="UTF-8" standalone="yes"?><Relationships xmlns="http://schemas.openxmlformats.org/package/2006/relationships"><Relationship Id="rId1" Type="http://customschemas.google.com/relationships/workbookmetadata" Target="commentsmeta0"/></Relationships>
</file>

<file path=xl/_rels/comments5.xml.rels><?xml version="1.0" encoding="UTF-8" standalone="yes"?><Relationships xmlns="http://schemas.openxmlformats.org/package/2006/relationships"><Relationship Id="rId1" Type="http://customschemas.google.com/relationships/workbookmetadata" Target="commentsmeta2"/></Relationships>
</file>

<file path=xl/_rels/comments6.xml.rels><?xml version="1.0" encoding="UTF-8" standalone="yes"?><Relationships xmlns="http://schemas.openxmlformats.org/package/2006/relationships"><Relationship Id="rId1" Type="http://customschemas.google.com/relationships/workbookmetadata" Target="commentsmeta7"/></Relationships>
</file>

<file path=xl/_rels/comments7.xml.rels><?xml version="1.0" encoding="UTF-8" standalone="yes"?><Relationships xmlns="http://schemas.openxmlformats.org/package/2006/relationships"><Relationship Id="rId1" Type="http://customschemas.google.com/relationships/workbookmetadata" Target="commentsmeta3"/></Relationships>
</file>

<file path=xl/_rels/comments8.xml.rels><?xml version="1.0" encoding="UTF-8" standalone="yes"?><Relationships xmlns="http://schemas.openxmlformats.org/package/2006/relationships"><Relationship Id="rId1" Type="http://customschemas.google.com/relationships/workbookmetadata" Target="commentsmeta6"/></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schemas.openxmlformats.org/officeDocument/2006/relationships/worksheet" Target="worksheets/sheet8.xml"/><Relationship Id="rId10" Type="http://schemas.openxmlformats.org/officeDocument/2006/relationships/worksheet" Target="worksheets/sheet7.xml"/><Relationship Id="rId12"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E42:AJ43" displayName="Table_1" name="Table_1" id="1">
  <tableColumns count="3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s>
  <tableStyleInfo name="TURNO TARDE DE 14 A 22 H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3.xml"/><Relationship Id="rId3" Type="http://schemas.openxmlformats.org/officeDocument/2006/relationships/vmlDrawing" Target="../drawings/vmlDrawing3.vml"/><Relationship Id="rId5"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4.xml"/><Relationship Id="rId3"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5.xml"/><Relationship Id="rId3" Type="http://schemas.openxmlformats.org/officeDocument/2006/relationships/vmlDrawing" Target="../drawings/vmlDrawing5.vml"/></Relationships>
</file>

<file path=xl/worksheets/_rels/sheet6.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6.xml"/><Relationship Id="rId3" Type="http://schemas.openxmlformats.org/officeDocument/2006/relationships/vmlDrawing" Target="../drawings/vmlDrawing6.vml"/></Relationships>
</file>

<file path=xl/worksheets/_rels/sheet7.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drawing" Target="../drawings/drawing7.xml"/><Relationship Id="rId3" Type="http://schemas.openxmlformats.org/officeDocument/2006/relationships/vmlDrawing" Target="../drawings/vmlDrawing7.vml"/></Relationships>
</file>

<file path=xl/worksheets/_rels/sheet8.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drawing" Target="../drawings/drawing8.xml"/><Relationship Id="rId3"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71"/>
    <col customWidth="1" min="2" max="2" width="20.43"/>
    <col customWidth="1" min="3" max="3" width="9.86"/>
    <col customWidth="1" min="4" max="4" width="15.71"/>
    <col customWidth="1" min="5" max="5" width="14.14"/>
    <col customWidth="1" min="6" max="6" width="37.43"/>
    <col customWidth="1" min="7" max="25" width="4.43"/>
    <col customWidth="1" min="26" max="26" width="5.29"/>
    <col customWidth="1" min="27" max="31" width="5.0"/>
    <col customWidth="1" min="32" max="32" width="4.29"/>
    <col customWidth="1" min="33" max="34" width="4.57"/>
    <col customWidth="1" min="35" max="35" width="4.86"/>
    <col customWidth="1" min="36" max="36" width="6.29"/>
    <col customWidth="1" min="37" max="37" width="7.14"/>
    <col customWidth="1" min="38" max="38" width="19.71"/>
    <col customWidth="1" min="39" max="39" width="9.14"/>
    <col customWidth="1" min="40" max="40" width="29.43"/>
    <col customWidth="1" min="41" max="41" width="3.71"/>
    <col customWidth="1" min="42" max="43" width="13.0"/>
    <col customWidth="1" min="44" max="45" width="9.14"/>
    <col customWidth="1" hidden="1" min="46" max="46" width="9.14"/>
    <col customWidth="1" min="47" max="47" width="9.14"/>
  </cols>
  <sheetData>
    <row r="1">
      <c r="A1" s="4" t="s">
        <v>1</v>
      </c>
      <c r="B1" s="6"/>
      <c r="C1" s="6"/>
      <c r="D1" s="6"/>
      <c r="E1" s="6"/>
      <c r="F1" s="6"/>
      <c r="G1" s="6"/>
      <c r="H1" s="6"/>
      <c r="I1" s="6"/>
      <c r="J1" s="6"/>
      <c r="K1" s="6"/>
      <c r="L1" s="6"/>
      <c r="M1" s="6"/>
      <c r="N1" s="6"/>
      <c r="O1" s="6"/>
      <c r="P1" s="6"/>
      <c r="Q1" s="6"/>
      <c r="R1" s="6"/>
      <c r="S1" s="6"/>
      <c r="T1" s="6"/>
      <c r="U1" s="6"/>
      <c r="V1" s="6"/>
      <c r="W1" s="6"/>
      <c r="X1" s="6"/>
      <c r="Y1" s="6"/>
      <c r="Z1" s="6"/>
      <c r="AA1" s="6"/>
      <c r="AB1" s="6"/>
      <c r="AC1" s="6"/>
      <c r="AD1" s="6"/>
      <c r="AE1" s="6"/>
      <c r="AF1" s="6"/>
      <c r="AG1" s="6"/>
      <c r="AH1" s="6"/>
      <c r="AI1" s="6"/>
      <c r="AJ1" s="6"/>
      <c r="AK1" s="11"/>
      <c r="AL1" s="14" t="s">
        <v>2</v>
      </c>
      <c r="AM1" s="16" t="s">
        <v>3</v>
      </c>
      <c r="AN1" s="6"/>
      <c r="AO1" s="11"/>
      <c r="AP1" s="19"/>
      <c r="AQ1" s="19"/>
      <c r="AR1" s="21"/>
      <c r="AS1" s="21"/>
      <c r="AT1" s="21"/>
      <c r="AU1" s="21"/>
    </row>
    <row r="2">
      <c r="A2" s="25" t="s">
        <v>14</v>
      </c>
      <c r="B2" s="6"/>
      <c r="C2" s="6"/>
      <c r="D2" s="6"/>
      <c r="E2" s="6"/>
      <c r="F2" s="11"/>
      <c r="G2" s="9">
        <v>1.0</v>
      </c>
      <c r="H2" s="9">
        <v>2.0</v>
      </c>
      <c r="I2" s="9">
        <v>3.0</v>
      </c>
      <c r="J2" s="9">
        <v>4.0</v>
      </c>
      <c r="K2" s="9">
        <v>5.0</v>
      </c>
      <c r="L2" s="9">
        <v>6.0</v>
      </c>
      <c r="M2" s="9">
        <v>7.0</v>
      </c>
      <c r="N2" s="9">
        <v>8.0</v>
      </c>
      <c r="O2" s="9">
        <v>9.0</v>
      </c>
      <c r="P2" s="9">
        <v>10.0</v>
      </c>
      <c r="Q2" s="9">
        <v>11.0</v>
      </c>
      <c r="R2" s="9">
        <v>12.0</v>
      </c>
      <c r="S2" s="9">
        <v>13.0</v>
      </c>
      <c r="T2" s="9">
        <v>14.0</v>
      </c>
      <c r="U2" s="9">
        <v>15.0</v>
      </c>
      <c r="V2" s="9">
        <v>16.0</v>
      </c>
      <c r="W2" s="9">
        <v>17.0</v>
      </c>
      <c r="X2" s="9">
        <v>18.0</v>
      </c>
      <c r="Y2" s="9">
        <v>19.0</v>
      </c>
      <c r="Z2" s="9">
        <v>20.0</v>
      </c>
      <c r="AA2" s="9">
        <v>21.0</v>
      </c>
      <c r="AB2" s="9">
        <v>22.0</v>
      </c>
      <c r="AC2" s="9">
        <v>23.0</v>
      </c>
      <c r="AD2" s="9">
        <v>24.0</v>
      </c>
      <c r="AE2" s="9">
        <v>25.0</v>
      </c>
      <c r="AF2" s="9">
        <v>26.0</v>
      </c>
      <c r="AG2" s="9">
        <v>27.0</v>
      </c>
      <c r="AH2" s="9">
        <v>28.0</v>
      </c>
      <c r="AI2" s="9">
        <v>29.0</v>
      </c>
      <c r="AJ2" s="9">
        <v>30.0</v>
      </c>
      <c r="AK2" s="9">
        <v>31.0</v>
      </c>
      <c r="AL2" s="24"/>
      <c r="AM2" s="47" t="s">
        <v>29</v>
      </c>
      <c r="AN2" s="47" t="s">
        <v>27</v>
      </c>
      <c r="AO2" s="49"/>
      <c r="AP2" s="51"/>
      <c r="AQ2" s="51"/>
    </row>
    <row r="3">
      <c r="A3" s="55" t="s">
        <v>4</v>
      </c>
      <c r="B3" s="57" t="s">
        <v>5</v>
      </c>
      <c r="C3" s="55" t="s">
        <v>6</v>
      </c>
      <c r="D3" s="55" t="s">
        <v>8</v>
      </c>
      <c r="E3" s="55" t="s">
        <v>30</v>
      </c>
      <c r="F3" s="57" t="s">
        <v>7</v>
      </c>
      <c r="G3" s="9" t="s">
        <v>9</v>
      </c>
      <c r="H3" s="9" t="s">
        <v>10</v>
      </c>
      <c r="I3" s="9" t="s">
        <v>11</v>
      </c>
      <c r="J3" s="9" t="s">
        <v>12</v>
      </c>
      <c r="K3" s="9" t="s">
        <v>12</v>
      </c>
      <c r="L3" s="9" t="s">
        <v>13</v>
      </c>
      <c r="M3" s="9" t="s">
        <v>15</v>
      </c>
      <c r="N3" s="9" t="s">
        <v>9</v>
      </c>
      <c r="O3" s="9" t="s">
        <v>10</v>
      </c>
      <c r="P3" s="9" t="s">
        <v>11</v>
      </c>
      <c r="Q3" s="9" t="s">
        <v>12</v>
      </c>
      <c r="R3" s="9" t="s">
        <v>12</v>
      </c>
      <c r="S3" s="9" t="s">
        <v>13</v>
      </c>
      <c r="T3" s="9" t="s">
        <v>15</v>
      </c>
      <c r="U3" s="9" t="s">
        <v>9</v>
      </c>
      <c r="V3" s="9" t="s">
        <v>10</v>
      </c>
      <c r="W3" s="9" t="s">
        <v>11</v>
      </c>
      <c r="X3" s="9" t="s">
        <v>12</v>
      </c>
      <c r="Y3" s="9" t="s">
        <v>12</v>
      </c>
      <c r="Z3" s="9" t="s">
        <v>13</v>
      </c>
      <c r="AA3" s="9" t="s">
        <v>15</v>
      </c>
      <c r="AB3" s="9" t="s">
        <v>9</v>
      </c>
      <c r="AC3" s="9" t="s">
        <v>10</v>
      </c>
      <c r="AD3" s="9" t="s">
        <v>11</v>
      </c>
      <c r="AE3" s="9" t="s">
        <v>12</v>
      </c>
      <c r="AF3" s="9" t="s">
        <v>12</v>
      </c>
      <c r="AG3" s="9" t="s">
        <v>13</v>
      </c>
      <c r="AH3" s="13" t="s">
        <v>15</v>
      </c>
      <c r="AI3" s="9" t="s">
        <v>9</v>
      </c>
      <c r="AJ3" s="9" t="s">
        <v>10</v>
      </c>
      <c r="AK3" s="9" t="s">
        <v>11</v>
      </c>
      <c r="AL3" s="24"/>
      <c r="AM3" s="61" t="s">
        <v>31</v>
      </c>
      <c r="AN3" s="62" t="s">
        <v>32</v>
      </c>
      <c r="AO3" s="49"/>
      <c r="AP3" s="51"/>
      <c r="AQ3" s="51"/>
    </row>
    <row r="4">
      <c r="A4" s="65" t="s">
        <v>35</v>
      </c>
      <c r="B4" s="6"/>
      <c r="C4" s="6"/>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11"/>
      <c r="AK4" s="71"/>
      <c r="AL4" s="24"/>
      <c r="AM4" s="73" t="s">
        <v>42</v>
      </c>
      <c r="AN4" s="62" t="s">
        <v>19</v>
      </c>
      <c r="AO4" s="49"/>
      <c r="AP4" s="51"/>
      <c r="AQ4" s="51"/>
    </row>
    <row r="5">
      <c r="A5" s="76" t="s">
        <v>43</v>
      </c>
      <c r="B5" s="78" t="s">
        <v>46</v>
      </c>
      <c r="C5" s="76">
        <v>4532.0</v>
      </c>
      <c r="D5" s="76" t="s">
        <v>47</v>
      </c>
      <c r="E5" s="76" t="s">
        <v>35</v>
      </c>
      <c r="F5" s="81" t="s">
        <v>49</v>
      </c>
      <c r="G5" s="83"/>
      <c r="H5" s="84" t="s">
        <v>27</v>
      </c>
      <c r="I5" s="83"/>
      <c r="J5" s="84" t="s">
        <v>27</v>
      </c>
      <c r="K5" s="83"/>
      <c r="L5" s="84" t="s">
        <v>27</v>
      </c>
      <c r="M5" s="83"/>
      <c r="N5" s="83"/>
      <c r="O5" s="83"/>
      <c r="P5" s="84" t="s">
        <v>27</v>
      </c>
      <c r="Q5" s="83"/>
      <c r="R5" s="84" t="s">
        <v>27</v>
      </c>
      <c r="S5" s="83"/>
      <c r="T5" s="84" t="s">
        <v>27</v>
      </c>
      <c r="U5" s="83"/>
      <c r="V5" s="84" t="s">
        <v>27</v>
      </c>
      <c r="W5" s="83"/>
      <c r="X5" s="84" t="s">
        <v>27</v>
      </c>
      <c r="Y5" s="83"/>
      <c r="Z5" s="84" t="s">
        <v>27</v>
      </c>
      <c r="AA5" s="83"/>
      <c r="AB5" s="83"/>
      <c r="AC5" s="83"/>
      <c r="AD5" s="86" t="s">
        <v>32</v>
      </c>
      <c r="AE5" s="83"/>
      <c r="AF5" s="84" t="s">
        <v>27</v>
      </c>
      <c r="AG5" s="86"/>
      <c r="AH5" s="84" t="s">
        <v>27</v>
      </c>
      <c r="AI5" s="83"/>
      <c r="AJ5" s="84" t="s">
        <v>27</v>
      </c>
      <c r="AK5" s="83"/>
      <c r="AL5" s="24"/>
      <c r="AM5" s="87" t="s">
        <v>51</v>
      </c>
      <c r="AN5" s="47" t="s">
        <v>22</v>
      </c>
      <c r="AO5" s="49"/>
      <c r="AP5" s="51"/>
      <c r="AQ5" s="51"/>
    </row>
    <row r="6">
      <c r="A6" s="65" t="s">
        <v>52</v>
      </c>
      <c r="B6" s="6"/>
      <c r="C6" s="6"/>
      <c r="D6" s="6"/>
      <c r="E6" s="6"/>
      <c r="F6" s="6"/>
      <c r="G6" s="6"/>
      <c r="H6" s="6"/>
      <c r="I6" s="6"/>
      <c r="J6" s="6"/>
      <c r="K6" s="6"/>
      <c r="L6" s="6"/>
      <c r="M6" s="6"/>
      <c r="N6" s="6"/>
      <c r="O6" s="6"/>
      <c r="P6" s="6"/>
      <c r="Q6" s="6"/>
      <c r="R6" s="6"/>
      <c r="S6" s="6"/>
      <c r="T6" s="6"/>
      <c r="U6" s="6"/>
      <c r="V6" s="6"/>
      <c r="W6" s="6"/>
      <c r="X6" s="6"/>
      <c r="Y6" s="6"/>
      <c r="Z6" s="6"/>
      <c r="AA6" s="6"/>
      <c r="AB6" s="6"/>
      <c r="AC6" s="6"/>
      <c r="AD6" s="6"/>
      <c r="AE6" s="6"/>
      <c r="AF6" s="6"/>
      <c r="AG6" s="6"/>
      <c r="AH6" s="11"/>
      <c r="AI6" s="90"/>
      <c r="AJ6" s="90"/>
      <c r="AK6" s="90"/>
      <c r="AL6" s="24"/>
      <c r="AM6" s="92" t="s">
        <v>57</v>
      </c>
      <c r="AN6" s="47" t="s">
        <v>58</v>
      </c>
      <c r="AO6" s="49"/>
      <c r="AP6" s="51"/>
      <c r="AQ6" s="51"/>
    </row>
    <row r="7" ht="17.25" customHeight="1">
      <c r="A7" s="93" t="s">
        <v>59</v>
      </c>
      <c r="B7" s="94" t="s">
        <v>60</v>
      </c>
      <c r="C7" s="93">
        <v>3375.0</v>
      </c>
      <c r="D7" s="93" t="s">
        <v>61</v>
      </c>
      <c r="E7" s="93" t="s">
        <v>62</v>
      </c>
      <c r="F7" s="95" t="s">
        <v>63</v>
      </c>
      <c r="G7" s="83"/>
      <c r="H7" s="84" t="s">
        <v>27</v>
      </c>
      <c r="I7" s="83"/>
      <c r="J7" s="84" t="s">
        <v>27</v>
      </c>
      <c r="K7" s="83"/>
      <c r="L7" s="84" t="s">
        <v>27</v>
      </c>
      <c r="M7" s="83"/>
      <c r="N7" s="83"/>
      <c r="O7" s="83"/>
      <c r="P7" s="84" t="s">
        <v>27</v>
      </c>
      <c r="Q7" s="83"/>
      <c r="R7" s="84" t="s">
        <v>27</v>
      </c>
      <c r="S7" s="83"/>
      <c r="T7" s="84" t="s">
        <v>27</v>
      </c>
      <c r="U7" s="83"/>
      <c r="V7" s="84" t="s">
        <v>27</v>
      </c>
      <c r="W7" s="83"/>
      <c r="X7" s="96" t="s">
        <v>22</v>
      </c>
      <c r="Y7" s="96" t="s">
        <v>22</v>
      </c>
      <c r="Z7" s="96" t="s">
        <v>22</v>
      </c>
      <c r="AA7" s="96" t="s">
        <v>22</v>
      </c>
      <c r="AB7" s="96" t="s">
        <v>22</v>
      </c>
      <c r="AC7" s="96" t="s">
        <v>22</v>
      </c>
      <c r="AD7" s="96" t="s">
        <v>22</v>
      </c>
      <c r="AE7" s="96" t="s">
        <v>22</v>
      </c>
      <c r="AF7" s="96" t="s">
        <v>22</v>
      </c>
      <c r="AG7" s="96" t="s">
        <v>22</v>
      </c>
      <c r="AH7" s="96" t="s">
        <v>22</v>
      </c>
      <c r="AI7" s="96" t="s">
        <v>22</v>
      </c>
      <c r="AJ7" s="96" t="s">
        <v>22</v>
      </c>
      <c r="AK7" s="96" t="s">
        <v>22</v>
      </c>
      <c r="AL7" s="99">
        <v>46267.0</v>
      </c>
      <c r="AM7" s="104" t="s">
        <v>70</v>
      </c>
      <c r="AN7" s="47" t="s">
        <v>76</v>
      </c>
      <c r="AO7" s="49"/>
      <c r="AP7" s="51"/>
      <c r="AQ7" s="51"/>
    </row>
    <row r="8" ht="14.25" customHeight="1">
      <c r="A8" s="66" t="s">
        <v>59</v>
      </c>
      <c r="B8" s="78" t="s">
        <v>77</v>
      </c>
      <c r="C8" s="66">
        <v>6850.0</v>
      </c>
      <c r="D8" s="108">
        <v>1.127544762E9</v>
      </c>
      <c r="E8" s="111" t="s">
        <v>80</v>
      </c>
      <c r="F8" s="117" t="s">
        <v>84</v>
      </c>
      <c r="G8" s="83"/>
      <c r="H8" s="84" t="s">
        <v>27</v>
      </c>
      <c r="I8" s="83"/>
      <c r="J8" s="84"/>
      <c r="K8" s="83"/>
      <c r="L8" s="84" t="s">
        <v>27</v>
      </c>
      <c r="M8" s="66"/>
      <c r="N8" s="120" t="s">
        <v>20</v>
      </c>
      <c r="O8" s="83"/>
      <c r="P8" s="96" t="s">
        <v>22</v>
      </c>
      <c r="Q8" s="96" t="s">
        <v>22</v>
      </c>
      <c r="R8" s="96" t="s">
        <v>22</v>
      </c>
      <c r="S8" s="96" t="s">
        <v>22</v>
      </c>
      <c r="T8" s="96" t="s">
        <v>22</v>
      </c>
      <c r="U8" s="96" t="s">
        <v>22</v>
      </c>
      <c r="V8" s="96" t="s">
        <v>22</v>
      </c>
      <c r="W8" s="96" t="s">
        <v>22</v>
      </c>
      <c r="X8" s="96" t="s">
        <v>22</v>
      </c>
      <c r="Y8" s="96" t="s">
        <v>22</v>
      </c>
      <c r="Z8" s="96" t="s">
        <v>22</v>
      </c>
      <c r="AA8" s="121" t="s">
        <v>92</v>
      </c>
      <c r="AB8" s="6"/>
      <c r="AC8" s="6"/>
      <c r="AD8" s="6"/>
      <c r="AE8" s="6"/>
      <c r="AF8" s="6"/>
      <c r="AG8" s="6"/>
      <c r="AH8" s="6"/>
      <c r="AI8" s="6"/>
      <c r="AJ8" s="6"/>
      <c r="AK8" s="11"/>
      <c r="AL8" s="24"/>
      <c r="AM8" s="122" t="s">
        <v>97</v>
      </c>
      <c r="AN8" s="123" t="s">
        <v>78</v>
      </c>
      <c r="AO8" s="49"/>
      <c r="AP8" s="51"/>
      <c r="AQ8" s="51"/>
    </row>
    <row r="9">
      <c r="A9" s="111" t="s">
        <v>59</v>
      </c>
      <c r="B9" s="125" t="s">
        <v>102</v>
      </c>
      <c r="C9" s="127">
        <v>46641.0</v>
      </c>
      <c r="D9" s="127" t="s">
        <v>103</v>
      </c>
      <c r="E9" s="127" t="s">
        <v>80</v>
      </c>
      <c r="F9" s="129" t="s">
        <v>104</v>
      </c>
      <c r="G9" s="79"/>
      <c r="H9" s="131" t="s">
        <v>27</v>
      </c>
      <c r="I9" s="79"/>
      <c r="J9" s="131" t="s">
        <v>27</v>
      </c>
      <c r="K9" s="79"/>
      <c r="L9" s="131" t="s">
        <v>27</v>
      </c>
      <c r="M9" s="79"/>
      <c r="N9" s="79"/>
      <c r="O9" s="79"/>
      <c r="P9" s="131" t="s">
        <v>27</v>
      </c>
      <c r="Q9" s="79"/>
      <c r="R9" s="131" t="s">
        <v>27</v>
      </c>
      <c r="S9" s="79"/>
      <c r="T9" s="134" t="s">
        <v>19</v>
      </c>
      <c r="U9" s="134" t="s">
        <v>19</v>
      </c>
      <c r="V9" s="134" t="s">
        <v>19</v>
      </c>
      <c r="W9" s="83"/>
      <c r="X9" s="135" t="s">
        <v>79</v>
      </c>
      <c r="Y9" s="84" t="s">
        <v>27</v>
      </c>
      <c r="Z9" s="84" t="s">
        <v>27</v>
      </c>
      <c r="AA9" s="83"/>
      <c r="AB9" s="83"/>
      <c r="AC9" s="83"/>
      <c r="AD9" s="84"/>
      <c r="AE9" s="83"/>
      <c r="AF9" s="136"/>
      <c r="AG9" s="83"/>
      <c r="AH9" s="135" t="s">
        <v>79</v>
      </c>
      <c r="AI9" s="84" t="s">
        <v>27</v>
      </c>
      <c r="AJ9" s="84" t="s">
        <v>27</v>
      </c>
      <c r="AK9" s="83"/>
      <c r="AL9" s="140"/>
      <c r="AM9" s="140"/>
      <c r="AN9" s="140"/>
      <c r="AO9" s="140"/>
      <c r="AP9" s="140"/>
      <c r="AQ9" s="140"/>
      <c r="AR9" s="36"/>
      <c r="AS9" s="36"/>
      <c r="AT9" s="36"/>
      <c r="AU9" s="36"/>
    </row>
    <row r="10">
      <c r="A10" s="143" t="s">
        <v>124</v>
      </c>
      <c r="B10" s="94" t="s">
        <v>125</v>
      </c>
      <c r="C10" s="144">
        <v>77827.0</v>
      </c>
      <c r="D10" s="143" t="s">
        <v>126</v>
      </c>
      <c r="E10" s="143" t="s">
        <v>80</v>
      </c>
      <c r="F10" s="146" t="s">
        <v>127</v>
      </c>
      <c r="G10" s="96" t="s">
        <v>22</v>
      </c>
      <c r="H10" s="96" t="s">
        <v>22</v>
      </c>
      <c r="I10" s="96" t="s">
        <v>22</v>
      </c>
      <c r="J10" s="96" t="s">
        <v>22</v>
      </c>
      <c r="K10" s="96" t="s">
        <v>22</v>
      </c>
      <c r="L10" s="96" t="s">
        <v>22</v>
      </c>
      <c r="M10" s="96" t="s">
        <v>22</v>
      </c>
      <c r="N10" s="96" t="s">
        <v>22</v>
      </c>
      <c r="O10" s="83"/>
      <c r="P10" s="86" t="s">
        <v>32</v>
      </c>
      <c r="Q10" s="83"/>
      <c r="R10" s="84" t="s">
        <v>27</v>
      </c>
      <c r="S10" s="83"/>
      <c r="T10" s="84" t="s">
        <v>27</v>
      </c>
      <c r="U10" s="83"/>
      <c r="V10" s="84" t="s">
        <v>27</v>
      </c>
      <c r="W10" s="83"/>
      <c r="X10" s="84" t="s">
        <v>27</v>
      </c>
      <c r="Y10" s="83"/>
      <c r="Z10" s="84" t="s">
        <v>27</v>
      </c>
      <c r="AA10" s="83"/>
      <c r="AB10" s="83"/>
      <c r="AC10" s="86" t="s">
        <v>133</v>
      </c>
      <c r="AD10" s="84" t="s">
        <v>27</v>
      </c>
      <c r="AE10" s="83"/>
      <c r="AF10" s="84" t="s">
        <v>27</v>
      </c>
      <c r="AG10" s="83"/>
      <c r="AH10" s="84" t="s">
        <v>27</v>
      </c>
      <c r="AI10" s="83"/>
      <c r="AJ10" s="84" t="s">
        <v>27</v>
      </c>
      <c r="AK10" s="83"/>
      <c r="AL10" s="24"/>
      <c r="AM10" s="150" t="s">
        <v>135</v>
      </c>
      <c r="AN10" s="62" t="s">
        <v>137</v>
      </c>
      <c r="AO10" s="49"/>
      <c r="AP10" s="51"/>
      <c r="AQ10" s="51"/>
    </row>
    <row r="11">
      <c r="A11" s="155" t="s">
        <v>124</v>
      </c>
      <c r="B11" s="156" t="s">
        <v>141</v>
      </c>
      <c r="C11" s="158">
        <v>7025.0</v>
      </c>
      <c r="D11" s="161" t="s">
        <v>144</v>
      </c>
      <c r="E11" s="161" t="s">
        <v>148</v>
      </c>
      <c r="F11" s="156" t="s">
        <v>149</v>
      </c>
      <c r="G11" s="162"/>
      <c r="H11" s="162"/>
      <c r="I11" s="162"/>
      <c r="J11" s="162"/>
      <c r="K11" s="162"/>
      <c r="L11" s="162"/>
      <c r="M11" s="162"/>
      <c r="N11" s="162"/>
      <c r="O11" s="79"/>
      <c r="P11" s="131"/>
      <c r="Q11" s="79"/>
      <c r="R11" s="131"/>
      <c r="S11" s="79"/>
      <c r="T11" s="131"/>
      <c r="U11" s="79"/>
      <c r="V11" s="131"/>
      <c r="W11" s="79"/>
      <c r="X11" s="131"/>
      <c r="Y11" s="79"/>
      <c r="Z11" s="131"/>
      <c r="AA11" s="79"/>
      <c r="AB11" s="79"/>
      <c r="AC11" s="131"/>
      <c r="AD11" s="131"/>
      <c r="AE11" s="79"/>
      <c r="AF11" s="131"/>
      <c r="AG11" s="79"/>
      <c r="AH11" s="131"/>
      <c r="AI11" s="79"/>
      <c r="AJ11" s="84" t="s">
        <v>27</v>
      </c>
      <c r="AK11" s="83"/>
      <c r="AL11" s="24"/>
      <c r="AM11" s="150"/>
      <c r="AN11" s="62"/>
      <c r="AO11" s="49"/>
      <c r="AP11" s="51"/>
      <c r="AQ11" s="51"/>
    </row>
    <row r="12">
      <c r="A12" s="143" t="s">
        <v>153</v>
      </c>
      <c r="B12" s="78" t="s">
        <v>154</v>
      </c>
      <c r="C12" s="76">
        <v>59764.0</v>
      </c>
      <c r="D12" s="76" t="s">
        <v>155</v>
      </c>
      <c r="E12" s="76" t="s">
        <v>156</v>
      </c>
      <c r="F12" s="81" t="s">
        <v>157</v>
      </c>
      <c r="G12" s="83"/>
      <c r="H12" s="84" t="s">
        <v>27</v>
      </c>
      <c r="I12" s="83"/>
      <c r="J12" s="84" t="s">
        <v>27</v>
      </c>
      <c r="K12" s="83"/>
      <c r="L12" s="84" t="s">
        <v>27</v>
      </c>
      <c r="M12" s="83"/>
      <c r="N12" s="83"/>
      <c r="O12" s="83"/>
      <c r="P12" s="84" t="s">
        <v>27</v>
      </c>
      <c r="Q12" s="83"/>
      <c r="R12" s="84" t="s">
        <v>27</v>
      </c>
      <c r="S12" s="83"/>
      <c r="T12" s="136"/>
      <c r="U12" s="83"/>
      <c r="V12" s="84" t="s">
        <v>27</v>
      </c>
      <c r="W12" s="83"/>
      <c r="X12" s="84" t="s">
        <v>27</v>
      </c>
      <c r="Y12" s="83"/>
      <c r="Z12" s="86" t="s">
        <v>32</v>
      </c>
      <c r="AA12" s="83"/>
      <c r="AB12" s="83"/>
      <c r="AC12" s="83"/>
      <c r="AD12" s="84" t="s">
        <v>27</v>
      </c>
      <c r="AE12" s="83"/>
      <c r="AF12" s="135" t="s">
        <v>79</v>
      </c>
      <c r="AG12" s="84" t="s">
        <v>27</v>
      </c>
      <c r="AH12" s="84" t="s">
        <v>27</v>
      </c>
      <c r="AI12" s="83"/>
      <c r="AJ12" s="84" t="s">
        <v>27</v>
      </c>
      <c r="AK12" s="83"/>
      <c r="AL12" s="24"/>
      <c r="AM12" s="168" t="s">
        <v>160</v>
      </c>
      <c r="AN12" s="47" t="s">
        <v>161</v>
      </c>
      <c r="AO12" s="49"/>
      <c r="AP12" s="51"/>
      <c r="AQ12" s="51"/>
    </row>
    <row r="13" ht="15.0" customHeight="1">
      <c r="A13" s="143" t="s">
        <v>162</v>
      </c>
      <c r="B13" s="94" t="s">
        <v>163</v>
      </c>
      <c r="C13" s="143">
        <v>59059.0</v>
      </c>
      <c r="D13" s="143" t="s">
        <v>164</v>
      </c>
      <c r="E13" s="143" t="s">
        <v>80</v>
      </c>
      <c r="F13" s="170" t="s">
        <v>166</v>
      </c>
      <c r="G13" s="83"/>
      <c r="H13" s="86" t="s">
        <v>32</v>
      </c>
      <c r="I13" s="83"/>
      <c r="J13" s="84" t="s">
        <v>27</v>
      </c>
      <c r="K13" s="83"/>
      <c r="L13" s="84" t="s">
        <v>27</v>
      </c>
      <c r="M13" s="83"/>
      <c r="N13" s="83"/>
      <c r="O13" s="83"/>
      <c r="P13" s="136"/>
      <c r="Q13" s="172" t="s">
        <v>27</v>
      </c>
      <c r="R13" s="84" t="s">
        <v>27</v>
      </c>
      <c r="S13" s="66"/>
      <c r="T13" s="84" t="s">
        <v>27</v>
      </c>
      <c r="U13" s="66"/>
      <c r="V13" s="136"/>
      <c r="W13" s="83"/>
      <c r="X13" s="84"/>
      <c r="Y13" s="83"/>
      <c r="Z13" s="84" t="s">
        <v>27</v>
      </c>
      <c r="AA13" s="79"/>
      <c r="AB13" s="79"/>
      <c r="AC13" s="79"/>
      <c r="AD13" s="131">
        <v>5.0</v>
      </c>
      <c r="AE13" s="79"/>
      <c r="AF13" s="79"/>
      <c r="AG13" s="79"/>
      <c r="AH13" s="84" t="s">
        <v>27</v>
      </c>
      <c r="AI13" s="83"/>
      <c r="AJ13" s="86" t="s">
        <v>32</v>
      </c>
      <c r="AK13" s="83"/>
      <c r="AL13" s="24"/>
      <c r="AM13" s="173" t="s">
        <v>167</v>
      </c>
      <c r="AN13" s="174" t="s">
        <v>20</v>
      </c>
      <c r="AO13" s="49"/>
      <c r="AP13" s="51"/>
      <c r="AQ13" s="51"/>
    </row>
    <row r="14">
      <c r="A14" s="143" t="s">
        <v>162</v>
      </c>
      <c r="B14" s="94" t="s">
        <v>172</v>
      </c>
      <c r="C14" s="143">
        <v>38107.0</v>
      </c>
      <c r="D14" s="143" t="s">
        <v>173</v>
      </c>
      <c r="E14" s="143" t="s">
        <v>174</v>
      </c>
      <c r="F14" s="176" t="s">
        <v>175</v>
      </c>
      <c r="G14" s="83"/>
      <c r="H14" s="135" t="s">
        <v>79</v>
      </c>
      <c r="I14" s="83"/>
      <c r="J14" s="84" t="s">
        <v>18</v>
      </c>
      <c r="K14" s="83"/>
      <c r="L14" s="134" t="s">
        <v>19</v>
      </c>
      <c r="M14" s="83"/>
      <c r="N14" s="83"/>
      <c r="O14" s="84" t="s">
        <v>18</v>
      </c>
      <c r="P14" s="84" t="s">
        <v>18</v>
      </c>
      <c r="Q14" s="83"/>
      <c r="R14" s="84" t="s">
        <v>18</v>
      </c>
      <c r="S14" s="83"/>
      <c r="T14" s="84" t="s">
        <v>18</v>
      </c>
      <c r="U14" s="83"/>
      <c r="V14" s="84" t="s">
        <v>18</v>
      </c>
      <c r="W14" s="83"/>
      <c r="X14" s="84" t="s">
        <v>18</v>
      </c>
      <c r="Y14" s="83"/>
      <c r="Z14" s="84" t="s">
        <v>18</v>
      </c>
      <c r="AA14" s="83"/>
      <c r="AB14" s="83"/>
      <c r="AC14" s="83"/>
      <c r="AD14" s="84" t="s">
        <v>27</v>
      </c>
      <c r="AE14" s="83"/>
      <c r="AF14" s="84" t="s">
        <v>18</v>
      </c>
      <c r="AG14" s="83"/>
      <c r="AH14" s="84" t="s">
        <v>18</v>
      </c>
      <c r="AI14" s="83"/>
      <c r="AJ14" s="84" t="s">
        <v>27</v>
      </c>
      <c r="AK14" s="83"/>
      <c r="AL14" s="24"/>
    </row>
    <row r="15">
      <c r="A15" s="62" t="s">
        <v>162</v>
      </c>
      <c r="B15" s="180" t="s">
        <v>176</v>
      </c>
      <c r="C15" s="182">
        <v>29049.0</v>
      </c>
      <c r="D15" s="62" t="s">
        <v>177</v>
      </c>
      <c r="E15" s="182" t="s">
        <v>148</v>
      </c>
      <c r="F15" s="184" t="s">
        <v>178</v>
      </c>
      <c r="G15" s="83"/>
      <c r="H15" s="84" t="s">
        <v>27</v>
      </c>
      <c r="I15" s="83"/>
      <c r="J15" s="84" t="s">
        <v>27</v>
      </c>
      <c r="K15" s="186" t="s">
        <v>76</v>
      </c>
      <c r="L15" s="186" t="s">
        <v>76</v>
      </c>
      <c r="M15" s="186" t="s">
        <v>76</v>
      </c>
      <c r="N15" s="186" t="s">
        <v>76</v>
      </c>
      <c r="O15" s="186" t="s">
        <v>76</v>
      </c>
      <c r="P15" s="84" t="s">
        <v>27</v>
      </c>
      <c r="Q15" s="83"/>
      <c r="R15" s="84" t="s">
        <v>27</v>
      </c>
      <c r="S15" s="83"/>
      <c r="T15" s="84" t="s">
        <v>27</v>
      </c>
      <c r="U15" s="83"/>
      <c r="V15" s="84" t="s">
        <v>27</v>
      </c>
      <c r="W15" s="83"/>
      <c r="X15" s="84" t="s">
        <v>27</v>
      </c>
      <c r="Y15" s="84" t="s">
        <v>27</v>
      </c>
      <c r="Z15" s="86" t="s">
        <v>32</v>
      </c>
      <c r="AA15" s="121" t="s">
        <v>184</v>
      </c>
      <c r="AB15" s="6"/>
      <c r="AC15" s="6"/>
      <c r="AD15" s="6"/>
      <c r="AE15" s="6"/>
      <c r="AF15" s="6"/>
      <c r="AG15" s="6"/>
      <c r="AH15" s="6"/>
      <c r="AI15" s="6"/>
      <c r="AJ15" s="6"/>
      <c r="AK15" s="11"/>
      <c r="AL15" s="24"/>
    </row>
    <row r="16">
      <c r="A16" s="190" t="s">
        <v>162</v>
      </c>
      <c r="B16" s="191" t="s">
        <v>186</v>
      </c>
      <c r="C16" s="182">
        <v>89190.0</v>
      </c>
      <c r="D16" s="195" t="s">
        <v>190</v>
      </c>
      <c r="E16" s="190" t="s">
        <v>202</v>
      </c>
      <c r="F16" s="198" t="s">
        <v>204</v>
      </c>
      <c r="G16" s="199" t="s">
        <v>27</v>
      </c>
      <c r="H16" s="6"/>
      <c r="I16" s="6"/>
      <c r="J16" s="6"/>
      <c r="K16" s="6"/>
      <c r="L16" s="6"/>
      <c r="M16" s="6"/>
      <c r="N16" s="6"/>
      <c r="O16" s="6"/>
      <c r="P16" s="6"/>
      <c r="Q16" s="6"/>
      <c r="R16" s="6"/>
      <c r="S16" s="6"/>
      <c r="T16" s="6"/>
      <c r="U16" s="6"/>
      <c r="V16" s="6"/>
      <c r="W16" s="6"/>
      <c r="X16" s="6"/>
      <c r="Y16" s="6"/>
      <c r="Z16" s="6"/>
      <c r="AA16" s="6"/>
      <c r="AB16" s="6"/>
      <c r="AC16" s="6"/>
      <c r="AD16" s="11"/>
      <c r="AE16" s="83"/>
      <c r="AF16" s="84"/>
      <c r="AG16" s="172" t="s">
        <v>120</v>
      </c>
      <c r="AH16" s="84" t="s">
        <v>27</v>
      </c>
      <c r="AI16" s="83"/>
      <c r="AJ16" s="84" t="s">
        <v>27</v>
      </c>
      <c r="AK16" s="83"/>
      <c r="AL16" s="24"/>
    </row>
    <row r="17">
      <c r="A17" s="143" t="s">
        <v>162</v>
      </c>
      <c r="B17" s="94" t="s">
        <v>208</v>
      </c>
      <c r="C17" s="143">
        <v>89321.0</v>
      </c>
      <c r="D17" s="111" t="s">
        <v>209</v>
      </c>
      <c r="E17" s="111" t="s">
        <v>210</v>
      </c>
      <c r="F17" s="202" t="s">
        <v>214</v>
      </c>
      <c r="G17" s="83"/>
      <c r="H17" s="84" t="s">
        <v>27</v>
      </c>
      <c r="I17" s="83"/>
      <c r="J17" s="84" t="s">
        <v>27</v>
      </c>
      <c r="K17" s="83"/>
      <c r="L17" s="84" t="s">
        <v>27</v>
      </c>
      <c r="M17" s="83"/>
      <c r="N17" s="83"/>
      <c r="O17" s="83"/>
      <c r="P17" s="84" t="s">
        <v>18</v>
      </c>
      <c r="Q17" s="83"/>
      <c r="R17" s="84" t="s">
        <v>27</v>
      </c>
      <c r="S17" s="83"/>
      <c r="T17" s="84" t="s">
        <v>27</v>
      </c>
      <c r="U17" s="83"/>
      <c r="V17" s="84" t="s">
        <v>27</v>
      </c>
      <c r="W17" s="83"/>
      <c r="X17" s="136"/>
      <c r="Y17" s="172" t="s">
        <v>27</v>
      </c>
      <c r="Z17" s="84" t="s">
        <v>18</v>
      </c>
      <c r="AA17" s="83"/>
      <c r="AB17" s="172" t="s">
        <v>27</v>
      </c>
      <c r="AC17" s="83"/>
      <c r="AD17" s="84"/>
      <c r="AE17" s="204"/>
      <c r="AF17" s="6"/>
      <c r="AG17" s="6"/>
      <c r="AH17" s="6"/>
      <c r="AI17" s="6"/>
      <c r="AJ17" s="6"/>
      <c r="AK17" s="11"/>
      <c r="AL17" s="24"/>
    </row>
    <row r="18">
      <c r="A18" s="65" t="s">
        <v>220</v>
      </c>
      <c r="B18" s="6"/>
      <c r="C18" s="6"/>
      <c r="D18" s="6"/>
      <c r="E18" s="6"/>
      <c r="F18" s="6"/>
      <c r="G18" s="6"/>
      <c r="H18" s="6"/>
      <c r="I18" s="6"/>
      <c r="J18" s="6"/>
      <c r="K18" s="6"/>
      <c r="L18" s="6"/>
      <c r="M18" s="6"/>
      <c r="N18" s="6"/>
      <c r="O18" s="6"/>
      <c r="P18" s="6"/>
      <c r="Q18" s="6"/>
      <c r="R18" s="6"/>
      <c r="S18" s="6"/>
      <c r="T18" s="6"/>
      <c r="U18" s="6"/>
      <c r="V18" s="6"/>
      <c r="W18" s="6"/>
      <c r="X18" s="6"/>
      <c r="Y18" s="6"/>
      <c r="Z18" s="6"/>
      <c r="AA18" s="6"/>
      <c r="AB18" s="6"/>
      <c r="AC18" s="6"/>
      <c r="AD18" s="6"/>
      <c r="AE18" s="6"/>
      <c r="AF18" s="6"/>
      <c r="AG18" s="6"/>
      <c r="AH18" s="11"/>
      <c r="AI18" s="90"/>
      <c r="AJ18" s="90"/>
      <c r="AK18" s="90"/>
      <c r="AL18" s="24"/>
      <c r="AN18" s="31" t="s">
        <v>16</v>
      </c>
      <c r="AO18" s="31" t="s">
        <v>18</v>
      </c>
      <c r="AP18" s="31" t="s">
        <v>19</v>
      </c>
      <c r="AQ18" s="31" t="s">
        <v>20</v>
      </c>
      <c r="AR18" s="31" t="s">
        <v>21</v>
      </c>
      <c r="AS18" s="33" t="s">
        <v>22</v>
      </c>
      <c r="AT18" s="36"/>
      <c r="AU18" s="36"/>
    </row>
    <row r="19">
      <c r="A19" s="76" t="s">
        <v>230</v>
      </c>
      <c r="B19" s="78" t="s">
        <v>231</v>
      </c>
      <c r="C19" s="76">
        <v>32874.0</v>
      </c>
      <c r="D19" s="76" t="s">
        <v>232</v>
      </c>
      <c r="E19" s="76" t="s">
        <v>233</v>
      </c>
      <c r="F19" s="81" t="s">
        <v>234</v>
      </c>
      <c r="G19" s="83"/>
      <c r="H19" s="84" t="s">
        <v>18</v>
      </c>
      <c r="I19" s="83"/>
      <c r="J19" s="84" t="s">
        <v>18</v>
      </c>
      <c r="K19" s="83"/>
      <c r="L19" s="84" t="s">
        <v>27</v>
      </c>
      <c r="M19" s="83"/>
      <c r="N19" s="83"/>
      <c r="O19" s="83"/>
      <c r="P19" s="84" t="s">
        <v>27</v>
      </c>
      <c r="Q19" s="83"/>
      <c r="R19" s="84" t="s">
        <v>27</v>
      </c>
      <c r="S19" s="83"/>
      <c r="T19" s="96" t="s">
        <v>22</v>
      </c>
      <c r="U19" s="96" t="s">
        <v>22</v>
      </c>
      <c r="V19" s="96" t="s">
        <v>22</v>
      </c>
      <c r="W19" s="96" t="s">
        <v>22</v>
      </c>
      <c r="X19" s="96" t="s">
        <v>22</v>
      </c>
      <c r="Y19" s="96" t="s">
        <v>22</v>
      </c>
      <c r="Z19" s="96" t="s">
        <v>22</v>
      </c>
      <c r="AA19" s="96" t="s">
        <v>22</v>
      </c>
      <c r="AB19" s="96" t="s">
        <v>22</v>
      </c>
      <c r="AC19" s="96" t="s">
        <v>22</v>
      </c>
      <c r="AD19" s="96" t="s">
        <v>22</v>
      </c>
      <c r="AE19" s="96" t="s">
        <v>22</v>
      </c>
      <c r="AF19" s="96" t="s">
        <v>22</v>
      </c>
      <c r="AG19" s="96" t="s">
        <v>22</v>
      </c>
      <c r="AH19" s="86" t="s">
        <v>32</v>
      </c>
      <c r="AI19" s="83"/>
      <c r="AJ19" s="86" t="s">
        <v>32</v>
      </c>
      <c r="AK19" s="83"/>
      <c r="AL19" s="24"/>
      <c r="AN19" s="211" t="str">
        <f t="shared" ref="AN19:AN39" si="1">IFS(AO19&gt;3,"NO CORRESPONDE FRANCO",AT19&gt;0,"NO CORRESPONDE FRANCO",AT19=0,"")</f>
        <v>NO CORRESPONDE FRANCO</v>
      </c>
      <c r="AO19" s="60">
        <f t="shared" ref="AO19:AO37" si="2">COUNTIF($G19:$AK19,"LLT")</f>
        <v>2</v>
      </c>
      <c r="AP19" s="60">
        <f t="shared" ref="AP19:AP37" si="3">COUNTIF($G19:$AK19,"LM")</f>
        <v>0</v>
      </c>
      <c r="AQ19" s="60">
        <f t="shared" ref="AQ19:AQ37" si="4">COUNTIF($G19:$AK19,"FaC")</f>
        <v>0</v>
      </c>
      <c r="AR19" s="60">
        <f t="shared" ref="AR19:AR37" si="5">COUNTIF($G19:$AK19,"LxE")</f>
        <v>0</v>
      </c>
      <c r="AS19" s="60">
        <f t="shared" ref="AS19:AS37" si="6">COUNTIF($G19:$AK19,"LA")</f>
        <v>14</v>
      </c>
      <c r="AT19" s="221">
        <f t="shared" ref="AT19:AT37" si="7">SUM(AP19:AS19)</f>
        <v>14</v>
      </c>
      <c r="AU19" s="36"/>
    </row>
    <row r="20">
      <c r="A20" s="66" t="s">
        <v>230</v>
      </c>
      <c r="B20" s="78" t="s">
        <v>255</v>
      </c>
      <c r="C20" s="66">
        <v>34471.0</v>
      </c>
      <c r="D20" s="66" t="s">
        <v>256</v>
      </c>
      <c r="E20" s="76" t="s">
        <v>233</v>
      </c>
      <c r="F20" s="223" t="s">
        <v>257</v>
      </c>
      <c r="G20" s="83"/>
      <c r="H20" s="84" t="s">
        <v>27</v>
      </c>
      <c r="I20" s="83"/>
      <c r="J20" s="84" t="s">
        <v>27</v>
      </c>
      <c r="K20" s="83"/>
      <c r="L20" s="84" t="s">
        <v>27</v>
      </c>
      <c r="M20" s="83"/>
      <c r="N20" s="83"/>
      <c r="O20" s="83"/>
      <c r="P20" s="86" t="s">
        <v>32</v>
      </c>
      <c r="Q20" s="83"/>
      <c r="R20" s="84" t="s">
        <v>18</v>
      </c>
      <c r="S20" s="83"/>
      <c r="T20" s="84" t="s">
        <v>27</v>
      </c>
      <c r="U20" s="83"/>
      <c r="V20" s="84" t="s">
        <v>27</v>
      </c>
      <c r="W20" s="83"/>
      <c r="X20" s="84" t="s">
        <v>27</v>
      </c>
      <c r="Y20" s="83"/>
      <c r="Z20" s="84" t="s">
        <v>27</v>
      </c>
      <c r="AA20" s="83"/>
      <c r="AB20" s="83"/>
      <c r="AC20" s="83"/>
      <c r="AD20" s="84" t="s">
        <v>27</v>
      </c>
      <c r="AE20" s="83"/>
      <c r="AF20" s="84" t="s">
        <v>27</v>
      </c>
      <c r="AG20" s="83"/>
      <c r="AH20" s="84" t="s">
        <v>27</v>
      </c>
      <c r="AI20" s="83"/>
      <c r="AJ20" s="84" t="s">
        <v>27</v>
      </c>
      <c r="AK20" s="83"/>
      <c r="AL20" s="24"/>
      <c r="AN20" s="211" t="str">
        <f t="shared" si="1"/>
        <v/>
      </c>
      <c r="AO20" s="60">
        <f t="shared" si="2"/>
        <v>1</v>
      </c>
      <c r="AP20" s="60">
        <f t="shared" si="3"/>
        <v>0</v>
      </c>
      <c r="AQ20" s="60">
        <f t="shared" si="4"/>
        <v>0</v>
      </c>
      <c r="AR20" s="60">
        <f t="shared" si="5"/>
        <v>0</v>
      </c>
      <c r="AS20" s="60">
        <f t="shared" si="6"/>
        <v>0</v>
      </c>
      <c r="AT20" s="221">
        <f t="shared" si="7"/>
        <v>0</v>
      </c>
      <c r="AU20" s="36"/>
    </row>
    <row r="21">
      <c r="A21" s="143" t="s">
        <v>269</v>
      </c>
      <c r="B21" s="94" t="s">
        <v>270</v>
      </c>
      <c r="C21" s="143">
        <v>70453.0</v>
      </c>
      <c r="D21" s="143" t="s">
        <v>271</v>
      </c>
      <c r="E21" s="93" t="s">
        <v>273</v>
      </c>
      <c r="F21" s="146" t="s">
        <v>275</v>
      </c>
      <c r="G21" s="83"/>
      <c r="H21" s="84" t="s">
        <v>18</v>
      </c>
      <c r="I21" s="83"/>
      <c r="J21" s="84" t="s">
        <v>27</v>
      </c>
      <c r="K21" s="83"/>
      <c r="L21" s="84" t="s">
        <v>27</v>
      </c>
      <c r="M21" s="83"/>
      <c r="N21" s="83"/>
      <c r="O21" s="83"/>
      <c r="P21" s="84" t="s">
        <v>27</v>
      </c>
      <c r="Q21" s="83"/>
      <c r="R21" s="84" t="s">
        <v>18</v>
      </c>
      <c r="S21" s="83"/>
      <c r="T21" s="84" t="s">
        <v>27</v>
      </c>
      <c r="U21" s="83"/>
      <c r="V21" s="86" t="s">
        <v>32</v>
      </c>
      <c r="W21" s="83"/>
      <c r="X21" s="84" t="s">
        <v>27</v>
      </c>
      <c r="Y21" s="83"/>
      <c r="Z21" s="84" t="s">
        <v>27</v>
      </c>
      <c r="AA21" s="83"/>
      <c r="AB21" s="83"/>
      <c r="AC21" s="83"/>
      <c r="AD21" s="121" t="s">
        <v>92</v>
      </c>
      <c r="AE21" s="6"/>
      <c r="AF21" s="6"/>
      <c r="AG21" s="6"/>
      <c r="AH21" s="6"/>
      <c r="AI21" s="6"/>
      <c r="AJ21" s="6"/>
      <c r="AK21" s="11"/>
      <c r="AL21" s="24"/>
      <c r="AN21" s="211" t="str">
        <f t="shared" si="1"/>
        <v/>
      </c>
      <c r="AO21" s="60">
        <f t="shared" si="2"/>
        <v>2</v>
      </c>
      <c r="AP21" s="60">
        <f t="shared" si="3"/>
        <v>0</v>
      </c>
      <c r="AQ21" s="60">
        <f t="shared" si="4"/>
        <v>0</v>
      </c>
      <c r="AR21" s="60">
        <f t="shared" si="5"/>
        <v>0</v>
      </c>
      <c r="AS21" s="60">
        <f t="shared" si="6"/>
        <v>0</v>
      </c>
      <c r="AT21" s="221">
        <f t="shared" si="7"/>
        <v>0</v>
      </c>
      <c r="AU21" s="36"/>
    </row>
    <row r="22">
      <c r="A22" s="143" t="s">
        <v>23</v>
      </c>
      <c r="B22" s="94" t="s">
        <v>281</v>
      </c>
      <c r="C22" s="143">
        <v>13809.0</v>
      </c>
      <c r="D22" s="143" t="s">
        <v>282</v>
      </c>
      <c r="E22" s="66" t="s">
        <v>273</v>
      </c>
      <c r="F22" s="146" t="s">
        <v>284</v>
      </c>
      <c r="G22" s="83"/>
      <c r="H22" s="86" t="s">
        <v>32</v>
      </c>
      <c r="I22" s="83"/>
      <c r="J22" s="84" t="s">
        <v>18</v>
      </c>
      <c r="K22" s="83"/>
      <c r="L22" s="84" t="s">
        <v>27</v>
      </c>
      <c r="M22" s="83"/>
      <c r="N22" s="83"/>
      <c r="O22" s="83"/>
      <c r="P22" s="84" t="s">
        <v>27</v>
      </c>
      <c r="Q22" s="83"/>
      <c r="R22" s="235" t="s">
        <v>27</v>
      </c>
      <c r="S22" s="83"/>
      <c r="T22" s="84" t="s">
        <v>27</v>
      </c>
      <c r="U22" s="83"/>
      <c r="V22" s="84" t="s">
        <v>18</v>
      </c>
      <c r="W22" s="83"/>
      <c r="X22" s="84" t="s">
        <v>27</v>
      </c>
      <c r="Y22" s="83"/>
      <c r="Z22" s="84" t="s">
        <v>27</v>
      </c>
      <c r="AA22" s="83"/>
      <c r="AB22" s="238" t="s">
        <v>27</v>
      </c>
      <c r="AC22" s="83"/>
      <c r="AD22" s="135" t="s">
        <v>79</v>
      </c>
      <c r="AE22" s="83"/>
      <c r="AF22" s="84" t="s">
        <v>27</v>
      </c>
      <c r="AG22" s="83"/>
      <c r="AH22" s="84" t="s">
        <v>27</v>
      </c>
      <c r="AI22" s="83"/>
      <c r="AJ22" s="84" t="s">
        <v>27</v>
      </c>
      <c r="AK22" s="83"/>
      <c r="AL22" s="24"/>
      <c r="AN22" s="211" t="str">
        <f t="shared" si="1"/>
        <v/>
      </c>
      <c r="AO22" s="60">
        <f t="shared" si="2"/>
        <v>2</v>
      </c>
      <c r="AP22" s="60">
        <f t="shared" si="3"/>
        <v>0</v>
      </c>
      <c r="AQ22" s="60">
        <f t="shared" si="4"/>
        <v>0</v>
      </c>
      <c r="AR22" s="60">
        <f t="shared" si="5"/>
        <v>0</v>
      </c>
      <c r="AS22" s="60">
        <f t="shared" si="6"/>
        <v>0</v>
      </c>
      <c r="AT22" s="221">
        <f t="shared" si="7"/>
        <v>0</v>
      </c>
      <c r="AU22" s="36"/>
    </row>
    <row r="23">
      <c r="A23" s="143" t="s">
        <v>33</v>
      </c>
      <c r="B23" s="94" t="s">
        <v>294</v>
      </c>
      <c r="C23" s="143">
        <v>4.1803371E7</v>
      </c>
      <c r="D23" s="143" t="s">
        <v>295</v>
      </c>
      <c r="E23" s="76" t="s">
        <v>233</v>
      </c>
      <c r="F23" s="146" t="s">
        <v>296</v>
      </c>
      <c r="G23" s="83"/>
      <c r="H23" s="84" t="s">
        <v>27</v>
      </c>
      <c r="I23" s="83"/>
      <c r="J23" s="84" t="s">
        <v>27</v>
      </c>
      <c r="K23" s="83"/>
      <c r="L23" s="84" t="s">
        <v>27</v>
      </c>
      <c r="M23" s="83"/>
      <c r="N23" s="83"/>
      <c r="O23" s="83"/>
      <c r="P23" s="84" t="s">
        <v>27</v>
      </c>
      <c r="Q23" s="83"/>
      <c r="R23" s="84" t="s">
        <v>27</v>
      </c>
      <c r="S23" s="83"/>
      <c r="T23" s="84" t="s">
        <v>27</v>
      </c>
      <c r="U23" s="83"/>
      <c r="V23" s="84" t="s">
        <v>27</v>
      </c>
      <c r="W23" s="83"/>
      <c r="X23" s="84" t="s">
        <v>27</v>
      </c>
      <c r="Y23" s="83"/>
      <c r="Z23" s="86" t="s">
        <v>32</v>
      </c>
      <c r="AA23" s="83"/>
      <c r="AB23" s="83"/>
      <c r="AC23" s="83"/>
      <c r="AD23" s="84" t="s">
        <v>27</v>
      </c>
      <c r="AE23" s="83"/>
      <c r="AF23" s="84" t="s">
        <v>27</v>
      </c>
      <c r="AG23" s="83"/>
      <c r="AH23" s="84" t="s">
        <v>27</v>
      </c>
      <c r="AI23" s="83"/>
      <c r="AJ23" s="84" t="s">
        <v>27</v>
      </c>
      <c r="AK23" s="83"/>
      <c r="AL23" s="24"/>
      <c r="AN23" s="211" t="str">
        <f t="shared" si="1"/>
        <v/>
      </c>
      <c r="AO23" s="60">
        <f t="shared" si="2"/>
        <v>0</v>
      </c>
      <c r="AP23" s="60">
        <f t="shared" si="3"/>
        <v>0</v>
      </c>
      <c r="AQ23" s="60">
        <f t="shared" si="4"/>
        <v>0</v>
      </c>
      <c r="AR23" s="60">
        <f t="shared" si="5"/>
        <v>0</v>
      </c>
      <c r="AS23" s="60">
        <f t="shared" si="6"/>
        <v>0</v>
      </c>
      <c r="AT23" s="221">
        <f t="shared" si="7"/>
        <v>0</v>
      </c>
      <c r="AU23" s="36"/>
    </row>
    <row r="24">
      <c r="A24" s="76" t="s">
        <v>33</v>
      </c>
      <c r="B24" s="251" t="s">
        <v>301</v>
      </c>
      <c r="C24" s="76">
        <v>4.5623522E7</v>
      </c>
      <c r="D24" s="76" t="s">
        <v>302</v>
      </c>
      <c r="E24" s="253" t="s">
        <v>303</v>
      </c>
      <c r="F24" s="255" t="s">
        <v>306</v>
      </c>
      <c r="G24" s="192" t="s">
        <v>22</v>
      </c>
      <c r="H24" s="192" t="s">
        <v>22</v>
      </c>
      <c r="I24" s="83"/>
      <c r="J24" s="84" t="s">
        <v>27</v>
      </c>
      <c r="K24" s="83"/>
      <c r="L24" s="256" t="s">
        <v>19</v>
      </c>
      <c r="M24" s="83"/>
      <c r="N24" s="83"/>
      <c r="O24" s="83"/>
      <c r="P24" s="84" t="s">
        <v>27</v>
      </c>
      <c r="Q24" s="83"/>
      <c r="R24" s="84" t="s">
        <v>27</v>
      </c>
      <c r="S24" s="83"/>
      <c r="T24" s="84" t="s">
        <v>27</v>
      </c>
      <c r="U24" s="83"/>
      <c r="V24" s="84" t="s">
        <v>18</v>
      </c>
      <c r="W24" s="83"/>
      <c r="X24" s="84" t="s">
        <v>27</v>
      </c>
      <c r="Y24" s="83"/>
      <c r="Z24" s="84" t="s">
        <v>27</v>
      </c>
      <c r="AA24" s="83"/>
      <c r="AB24" s="83"/>
      <c r="AC24" s="83"/>
      <c r="AD24" s="84" t="s">
        <v>27</v>
      </c>
      <c r="AE24" s="83"/>
      <c r="AF24" s="84" t="s">
        <v>27</v>
      </c>
      <c r="AG24" s="83"/>
      <c r="AH24" s="84" t="s">
        <v>27</v>
      </c>
      <c r="AI24" s="83"/>
      <c r="AJ24" s="84" t="s">
        <v>18</v>
      </c>
      <c r="AK24" s="83"/>
      <c r="AL24" s="24"/>
      <c r="AN24" s="211" t="str">
        <f t="shared" si="1"/>
        <v>NO CORRESPONDE FRANCO</v>
      </c>
      <c r="AO24" s="60">
        <f t="shared" si="2"/>
        <v>2</v>
      </c>
      <c r="AP24" s="60">
        <f t="shared" si="3"/>
        <v>1</v>
      </c>
      <c r="AQ24" s="60">
        <f t="shared" si="4"/>
        <v>0</v>
      </c>
      <c r="AR24" s="60">
        <f t="shared" si="5"/>
        <v>0</v>
      </c>
      <c r="AS24" s="60">
        <f t="shared" si="6"/>
        <v>2</v>
      </c>
      <c r="AT24" s="221">
        <f t="shared" si="7"/>
        <v>3</v>
      </c>
      <c r="AU24" s="36"/>
    </row>
    <row r="25" ht="15.75" customHeight="1">
      <c r="A25" s="76" t="s">
        <v>33</v>
      </c>
      <c r="B25" s="263" t="s">
        <v>312</v>
      </c>
      <c r="C25" s="76">
        <v>4.0006637E7</v>
      </c>
      <c r="D25" s="76" t="s">
        <v>313</v>
      </c>
      <c r="E25" s="66" t="s">
        <v>273</v>
      </c>
      <c r="F25" s="255" t="s">
        <v>314</v>
      </c>
      <c r="G25" s="83"/>
      <c r="H25" s="172" t="s">
        <v>18</v>
      </c>
      <c r="I25" s="83"/>
      <c r="J25" s="172" t="s">
        <v>18</v>
      </c>
      <c r="K25" s="83"/>
      <c r="L25" s="84" t="s">
        <v>27</v>
      </c>
      <c r="M25" s="83"/>
      <c r="N25" s="83"/>
      <c r="O25" s="83"/>
      <c r="P25" s="84" t="s">
        <v>27</v>
      </c>
      <c r="Q25" s="83"/>
      <c r="R25" s="84" t="s">
        <v>27</v>
      </c>
      <c r="S25" s="83"/>
      <c r="T25" s="172" t="s">
        <v>18</v>
      </c>
      <c r="U25" s="83"/>
      <c r="V25" s="84" t="s">
        <v>18</v>
      </c>
      <c r="W25" s="83"/>
      <c r="X25" s="84" t="s">
        <v>27</v>
      </c>
      <c r="Y25" s="83"/>
      <c r="Z25" s="84" t="s">
        <v>27</v>
      </c>
      <c r="AA25" s="83"/>
      <c r="AB25" s="83"/>
      <c r="AC25" s="83"/>
      <c r="AD25" s="84" t="s">
        <v>27</v>
      </c>
      <c r="AE25" s="83"/>
      <c r="AF25" s="84" t="s">
        <v>27</v>
      </c>
      <c r="AG25" s="83"/>
      <c r="AH25" s="84" t="s">
        <v>27</v>
      </c>
      <c r="AI25" s="83"/>
      <c r="AJ25" s="267" t="s">
        <v>32</v>
      </c>
      <c r="AK25" s="83"/>
      <c r="AL25" s="24"/>
      <c r="AN25" s="211" t="str">
        <f t="shared" si="1"/>
        <v>NO CORRESPONDE FRANCO</v>
      </c>
      <c r="AO25" s="60">
        <f t="shared" si="2"/>
        <v>4</v>
      </c>
      <c r="AP25" s="60">
        <f t="shared" si="3"/>
        <v>0</v>
      </c>
      <c r="AQ25" s="60">
        <f t="shared" si="4"/>
        <v>0</v>
      </c>
      <c r="AR25" s="60">
        <f t="shared" si="5"/>
        <v>0</v>
      </c>
      <c r="AS25" s="60">
        <f t="shared" si="6"/>
        <v>0</v>
      </c>
      <c r="AT25" s="221">
        <f t="shared" si="7"/>
        <v>0</v>
      </c>
      <c r="AU25" s="36"/>
    </row>
    <row r="26" ht="15.75" customHeight="1">
      <c r="A26" s="66" t="s">
        <v>33</v>
      </c>
      <c r="B26" s="263" t="s">
        <v>322</v>
      </c>
      <c r="C26" s="66">
        <v>3.59795E7</v>
      </c>
      <c r="D26" s="66" t="s">
        <v>325</v>
      </c>
      <c r="E26" s="66" t="s">
        <v>273</v>
      </c>
      <c r="F26" s="270" t="s">
        <v>327</v>
      </c>
      <c r="G26" s="83"/>
      <c r="H26" s="86" t="s">
        <v>32</v>
      </c>
      <c r="I26" s="83"/>
      <c r="J26" s="84" t="s">
        <v>27</v>
      </c>
      <c r="K26" s="83"/>
      <c r="L26" s="84" t="s">
        <v>27</v>
      </c>
      <c r="M26" s="83"/>
      <c r="N26" s="83"/>
      <c r="O26" s="83"/>
      <c r="P26" s="84" t="s">
        <v>27</v>
      </c>
      <c r="Q26" s="83"/>
      <c r="R26" s="84" t="s">
        <v>27</v>
      </c>
      <c r="S26" s="83"/>
      <c r="T26" s="84" t="s">
        <v>27</v>
      </c>
      <c r="U26" s="83"/>
      <c r="V26" s="86" t="s">
        <v>32</v>
      </c>
      <c r="W26" s="83"/>
      <c r="X26" s="84" t="s">
        <v>27</v>
      </c>
      <c r="Y26" s="272" t="s">
        <v>329</v>
      </c>
      <c r="Z26" s="6"/>
      <c r="AA26" s="6"/>
      <c r="AB26" s="6"/>
      <c r="AC26" s="6"/>
      <c r="AD26" s="6"/>
      <c r="AE26" s="6"/>
      <c r="AF26" s="6"/>
      <c r="AG26" s="6"/>
      <c r="AH26" s="6"/>
      <c r="AI26" s="6"/>
      <c r="AJ26" s="6"/>
      <c r="AK26" s="11"/>
      <c r="AL26" s="24"/>
      <c r="AN26" s="211" t="str">
        <f t="shared" si="1"/>
        <v/>
      </c>
      <c r="AO26" s="60">
        <f t="shared" si="2"/>
        <v>0</v>
      </c>
      <c r="AP26" s="60">
        <f t="shared" si="3"/>
        <v>0</v>
      </c>
      <c r="AQ26" s="60">
        <f t="shared" si="4"/>
        <v>0</v>
      </c>
      <c r="AR26" s="60">
        <f t="shared" si="5"/>
        <v>0</v>
      </c>
      <c r="AS26" s="60">
        <f t="shared" si="6"/>
        <v>0</v>
      </c>
      <c r="AT26" s="221">
        <f t="shared" si="7"/>
        <v>0</v>
      </c>
      <c r="AU26" s="36"/>
    </row>
    <row r="27" ht="15.75" customHeight="1">
      <c r="A27" s="76" t="s">
        <v>33</v>
      </c>
      <c r="B27" s="251" t="s">
        <v>336</v>
      </c>
      <c r="C27" s="76">
        <v>4.1290026E7</v>
      </c>
      <c r="D27" s="76" t="s">
        <v>337</v>
      </c>
      <c r="E27" s="253" t="s">
        <v>303</v>
      </c>
      <c r="F27" s="81" t="s">
        <v>338</v>
      </c>
      <c r="G27" s="83"/>
      <c r="H27" s="84" t="s">
        <v>27</v>
      </c>
      <c r="I27" s="83"/>
      <c r="J27" s="84" t="s">
        <v>27</v>
      </c>
      <c r="K27" s="83"/>
      <c r="L27" s="84" t="s">
        <v>27</v>
      </c>
      <c r="M27" s="83"/>
      <c r="N27" s="83"/>
      <c r="O27" s="83"/>
      <c r="P27" s="84" t="s">
        <v>27</v>
      </c>
      <c r="Q27" s="83"/>
      <c r="R27" s="273" t="s">
        <v>27</v>
      </c>
      <c r="S27" s="83"/>
      <c r="T27" s="84" t="s">
        <v>27</v>
      </c>
      <c r="U27" s="83"/>
      <c r="V27" s="84" t="s">
        <v>27</v>
      </c>
      <c r="W27" s="83"/>
      <c r="X27" s="86" t="s">
        <v>32</v>
      </c>
      <c r="Y27" s="83"/>
      <c r="Z27" s="84" t="s">
        <v>27</v>
      </c>
      <c r="AA27" s="83"/>
      <c r="AB27" s="83"/>
      <c r="AC27" s="83"/>
      <c r="AD27" s="84" t="s">
        <v>27</v>
      </c>
      <c r="AE27" s="83"/>
      <c r="AF27" s="84" t="s">
        <v>27</v>
      </c>
      <c r="AG27" s="83"/>
      <c r="AH27" s="84" t="s">
        <v>27</v>
      </c>
      <c r="AI27" s="83"/>
      <c r="AJ27" s="84" t="s">
        <v>27</v>
      </c>
      <c r="AK27" s="83"/>
      <c r="AL27" s="24"/>
      <c r="AN27" s="211" t="str">
        <f t="shared" si="1"/>
        <v/>
      </c>
      <c r="AO27" s="60">
        <f t="shared" si="2"/>
        <v>0</v>
      </c>
      <c r="AP27" s="60">
        <f t="shared" si="3"/>
        <v>0</v>
      </c>
      <c r="AQ27" s="60">
        <f t="shared" si="4"/>
        <v>0</v>
      </c>
      <c r="AR27" s="60">
        <f t="shared" si="5"/>
        <v>0</v>
      </c>
      <c r="AS27" s="60">
        <f t="shared" si="6"/>
        <v>0</v>
      </c>
      <c r="AT27" s="221">
        <f t="shared" si="7"/>
        <v>0</v>
      </c>
      <c r="AU27" s="36"/>
    </row>
    <row r="28" ht="15.75" customHeight="1">
      <c r="A28" s="76" t="s">
        <v>33</v>
      </c>
      <c r="B28" s="251" t="s">
        <v>345</v>
      </c>
      <c r="C28" s="76">
        <v>4.0240445E7</v>
      </c>
      <c r="D28" s="76" t="s">
        <v>347</v>
      </c>
      <c r="E28" s="278" t="s">
        <v>350</v>
      </c>
      <c r="F28" s="81" t="s">
        <v>351</v>
      </c>
      <c r="G28" s="192" t="s">
        <v>22</v>
      </c>
      <c r="H28" s="192" t="s">
        <v>22</v>
      </c>
      <c r="I28" s="192" t="s">
        <v>22</v>
      </c>
      <c r="J28" s="192" t="s">
        <v>22</v>
      </c>
      <c r="K28" s="192" t="s">
        <v>22</v>
      </c>
      <c r="L28" s="192" t="s">
        <v>22</v>
      </c>
      <c r="M28" s="83"/>
      <c r="N28" s="83"/>
      <c r="O28" s="83"/>
      <c r="P28" s="84" t="s">
        <v>27</v>
      </c>
      <c r="Q28" s="83"/>
      <c r="R28" s="84" t="s">
        <v>27</v>
      </c>
      <c r="S28" s="83"/>
      <c r="T28" s="84" t="s">
        <v>27</v>
      </c>
      <c r="U28" s="83"/>
      <c r="V28" s="84" t="s">
        <v>18</v>
      </c>
      <c r="W28" s="83"/>
      <c r="X28" s="84" t="s">
        <v>355</v>
      </c>
      <c r="Y28" s="83"/>
      <c r="Z28" s="84" t="s">
        <v>27</v>
      </c>
      <c r="AA28" s="83"/>
      <c r="AB28" s="83"/>
      <c r="AC28" s="83"/>
      <c r="AD28" s="84" t="s">
        <v>27</v>
      </c>
      <c r="AE28" s="83"/>
      <c r="AF28" s="84" t="s">
        <v>27</v>
      </c>
      <c r="AG28" s="83"/>
      <c r="AH28" s="84" t="s">
        <v>27</v>
      </c>
      <c r="AI28" s="83"/>
      <c r="AJ28" s="84" t="s">
        <v>27</v>
      </c>
      <c r="AK28" s="83"/>
      <c r="AL28" s="24"/>
      <c r="AN28" s="211" t="str">
        <f t="shared" si="1"/>
        <v>NO CORRESPONDE FRANCO</v>
      </c>
      <c r="AO28" s="60">
        <f t="shared" si="2"/>
        <v>1</v>
      </c>
      <c r="AP28" s="60">
        <f t="shared" si="3"/>
        <v>0</v>
      </c>
      <c r="AQ28" s="60">
        <f t="shared" si="4"/>
        <v>0</v>
      </c>
      <c r="AR28" s="60">
        <f t="shared" si="5"/>
        <v>0</v>
      </c>
      <c r="AS28" s="60">
        <f t="shared" si="6"/>
        <v>6</v>
      </c>
      <c r="AT28" s="221">
        <f t="shared" si="7"/>
        <v>6</v>
      </c>
      <c r="AU28" s="36"/>
    </row>
    <row r="29" ht="16.5" customHeight="1">
      <c r="A29" s="76" t="s">
        <v>33</v>
      </c>
      <c r="B29" s="78" t="s">
        <v>361</v>
      </c>
      <c r="C29" s="66">
        <v>4.6749945E7</v>
      </c>
      <c r="D29" s="144" t="s">
        <v>362</v>
      </c>
      <c r="E29" s="70" t="s">
        <v>303</v>
      </c>
      <c r="F29" s="270" t="s">
        <v>363</v>
      </c>
      <c r="G29" s="83"/>
      <c r="H29" s="84" t="s">
        <v>27</v>
      </c>
      <c r="I29" s="83"/>
      <c r="J29" s="84" t="s">
        <v>27</v>
      </c>
      <c r="K29" s="83"/>
      <c r="L29" s="135" t="s">
        <v>79</v>
      </c>
      <c r="M29" s="83"/>
      <c r="N29" s="83"/>
      <c r="O29" s="83"/>
      <c r="P29" s="84" t="s">
        <v>27</v>
      </c>
      <c r="Q29" s="172" t="s">
        <v>27</v>
      </c>
      <c r="R29" s="84" t="s">
        <v>27</v>
      </c>
      <c r="S29" s="83"/>
      <c r="T29" s="84" t="s">
        <v>27</v>
      </c>
      <c r="U29" s="83"/>
      <c r="V29" s="84" t="s">
        <v>27</v>
      </c>
      <c r="W29" s="83"/>
      <c r="X29" s="84" t="s">
        <v>120</v>
      </c>
      <c r="Y29" s="84" t="s">
        <v>27</v>
      </c>
      <c r="Z29" s="86" t="s">
        <v>32</v>
      </c>
      <c r="AA29" s="83"/>
      <c r="AB29" s="83"/>
      <c r="AC29" s="83"/>
      <c r="AD29" s="96" t="s">
        <v>22</v>
      </c>
      <c r="AE29" s="96" t="s">
        <v>22</v>
      </c>
      <c r="AF29" s="96" t="s">
        <v>22</v>
      </c>
      <c r="AG29" s="96" t="s">
        <v>22</v>
      </c>
      <c r="AH29" s="96" t="s">
        <v>22</v>
      </c>
      <c r="AI29" s="96" t="s">
        <v>22</v>
      </c>
      <c r="AJ29" s="96" t="s">
        <v>22</v>
      </c>
      <c r="AK29" s="83"/>
      <c r="AL29" s="24"/>
      <c r="AN29" s="211" t="str">
        <f t="shared" si="1"/>
        <v>NO CORRESPONDE FRANCO</v>
      </c>
      <c r="AO29" s="60">
        <f t="shared" si="2"/>
        <v>0</v>
      </c>
      <c r="AP29" s="60">
        <f t="shared" si="3"/>
        <v>0</v>
      </c>
      <c r="AQ29" s="60">
        <f t="shared" si="4"/>
        <v>0</v>
      </c>
      <c r="AR29" s="60">
        <f t="shared" si="5"/>
        <v>0</v>
      </c>
      <c r="AS29" s="60">
        <f t="shared" si="6"/>
        <v>7</v>
      </c>
      <c r="AT29" s="221">
        <f t="shared" si="7"/>
        <v>7</v>
      </c>
      <c r="AU29" s="36"/>
    </row>
    <row r="30" ht="15.75" customHeight="1">
      <c r="A30" s="66" t="s">
        <v>33</v>
      </c>
      <c r="B30" s="279" t="s">
        <v>373</v>
      </c>
      <c r="C30" s="76">
        <v>4.2661512E7</v>
      </c>
      <c r="D30" s="70" t="s">
        <v>374</v>
      </c>
      <c r="E30" s="66" t="s">
        <v>375</v>
      </c>
      <c r="F30" s="280" t="s">
        <v>378</v>
      </c>
      <c r="G30" s="83"/>
      <c r="H30" s="84" t="s">
        <v>198</v>
      </c>
      <c r="I30" s="83"/>
      <c r="J30" s="84" t="s">
        <v>18</v>
      </c>
      <c r="K30" s="83"/>
      <c r="L30" s="84" t="s">
        <v>27</v>
      </c>
      <c r="M30" s="83"/>
      <c r="N30" s="83"/>
      <c r="O30" s="83"/>
      <c r="P30" s="84" t="s">
        <v>27</v>
      </c>
      <c r="Q30" s="83"/>
      <c r="R30" s="84" t="s">
        <v>27</v>
      </c>
      <c r="S30" s="83"/>
      <c r="T30" s="84" t="s">
        <v>27</v>
      </c>
      <c r="U30" s="83"/>
      <c r="V30" s="86" t="s">
        <v>32</v>
      </c>
      <c r="W30" s="83"/>
      <c r="X30" s="84" t="s">
        <v>27</v>
      </c>
      <c r="Y30" s="83"/>
      <c r="Z30" s="84" t="s">
        <v>18</v>
      </c>
      <c r="AA30" s="83"/>
      <c r="AB30" s="83"/>
      <c r="AC30" s="83"/>
      <c r="AD30" s="84" t="s">
        <v>128</v>
      </c>
      <c r="AE30" s="83"/>
      <c r="AF30" s="84" t="s">
        <v>27</v>
      </c>
      <c r="AG30" s="83"/>
      <c r="AH30" s="84" t="s">
        <v>27</v>
      </c>
      <c r="AI30" s="83"/>
      <c r="AJ30" s="84" t="s">
        <v>27</v>
      </c>
      <c r="AK30" s="83"/>
      <c r="AL30" s="24"/>
      <c r="AN30" s="211" t="str">
        <f t="shared" si="1"/>
        <v/>
      </c>
      <c r="AO30" s="60">
        <f t="shared" si="2"/>
        <v>2</v>
      </c>
      <c r="AP30" s="60">
        <f t="shared" si="3"/>
        <v>0</v>
      </c>
      <c r="AQ30" s="60">
        <f t="shared" si="4"/>
        <v>0</v>
      </c>
      <c r="AR30" s="60">
        <f t="shared" si="5"/>
        <v>0</v>
      </c>
      <c r="AS30" s="60">
        <f t="shared" si="6"/>
        <v>0</v>
      </c>
      <c r="AT30" s="221">
        <f t="shared" si="7"/>
        <v>0</v>
      </c>
      <c r="AU30" s="36"/>
    </row>
    <row r="31" ht="15.75" customHeight="1">
      <c r="A31" s="66" t="s">
        <v>33</v>
      </c>
      <c r="B31" s="78" t="s">
        <v>386</v>
      </c>
      <c r="C31" s="66">
        <v>4.3318554E7</v>
      </c>
      <c r="D31" s="66" t="s">
        <v>387</v>
      </c>
      <c r="E31" s="70" t="s">
        <v>303</v>
      </c>
      <c r="F31" s="270" t="s">
        <v>388</v>
      </c>
      <c r="G31" s="83"/>
      <c r="H31" s="84" t="s">
        <v>27</v>
      </c>
      <c r="I31" s="83"/>
      <c r="J31" s="84" t="s">
        <v>27</v>
      </c>
      <c r="K31" s="83"/>
      <c r="L31" s="84" t="s">
        <v>27</v>
      </c>
      <c r="M31" s="83"/>
      <c r="N31" s="83"/>
      <c r="O31" s="83"/>
      <c r="P31" s="96" t="s">
        <v>22</v>
      </c>
      <c r="Q31" s="96" t="s">
        <v>22</v>
      </c>
      <c r="R31" s="96" t="s">
        <v>22</v>
      </c>
      <c r="S31" s="96" t="s">
        <v>22</v>
      </c>
      <c r="T31" s="96" t="s">
        <v>22</v>
      </c>
      <c r="U31" s="96" t="s">
        <v>22</v>
      </c>
      <c r="V31" s="96" t="s">
        <v>22</v>
      </c>
      <c r="W31" s="83"/>
      <c r="X31" s="84" t="s">
        <v>27</v>
      </c>
      <c r="Y31" s="83"/>
      <c r="Z31" s="86" t="s">
        <v>32</v>
      </c>
      <c r="AA31" s="83"/>
      <c r="AB31" s="83"/>
      <c r="AC31" s="83"/>
      <c r="AD31" s="84" t="s">
        <v>27</v>
      </c>
      <c r="AE31" s="83"/>
      <c r="AF31" s="84" t="s">
        <v>27</v>
      </c>
      <c r="AG31" s="83"/>
      <c r="AH31" s="84" t="s">
        <v>27</v>
      </c>
      <c r="AI31" s="83"/>
      <c r="AJ31" s="84" t="s">
        <v>27</v>
      </c>
      <c r="AK31" s="83"/>
      <c r="AL31" s="24"/>
      <c r="AN31" s="211" t="str">
        <f t="shared" si="1"/>
        <v>NO CORRESPONDE FRANCO</v>
      </c>
      <c r="AO31" s="60">
        <f t="shared" si="2"/>
        <v>0</v>
      </c>
      <c r="AP31" s="60">
        <f t="shared" si="3"/>
        <v>0</v>
      </c>
      <c r="AQ31" s="60">
        <f t="shared" si="4"/>
        <v>0</v>
      </c>
      <c r="AR31" s="60">
        <f t="shared" si="5"/>
        <v>0</v>
      </c>
      <c r="AS31" s="60">
        <f t="shared" si="6"/>
        <v>7</v>
      </c>
      <c r="AT31" s="221">
        <f t="shared" si="7"/>
        <v>7</v>
      </c>
      <c r="AU31" s="36"/>
    </row>
    <row r="32" ht="15.75" customHeight="1">
      <c r="A32" s="286" t="s">
        <v>33</v>
      </c>
      <c r="B32" s="78" t="s">
        <v>394</v>
      </c>
      <c r="C32" s="66">
        <v>3.1821827E7</v>
      </c>
      <c r="D32" s="66" t="s">
        <v>395</v>
      </c>
      <c r="E32" s="70" t="s">
        <v>233</v>
      </c>
      <c r="F32" s="270" t="s">
        <v>397</v>
      </c>
      <c r="G32" s="83"/>
      <c r="H32" s="84" t="s">
        <v>27</v>
      </c>
      <c r="I32" s="83"/>
      <c r="J32" s="84" t="s">
        <v>18</v>
      </c>
      <c r="K32" s="83"/>
      <c r="L32" s="84" t="s">
        <v>27</v>
      </c>
      <c r="M32" s="83"/>
      <c r="N32" s="83"/>
      <c r="O32" s="83"/>
      <c r="P32" s="84" t="s">
        <v>27</v>
      </c>
      <c r="Q32" s="83"/>
      <c r="R32" s="84" t="s">
        <v>18</v>
      </c>
      <c r="S32" s="83"/>
      <c r="T32" s="84" t="s">
        <v>18</v>
      </c>
      <c r="U32" s="83"/>
      <c r="V32" s="84" t="s">
        <v>18</v>
      </c>
      <c r="W32" s="83"/>
      <c r="X32" s="96" t="s">
        <v>22</v>
      </c>
      <c r="Y32" s="96" t="s">
        <v>22</v>
      </c>
      <c r="Z32" s="96" t="s">
        <v>22</v>
      </c>
      <c r="AA32" s="96" t="s">
        <v>22</v>
      </c>
      <c r="AB32" s="96" t="s">
        <v>22</v>
      </c>
      <c r="AC32" s="96" t="s">
        <v>22</v>
      </c>
      <c r="AD32" s="96" t="s">
        <v>22</v>
      </c>
      <c r="AE32" s="83"/>
      <c r="AF32" s="86" t="s">
        <v>32</v>
      </c>
      <c r="AG32" s="83"/>
      <c r="AH32" s="86" t="s">
        <v>32</v>
      </c>
      <c r="AI32" s="83"/>
      <c r="AJ32" s="84" t="s">
        <v>18</v>
      </c>
      <c r="AK32" s="83"/>
      <c r="AL32" s="24"/>
      <c r="AN32" s="211" t="str">
        <f t="shared" si="1"/>
        <v>NO CORRESPONDE FRANCO</v>
      </c>
      <c r="AO32" s="60">
        <f t="shared" si="2"/>
        <v>5</v>
      </c>
      <c r="AP32" s="60">
        <f t="shared" si="3"/>
        <v>0</v>
      </c>
      <c r="AQ32" s="60">
        <f t="shared" si="4"/>
        <v>0</v>
      </c>
      <c r="AR32" s="60">
        <f t="shared" si="5"/>
        <v>0</v>
      </c>
      <c r="AS32" s="60">
        <f t="shared" si="6"/>
        <v>7</v>
      </c>
      <c r="AT32" s="221">
        <f t="shared" si="7"/>
        <v>7</v>
      </c>
      <c r="AU32" s="36"/>
    </row>
    <row r="33" ht="15.75" customHeight="1">
      <c r="A33" s="292" t="s">
        <v>33</v>
      </c>
      <c r="B33" s="78" t="s">
        <v>403</v>
      </c>
      <c r="C33" s="66">
        <v>4.4544722E7</v>
      </c>
      <c r="D33" s="70" t="s">
        <v>404</v>
      </c>
      <c r="E33" s="70" t="s">
        <v>303</v>
      </c>
      <c r="F33" s="223" t="s">
        <v>405</v>
      </c>
      <c r="G33" s="83"/>
      <c r="H33" s="84" t="s">
        <v>27</v>
      </c>
      <c r="I33" s="83"/>
      <c r="J33" s="84" t="s">
        <v>18</v>
      </c>
      <c r="K33" s="83"/>
      <c r="L33" s="84" t="s">
        <v>18</v>
      </c>
      <c r="M33" s="83"/>
      <c r="N33" s="83"/>
      <c r="O33" s="83"/>
      <c r="P33" s="84" t="s">
        <v>18</v>
      </c>
      <c r="Q33" s="83"/>
      <c r="R33" s="84" t="s">
        <v>27</v>
      </c>
      <c r="S33" s="83"/>
      <c r="T33" s="86" t="s">
        <v>32</v>
      </c>
      <c r="U33" s="83"/>
      <c r="V33" s="134" t="s">
        <v>19</v>
      </c>
      <c r="W33" s="134" t="s">
        <v>19</v>
      </c>
      <c r="X33" s="84" t="s">
        <v>27</v>
      </c>
      <c r="Y33" s="83"/>
      <c r="Z33" s="84" t="s">
        <v>27</v>
      </c>
      <c r="AA33" s="83"/>
      <c r="AB33" s="83"/>
      <c r="AC33" s="83"/>
      <c r="AD33" s="84" t="s">
        <v>128</v>
      </c>
      <c r="AE33" s="83"/>
      <c r="AF33" s="84" t="s">
        <v>27</v>
      </c>
      <c r="AG33" s="83"/>
      <c r="AH33" s="91" t="s">
        <v>19</v>
      </c>
      <c r="AI33" s="91" t="s">
        <v>19</v>
      </c>
      <c r="AJ33" s="91" t="s">
        <v>19</v>
      </c>
      <c r="AK33" s="83"/>
      <c r="AL33" s="24"/>
      <c r="AN33" s="211" t="str">
        <f t="shared" si="1"/>
        <v>NO CORRESPONDE FRANCO</v>
      </c>
      <c r="AO33" s="60">
        <f t="shared" si="2"/>
        <v>3</v>
      </c>
      <c r="AP33" s="60">
        <f t="shared" si="3"/>
        <v>5</v>
      </c>
      <c r="AQ33" s="60">
        <f t="shared" si="4"/>
        <v>0</v>
      </c>
      <c r="AR33" s="60">
        <f t="shared" si="5"/>
        <v>0</v>
      </c>
      <c r="AS33" s="60">
        <f t="shared" si="6"/>
        <v>0</v>
      </c>
      <c r="AT33" s="221">
        <f t="shared" si="7"/>
        <v>5</v>
      </c>
      <c r="AU33" s="36"/>
    </row>
    <row r="34" ht="15.75" customHeight="1">
      <c r="A34" s="292" t="s">
        <v>33</v>
      </c>
      <c r="B34" s="67" t="s">
        <v>412</v>
      </c>
      <c r="C34" s="66">
        <v>4.3319446E7</v>
      </c>
      <c r="D34" s="66" t="s">
        <v>414</v>
      </c>
      <c r="E34" s="66" t="s">
        <v>375</v>
      </c>
      <c r="F34" s="298" t="s">
        <v>415</v>
      </c>
      <c r="G34" s="83"/>
      <c r="H34" s="84" t="s">
        <v>18</v>
      </c>
      <c r="I34" s="83"/>
      <c r="J34" s="84" t="s">
        <v>27</v>
      </c>
      <c r="K34" s="83"/>
      <c r="L34" s="84" t="s">
        <v>27</v>
      </c>
      <c r="M34" s="83"/>
      <c r="N34" s="83"/>
      <c r="O34" s="83"/>
      <c r="P34" s="84" t="s">
        <v>27</v>
      </c>
      <c r="Q34" s="83"/>
      <c r="R34" s="84" t="s">
        <v>27</v>
      </c>
      <c r="S34" s="83"/>
      <c r="T34" s="84" t="s">
        <v>27</v>
      </c>
      <c r="U34" s="83"/>
      <c r="V34" s="84" t="s">
        <v>18</v>
      </c>
      <c r="W34" s="83"/>
      <c r="X34" s="84" t="s">
        <v>27</v>
      </c>
      <c r="Y34" s="83"/>
      <c r="Z34" s="84" t="s">
        <v>27</v>
      </c>
      <c r="AA34" s="83"/>
      <c r="AB34" s="83"/>
      <c r="AC34" s="83"/>
      <c r="AD34" s="91" t="s">
        <v>19</v>
      </c>
      <c r="AE34" s="83"/>
      <c r="AF34" s="84" t="s">
        <v>27</v>
      </c>
      <c r="AG34" s="83"/>
      <c r="AH34" s="84" t="s">
        <v>27</v>
      </c>
      <c r="AI34" s="83"/>
      <c r="AJ34" s="86" t="s">
        <v>32</v>
      </c>
      <c r="AK34" s="83"/>
      <c r="AL34" s="24"/>
      <c r="AN34" s="211" t="str">
        <f t="shared" si="1"/>
        <v>NO CORRESPONDE FRANCO</v>
      </c>
      <c r="AO34" s="60">
        <f t="shared" si="2"/>
        <v>2</v>
      </c>
      <c r="AP34" s="60">
        <f t="shared" si="3"/>
        <v>1</v>
      </c>
      <c r="AQ34" s="60">
        <f t="shared" si="4"/>
        <v>0</v>
      </c>
      <c r="AR34" s="60">
        <f t="shared" si="5"/>
        <v>0</v>
      </c>
      <c r="AS34" s="60">
        <f t="shared" si="6"/>
        <v>0</v>
      </c>
      <c r="AT34" s="221">
        <f t="shared" si="7"/>
        <v>1</v>
      </c>
      <c r="AU34" s="36"/>
    </row>
    <row r="35" ht="15.75" customHeight="1">
      <c r="A35" s="76" t="s">
        <v>33</v>
      </c>
      <c r="B35" s="139" t="s">
        <v>422</v>
      </c>
      <c r="C35" s="137">
        <v>3.7214657E7</v>
      </c>
      <c r="D35" s="137" t="s">
        <v>424</v>
      </c>
      <c r="E35" s="66" t="s">
        <v>375</v>
      </c>
      <c r="F35" s="298" t="s">
        <v>415</v>
      </c>
      <c r="G35" s="83"/>
      <c r="H35" s="84" t="s">
        <v>18</v>
      </c>
      <c r="I35" s="83"/>
      <c r="J35" s="84" t="s">
        <v>27</v>
      </c>
      <c r="K35" s="83"/>
      <c r="L35" s="84" t="s">
        <v>27</v>
      </c>
      <c r="M35" s="83"/>
      <c r="N35" s="83"/>
      <c r="O35" s="83"/>
      <c r="P35" s="84" t="s">
        <v>27</v>
      </c>
      <c r="Q35" s="83"/>
      <c r="R35" s="84" t="s">
        <v>27</v>
      </c>
      <c r="S35" s="83"/>
      <c r="T35" s="309" t="s">
        <v>27</v>
      </c>
      <c r="U35" s="83"/>
      <c r="V35" s="84" t="s">
        <v>18</v>
      </c>
      <c r="W35" s="83"/>
      <c r="X35" s="84" t="s">
        <v>27</v>
      </c>
      <c r="Y35" s="83"/>
      <c r="Z35" s="84" t="s">
        <v>27</v>
      </c>
      <c r="AA35" s="83"/>
      <c r="AB35" s="83"/>
      <c r="AC35" s="83"/>
      <c r="AD35" s="84" t="s">
        <v>27</v>
      </c>
      <c r="AE35" s="83"/>
      <c r="AF35" s="84" t="s">
        <v>27</v>
      </c>
      <c r="AG35" s="83"/>
      <c r="AH35" s="84" t="s">
        <v>27</v>
      </c>
      <c r="AI35" s="83"/>
      <c r="AJ35" s="91" t="s">
        <v>19</v>
      </c>
      <c r="AK35" s="83"/>
      <c r="AL35" s="24"/>
      <c r="AN35" s="211" t="str">
        <f t="shared" si="1"/>
        <v>NO CORRESPONDE FRANCO</v>
      </c>
      <c r="AO35" s="60">
        <f t="shared" si="2"/>
        <v>2</v>
      </c>
      <c r="AP35" s="60">
        <f t="shared" si="3"/>
        <v>1</v>
      </c>
      <c r="AQ35" s="60">
        <f t="shared" si="4"/>
        <v>0</v>
      </c>
      <c r="AR35" s="60">
        <f t="shared" si="5"/>
        <v>0</v>
      </c>
      <c r="AS35" s="60">
        <f t="shared" si="6"/>
        <v>0</v>
      </c>
      <c r="AT35" s="221">
        <f t="shared" si="7"/>
        <v>1</v>
      </c>
      <c r="AU35" s="36"/>
    </row>
    <row r="36" ht="17.25" customHeight="1">
      <c r="A36" s="76" t="s">
        <v>33</v>
      </c>
      <c r="B36" s="67" t="s">
        <v>428</v>
      </c>
      <c r="C36" s="66">
        <v>2.9157382E7</v>
      </c>
      <c r="D36" s="66" t="s">
        <v>429</v>
      </c>
      <c r="E36" s="66" t="s">
        <v>375</v>
      </c>
      <c r="F36" s="298" t="s">
        <v>430</v>
      </c>
      <c r="G36" s="83"/>
      <c r="H36" s="86" t="s">
        <v>32</v>
      </c>
      <c r="I36" s="83"/>
      <c r="J36" s="84" t="s">
        <v>18</v>
      </c>
      <c r="K36" s="83"/>
      <c r="L36" s="84" t="s">
        <v>27</v>
      </c>
      <c r="M36" s="83"/>
      <c r="N36" s="83"/>
      <c r="O36" s="83"/>
      <c r="P36" s="84" t="s">
        <v>27</v>
      </c>
      <c r="Q36" s="83"/>
      <c r="R36" s="84" t="s">
        <v>27</v>
      </c>
      <c r="S36" s="83"/>
      <c r="T36" s="273" t="s">
        <v>18</v>
      </c>
      <c r="U36" s="83"/>
      <c r="V36" s="86" t="s">
        <v>32</v>
      </c>
      <c r="W36" s="83"/>
      <c r="X36" s="84" t="s">
        <v>27</v>
      </c>
      <c r="Y36" s="83"/>
      <c r="Z36" s="84" t="s">
        <v>27</v>
      </c>
      <c r="AA36" s="83"/>
      <c r="AB36" s="83"/>
      <c r="AC36" s="83"/>
      <c r="AD36" s="84" t="s">
        <v>27</v>
      </c>
      <c r="AE36" s="83"/>
      <c r="AF36" s="84" t="s">
        <v>27</v>
      </c>
      <c r="AG36" s="83"/>
      <c r="AH36" s="84" t="s">
        <v>27</v>
      </c>
      <c r="AI36" s="83"/>
      <c r="AJ36" s="84" t="s">
        <v>27</v>
      </c>
      <c r="AK36" s="83"/>
      <c r="AL36" s="24"/>
      <c r="AN36" s="211" t="str">
        <f t="shared" si="1"/>
        <v/>
      </c>
      <c r="AO36" s="60">
        <f t="shared" si="2"/>
        <v>2</v>
      </c>
      <c r="AP36" s="60">
        <f t="shared" si="3"/>
        <v>0</v>
      </c>
      <c r="AQ36" s="60">
        <f t="shared" si="4"/>
        <v>0</v>
      </c>
      <c r="AR36" s="60">
        <f t="shared" si="5"/>
        <v>0</v>
      </c>
      <c r="AS36" s="60">
        <f t="shared" si="6"/>
        <v>0</v>
      </c>
      <c r="AT36" s="221">
        <f t="shared" si="7"/>
        <v>0</v>
      </c>
      <c r="AU36" s="36"/>
    </row>
    <row r="37" ht="15.75" customHeight="1">
      <c r="A37" s="205" t="s">
        <v>33</v>
      </c>
      <c r="B37" s="206" t="s">
        <v>433</v>
      </c>
      <c r="C37" s="205">
        <v>9.6200093E7</v>
      </c>
      <c r="D37" s="320" t="s">
        <v>435</v>
      </c>
      <c r="E37" s="205" t="s">
        <v>303</v>
      </c>
      <c r="F37" s="322" t="s">
        <v>437</v>
      </c>
      <c r="G37" s="324"/>
      <c r="H37" s="327" t="s">
        <v>27</v>
      </c>
      <c r="I37" s="324"/>
      <c r="J37" s="327" t="s">
        <v>27</v>
      </c>
      <c r="K37" s="324"/>
      <c r="L37" s="327" t="s">
        <v>27</v>
      </c>
      <c r="M37" s="324"/>
      <c r="N37" s="324"/>
      <c r="O37" s="324"/>
      <c r="P37" s="327" t="s">
        <v>27</v>
      </c>
      <c r="Q37" s="324"/>
      <c r="R37" s="327" t="s">
        <v>27</v>
      </c>
      <c r="S37" s="324"/>
      <c r="T37" s="327" t="s">
        <v>27</v>
      </c>
      <c r="U37" s="324"/>
      <c r="V37" s="327" t="s">
        <v>27</v>
      </c>
      <c r="W37" s="324"/>
      <c r="X37" s="327" t="s">
        <v>27</v>
      </c>
      <c r="Y37" s="324"/>
      <c r="Z37" s="327" t="s">
        <v>27</v>
      </c>
      <c r="AA37" s="324"/>
      <c r="AB37" s="324"/>
      <c r="AC37" s="324"/>
      <c r="AD37" s="327" t="s">
        <v>27</v>
      </c>
      <c r="AE37" s="324"/>
      <c r="AF37" s="327" t="s">
        <v>27</v>
      </c>
      <c r="AG37" s="324"/>
      <c r="AH37" s="327" t="s">
        <v>27</v>
      </c>
      <c r="AI37" s="324"/>
      <c r="AJ37" s="91" t="s">
        <v>19</v>
      </c>
      <c r="AK37" s="324"/>
      <c r="AL37" s="24"/>
      <c r="AM37" s="211"/>
      <c r="AN37" s="211" t="str">
        <f t="shared" si="1"/>
        <v>NO CORRESPONDE FRANCO</v>
      </c>
      <c r="AO37" s="60">
        <f t="shared" si="2"/>
        <v>0</v>
      </c>
      <c r="AP37" s="60">
        <f t="shared" si="3"/>
        <v>1</v>
      </c>
      <c r="AQ37" s="60">
        <f t="shared" si="4"/>
        <v>0</v>
      </c>
      <c r="AR37" s="60">
        <f t="shared" si="5"/>
        <v>0</v>
      </c>
      <c r="AS37" s="60">
        <f t="shared" si="6"/>
        <v>0</v>
      </c>
      <c r="AT37" s="221">
        <f t="shared" si="7"/>
        <v>1</v>
      </c>
      <c r="AU37" s="36"/>
    </row>
    <row r="38" ht="15.75" customHeight="1">
      <c r="A38" s="190" t="s">
        <v>33</v>
      </c>
      <c r="B38" s="317" t="s">
        <v>441</v>
      </c>
      <c r="C38" s="182">
        <v>3.4514275E7</v>
      </c>
      <c r="D38" s="195" t="s">
        <v>442</v>
      </c>
      <c r="E38" s="93" t="s">
        <v>443</v>
      </c>
      <c r="F38" s="331" t="s">
        <v>444</v>
      </c>
      <c r="G38" s="332"/>
      <c r="H38" s="333"/>
      <c r="I38" s="332"/>
      <c r="J38" s="333"/>
      <c r="K38" s="332"/>
      <c r="L38" s="333"/>
      <c r="M38" s="332"/>
      <c r="N38" s="332"/>
      <c r="O38" s="332"/>
      <c r="P38" s="333"/>
      <c r="Q38" s="335"/>
      <c r="R38" s="336" t="s">
        <v>27</v>
      </c>
      <c r="S38" s="335"/>
      <c r="T38" s="336" t="s">
        <v>27</v>
      </c>
      <c r="U38" s="335"/>
      <c r="V38" s="86" t="s">
        <v>32</v>
      </c>
      <c r="W38" s="335"/>
      <c r="X38" s="336" t="s">
        <v>27</v>
      </c>
      <c r="Y38" s="335"/>
      <c r="Z38" s="336" t="s">
        <v>27</v>
      </c>
      <c r="AA38" s="335"/>
      <c r="AB38" s="335"/>
      <c r="AC38" s="335"/>
      <c r="AD38" s="336" t="s">
        <v>27</v>
      </c>
      <c r="AE38" s="335"/>
      <c r="AF38" s="336" t="s">
        <v>27</v>
      </c>
      <c r="AG38" s="335"/>
      <c r="AH38" s="336" t="s">
        <v>27</v>
      </c>
      <c r="AI38" s="335"/>
      <c r="AJ38" s="336" t="s">
        <v>27</v>
      </c>
      <c r="AK38" s="337"/>
      <c r="AL38" s="50"/>
      <c r="AM38" s="211"/>
      <c r="AN38" s="211" t="str">
        <f t="shared" si="1"/>
        <v/>
      </c>
      <c r="AO38" s="60"/>
      <c r="AP38" s="60"/>
      <c r="AQ38" s="60"/>
      <c r="AR38" s="60"/>
      <c r="AS38" s="60"/>
      <c r="AT38" s="221"/>
      <c r="AU38" s="36"/>
    </row>
    <row r="39" ht="15.75" customHeight="1">
      <c r="A39" s="76" t="s">
        <v>33</v>
      </c>
      <c r="B39" s="67" t="s">
        <v>389</v>
      </c>
      <c r="C39" s="76">
        <v>4.6936229E7</v>
      </c>
      <c r="D39" s="283" t="s">
        <v>392</v>
      </c>
      <c r="E39" s="273" t="s">
        <v>273</v>
      </c>
      <c r="F39" s="67" t="s">
        <v>390</v>
      </c>
      <c r="G39" s="332"/>
      <c r="H39" s="333"/>
      <c r="I39" s="332"/>
      <c r="J39" s="333"/>
      <c r="K39" s="332"/>
      <c r="L39" s="333"/>
      <c r="M39" s="332"/>
      <c r="N39" s="332"/>
      <c r="O39" s="332"/>
      <c r="P39" s="333"/>
      <c r="Q39" s="332"/>
      <c r="R39" s="333"/>
      <c r="S39" s="332"/>
      <c r="T39" s="333"/>
      <c r="U39" s="332"/>
      <c r="V39" s="131"/>
      <c r="W39" s="332"/>
      <c r="X39" s="333"/>
      <c r="Y39" s="332"/>
      <c r="Z39" s="333"/>
      <c r="AA39" s="332"/>
      <c r="AB39" s="332"/>
      <c r="AC39" s="332"/>
      <c r="AD39" s="333"/>
      <c r="AE39" s="332"/>
      <c r="AF39" s="336" t="s">
        <v>27</v>
      </c>
      <c r="AG39" s="342" t="s">
        <v>27</v>
      </c>
      <c r="AH39" s="336" t="s">
        <v>27</v>
      </c>
      <c r="AI39" s="335"/>
      <c r="AJ39" s="336" t="s">
        <v>27</v>
      </c>
      <c r="AK39" s="337"/>
      <c r="AL39" s="24"/>
      <c r="AM39" s="211"/>
      <c r="AN39" s="211" t="str">
        <f t="shared" si="1"/>
        <v/>
      </c>
      <c r="AO39" s="60"/>
      <c r="AP39" s="60"/>
      <c r="AQ39" s="60"/>
      <c r="AR39" s="60"/>
      <c r="AS39" s="60"/>
      <c r="AT39" s="221"/>
      <c r="AU39" s="36"/>
    </row>
    <row r="40" ht="15.75" customHeight="1">
      <c r="A40" s="347" t="s">
        <v>454</v>
      </c>
      <c r="B40" s="6"/>
      <c r="C40" s="6"/>
      <c r="D40" s="6"/>
      <c r="E40" s="6"/>
      <c r="F40" s="6"/>
      <c r="G40" s="6"/>
      <c r="H40" s="6"/>
      <c r="I40" s="6"/>
      <c r="J40" s="6"/>
      <c r="K40" s="6"/>
      <c r="L40" s="6"/>
      <c r="M40" s="6"/>
      <c r="N40" s="6"/>
      <c r="O40" s="6"/>
      <c r="P40" s="6"/>
      <c r="Q40" s="6"/>
      <c r="R40" s="6"/>
      <c r="S40" s="6"/>
      <c r="T40" s="6"/>
      <c r="U40" s="6"/>
      <c r="V40" s="6"/>
      <c r="W40" s="6"/>
      <c r="X40" s="6"/>
      <c r="Y40" s="6"/>
      <c r="Z40" s="6"/>
      <c r="AA40" s="6"/>
      <c r="AB40" s="6"/>
      <c r="AC40" s="6"/>
      <c r="AD40" s="6"/>
      <c r="AE40" s="6"/>
      <c r="AF40" s="6"/>
      <c r="AG40" s="6"/>
      <c r="AH40" s="6"/>
      <c r="AI40" s="6"/>
      <c r="AJ40" s="11"/>
      <c r="AK40" s="349"/>
      <c r="AL40" s="24"/>
    </row>
    <row r="41" ht="15.75" customHeight="1">
      <c r="A41" s="143" t="s">
        <v>153</v>
      </c>
      <c r="B41" s="350" t="s">
        <v>458</v>
      </c>
      <c r="C41" s="143">
        <v>57245.0</v>
      </c>
      <c r="D41" s="143" t="s">
        <v>461</v>
      </c>
      <c r="E41" s="143" t="s">
        <v>80</v>
      </c>
      <c r="F41" s="184" t="s">
        <v>463</v>
      </c>
      <c r="G41" s="351" t="s">
        <v>19</v>
      </c>
      <c r="H41" s="351" t="s">
        <v>19</v>
      </c>
      <c r="I41" s="351" t="s">
        <v>19</v>
      </c>
      <c r="J41" s="351" t="s">
        <v>19</v>
      </c>
      <c r="K41" s="351" t="s">
        <v>19</v>
      </c>
      <c r="L41" s="91" t="s">
        <v>19</v>
      </c>
      <c r="M41" s="91" t="s">
        <v>19</v>
      </c>
      <c r="N41" s="91" t="s">
        <v>19</v>
      </c>
      <c r="O41" s="91" t="s">
        <v>19</v>
      </c>
      <c r="P41" s="91" t="s">
        <v>19</v>
      </c>
      <c r="Q41" s="91" t="s">
        <v>19</v>
      </c>
      <c r="R41" s="91" t="s">
        <v>19</v>
      </c>
      <c r="S41" s="91" t="s">
        <v>19</v>
      </c>
      <c r="T41" s="91" t="s">
        <v>19</v>
      </c>
      <c r="U41" s="91" t="s">
        <v>19</v>
      </c>
      <c r="V41" s="91" t="s">
        <v>19</v>
      </c>
      <c r="W41" s="91" t="s">
        <v>19</v>
      </c>
      <c r="X41" s="91" t="s">
        <v>19</v>
      </c>
      <c r="Y41" s="91" t="s">
        <v>19</v>
      </c>
      <c r="Z41" s="91" t="s">
        <v>19</v>
      </c>
      <c r="AA41" s="91" t="s">
        <v>19</v>
      </c>
      <c r="AB41" s="91" t="s">
        <v>19</v>
      </c>
      <c r="AC41" s="91" t="s">
        <v>19</v>
      </c>
      <c r="AD41" s="91" t="s">
        <v>19</v>
      </c>
      <c r="AE41" s="91" t="s">
        <v>19</v>
      </c>
      <c r="AF41" s="91" t="s">
        <v>19</v>
      </c>
      <c r="AG41" s="91" t="s">
        <v>19</v>
      </c>
      <c r="AH41" s="91" t="s">
        <v>19</v>
      </c>
      <c r="AI41" s="91" t="s">
        <v>19</v>
      </c>
      <c r="AJ41" s="91" t="s">
        <v>19</v>
      </c>
      <c r="AK41" s="91" t="s">
        <v>19</v>
      </c>
      <c r="AL41" s="91" t="s">
        <v>19</v>
      </c>
    </row>
    <row r="42" ht="15.75" customHeight="1">
      <c r="A42" s="76" t="s">
        <v>162</v>
      </c>
      <c r="B42" s="251" t="s">
        <v>468</v>
      </c>
      <c r="C42" s="76">
        <v>29273.0</v>
      </c>
      <c r="D42" s="76" t="s">
        <v>470</v>
      </c>
      <c r="E42" s="76" t="s">
        <v>471</v>
      </c>
      <c r="F42" s="353" t="s">
        <v>472</v>
      </c>
      <c r="G42" s="83"/>
      <c r="H42" s="84" t="s">
        <v>27</v>
      </c>
      <c r="I42" s="83"/>
      <c r="J42" s="84" t="s">
        <v>27</v>
      </c>
      <c r="K42" s="83"/>
      <c r="L42" s="84" t="s">
        <v>27</v>
      </c>
      <c r="M42" s="83"/>
      <c r="N42" s="83"/>
      <c r="O42" s="83"/>
      <c r="P42" s="84" t="s">
        <v>27</v>
      </c>
      <c r="Q42" s="83"/>
      <c r="R42" s="84" t="s">
        <v>27</v>
      </c>
      <c r="S42" s="83"/>
      <c r="T42" s="84" t="s">
        <v>27</v>
      </c>
      <c r="U42" s="83"/>
      <c r="V42" s="84" t="s">
        <v>27</v>
      </c>
      <c r="W42" s="83"/>
      <c r="X42" s="84" t="s">
        <v>27</v>
      </c>
      <c r="Y42" s="83"/>
      <c r="Z42" s="84" t="s">
        <v>27</v>
      </c>
      <c r="AA42" s="83"/>
      <c r="AB42" s="83"/>
      <c r="AC42" s="83"/>
      <c r="AD42" s="84" t="s">
        <v>27</v>
      </c>
      <c r="AE42" s="83"/>
      <c r="AF42" s="84" t="s">
        <v>27</v>
      </c>
      <c r="AG42" s="83"/>
      <c r="AH42" s="84" t="s">
        <v>27</v>
      </c>
      <c r="AI42" s="83"/>
      <c r="AJ42" s="84" t="s">
        <v>27</v>
      </c>
      <c r="AK42" s="83"/>
      <c r="AL42" s="24"/>
      <c r="AN42" s="211" t="str">
        <f t="shared" ref="AN42:AN48" si="8">IFS(AO42&gt;3,"NO CORRESPONDE FRANCO",AT42&gt;0,"NO CORRESPONDE FRANCO",AT42=0,"")</f>
        <v/>
      </c>
    </row>
    <row r="43" ht="15.75" customHeight="1">
      <c r="A43" s="66" t="s">
        <v>33</v>
      </c>
      <c r="B43" s="251" t="s">
        <v>478</v>
      </c>
      <c r="C43" s="76">
        <v>4.1823505E7</v>
      </c>
      <c r="D43" s="76" t="s">
        <v>479</v>
      </c>
      <c r="E43" s="70" t="s">
        <v>303</v>
      </c>
      <c r="F43" s="81" t="s">
        <v>480</v>
      </c>
      <c r="G43" s="358"/>
      <c r="H43" s="359" t="s">
        <v>32</v>
      </c>
      <c r="I43" s="358"/>
      <c r="J43" s="362" t="s">
        <v>18</v>
      </c>
      <c r="K43" s="358"/>
      <c r="L43" s="362" t="s">
        <v>18</v>
      </c>
      <c r="M43" s="358"/>
      <c r="N43" s="358"/>
      <c r="O43" s="358"/>
      <c r="P43" s="362" t="s">
        <v>27</v>
      </c>
      <c r="Q43" s="358"/>
      <c r="R43" s="362" t="s">
        <v>18</v>
      </c>
      <c r="S43" s="358"/>
      <c r="T43" s="362" t="s">
        <v>18</v>
      </c>
      <c r="U43" s="358"/>
      <c r="V43" s="362" t="s">
        <v>27</v>
      </c>
      <c r="W43" s="358"/>
      <c r="X43" s="362" t="s">
        <v>18</v>
      </c>
      <c r="Y43" s="358"/>
      <c r="Z43" s="362" t="s">
        <v>27</v>
      </c>
      <c r="AA43" s="358"/>
      <c r="AB43" s="358"/>
      <c r="AC43" s="358"/>
      <c r="AD43" s="362" t="s">
        <v>18</v>
      </c>
      <c r="AE43" s="358"/>
      <c r="AF43" s="362" t="s">
        <v>18</v>
      </c>
      <c r="AG43" s="358"/>
      <c r="AH43" s="362" t="s">
        <v>27</v>
      </c>
      <c r="AI43" s="358"/>
      <c r="AJ43" s="362" t="s">
        <v>27</v>
      </c>
      <c r="AK43" s="358"/>
      <c r="AL43" s="24"/>
      <c r="AN43" s="211" t="str">
        <f t="shared" si="8"/>
        <v>NO CORRESPONDE FRANCO</v>
      </c>
      <c r="AO43" s="60">
        <f>COUNTIF($G43:$AK43,"LLT")</f>
        <v>7</v>
      </c>
      <c r="AP43" s="60">
        <f>COUNTIF($G43:$AK43,"LM")</f>
        <v>0</v>
      </c>
      <c r="AQ43" s="60">
        <f>COUNTIF($G43:$AK43,"FaC")</f>
        <v>0</v>
      </c>
      <c r="AR43" s="60">
        <f>COUNTIF($G43:$AK43,"LxE")</f>
        <v>0</v>
      </c>
      <c r="AS43" s="60">
        <f>COUNTIF($G43:$AK43,"LA")</f>
        <v>0</v>
      </c>
      <c r="AT43" s="221">
        <f>SUM(AP43:AS43)</f>
        <v>0</v>
      </c>
      <c r="AU43" s="36"/>
    </row>
    <row r="44" ht="15.75" customHeight="1">
      <c r="A44" s="369" t="s">
        <v>495</v>
      </c>
      <c r="B44" s="6"/>
      <c r="C44" s="6"/>
      <c r="D44" s="6"/>
      <c r="E44" s="6"/>
      <c r="F44" s="6"/>
      <c r="G44" s="6"/>
      <c r="H44" s="6"/>
      <c r="I44" s="6"/>
      <c r="J44" s="6"/>
      <c r="K44" s="6"/>
      <c r="L44" s="6"/>
      <c r="M44" s="6"/>
      <c r="N44" s="6"/>
      <c r="O44" s="6"/>
      <c r="P44" s="6"/>
      <c r="Q44" s="6"/>
      <c r="R44" s="6"/>
      <c r="S44" s="6"/>
      <c r="T44" s="6"/>
      <c r="U44" s="6"/>
      <c r="V44" s="6"/>
      <c r="W44" s="6"/>
      <c r="X44" s="6"/>
      <c r="Y44" s="6"/>
      <c r="Z44" s="6"/>
      <c r="AA44" s="6"/>
      <c r="AB44" s="6"/>
      <c r="AC44" s="6"/>
      <c r="AD44" s="6"/>
      <c r="AE44" s="6"/>
      <c r="AF44" s="6"/>
      <c r="AG44" s="6"/>
      <c r="AH44" s="11"/>
      <c r="AI44" s="370"/>
      <c r="AJ44" s="370"/>
      <c r="AK44" s="370"/>
      <c r="AL44" s="24"/>
      <c r="AN44" s="211" t="str">
        <f t="shared" si="8"/>
        <v/>
      </c>
    </row>
    <row r="45" ht="15.75" customHeight="1">
      <c r="A45" s="93" t="s">
        <v>505</v>
      </c>
      <c r="B45" s="94" t="s">
        <v>506</v>
      </c>
      <c r="C45" s="93">
        <v>1161.0</v>
      </c>
      <c r="D45" s="93" t="s">
        <v>507</v>
      </c>
      <c r="E45" s="93" t="s">
        <v>508</v>
      </c>
      <c r="F45" s="95" t="s">
        <v>509</v>
      </c>
      <c r="G45" s="83"/>
      <c r="H45" s="83"/>
      <c r="I45" s="84" t="s">
        <v>27</v>
      </c>
      <c r="J45" s="83"/>
      <c r="K45" s="84" t="s">
        <v>27</v>
      </c>
      <c r="L45" s="83"/>
      <c r="M45" s="84" t="s">
        <v>27</v>
      </c>
      <c r="N45" s="83"/>
      <c r="O45" s="83"/>
      <c r="P45" s="84" t="s">
        <v>27</v>
      </c>
      <c r="Q45" s="83"/>
      <c r="R45" s="84" t="s">
        <v>27</v>
      </c>
      <c r="S45" s="83"/>
      <c r="T45" s="84" t="s">
        <v>27</v>
      </c>
      <c r="U45" s="83"/>
      <c r="V45" s="83"/>
      <c r="W45" s="84" t="s">
        <v>27</v>
      </c>
      <c r="X45" s="83"/>
      <c r="Y45" s="84" t="s">
        <v>27</v>
      </c>
      <c r="Z45" s="83"/>
      <c r="AA45" s="84" t="s">
        <v>27</v>
      </c>
      <c r="AB45" s="83"/>
      <c r="AC45" s="83"/>
      <c r="AD45" s="84" t="s">
        <v>27</v>
      </c>
      <c r="AE45" s="83"/>
      <c r="AF45" s="86" t="s">
        <v>32</v>
      </c>
      <c r="AG45" s="84" t="s">
        <v>27</v>
      </c>
      <c r="AH45" s="135" t="s">
        <v>79</v>
      </c>
      <c r="AI45" s="83"/>
      <c r="AJ45" s="83"/>
      <c r="AK45" s="84" t="s">
        <v>27</v>
      </c>
      <c r="AL45" s="24"/>
      <c r="AN45" s="211" t="str">
        <f t="shared" si="8"/>
        <v/>
      </c>
      <c r="AO45" s="60">
        <f t="shared" ref="AO45:AO46" si="9">COUNTIF($G45:$AK45,"LLT")</f>
        <v>0</v>
      </c>
      <c r="AP45" s="60">
        <f t="shared" ref="AP45:AP46" si="10">COUNTIF($G45:$AK45,"LM")</f>
        <v>0</v>
      </c>
      <c r="AQ45" s="60">
        <f t="shared" ref="AQ45:AQ46" si="11">COUNTIF($G45:$AK45,"FaC")</f>
        <v>0</v>
      </c>
      <c r="AR45" s="60">
        <f t="shared" ref="AR45:AR46" si="12">COUNTIF($G45:$AK45,"LxE")</f>
        <v>0</v>
      </c>
      <c r="AS45" s="60">
        <f t="shared" ref="AS45:AS46" si="13">COUNTIF($G45:$AK45,"LA")</f>
        <v>0</v>
      </c>
      <c r="AT45" s="221">
        <f t="shared" ref="AT45:AT46" si="14">SUM(AP45:AS45)</f>
        <v>0</v>
      </c>
      <c r="AU45" s="36"/>
    </row>
    <row r="46" ht="15.75" customHeight="1">
      <c r="A46" s="93" t="s">
        <v>33</v>
      </c>
      <c r="B46" s="350" t="s">
        <v>527</v>
      </c>
      <c r="C46" s="374">
        <v>3.1559785E7</v>
      </c>
      <c r="D46" s="93" t="s">
        <v>532</v>
      </c>
      <c r="E46" s="66" t="s">
        <v>533</v>
      </c>
      <c r="F46" s="95" t="s">
        <v>534</v>
      </c>
      <c r="G46" s="83"/>
      <c r="H46" s="84" t="s">
        <v>27</v>
      </c>
      <c r="I46" s="83"/>
      <c r="J46" s="84" t="s">
        <v>27</v>
      </c>
      <c r="K46" s="83"/>
      <c r="L46" s="84" t="s">
        <v>27</v>
      </c>
      <c r="M46" s="83"/>
      <c r="N46" s="83"/>
      <c r="O46" s="83"/>
      <c r="P46" s="86" t="s">
        <v>32</v>
      </c>
      <c r="Q46" s="83"/>
      <c r="R46" s="84" t="s">
        <v>27</v>
      </c>
      <c r="S46" s="83"/>
      <c r="T46" s="84" t="s">
        <v>27</v>
      </c>
      <c r="U46" s="83"/>
      <c r="V46" s="84" t="s">
        <v>27</v>
      </c>
      <c r="W46" s="83"/>
      <c r="X46" s="84" t="s">
        <v>27</v>
      </c>
      <c r="Y46" s="83"/>
      <c r="Z46" s="84" t="s">
        <v>27</v>
      </c>
      <c r="AA46" s="83"/>
      <c r="AB46" s="83"/>
      <c r="AC46" s="83"/>
      <c r="AD46" s="86" t="s">
        <v>32</v>
      </c>
      <c r="AE46" s="83"/>
      <c r="AF46" s="84" t="s">
        <v>27</v>
      </c>
      <c r="AG46" s="83"/>
      <c r="AH46" s="84" t="s">
        <v>27</v>
      </c>
      <c r="AI46" s="83"/>
      <c r="AJ46" s="84" t="s">
        <v>27</v>
      </c>
      <c r="AK46" s="83"/>
      <c r="AL46" s="24"/>
      <c r="AN46" s="211" t="str">
        <f t="shared" si="8"/>
        <v/>
      </c>
      <c r="AO46" s="60">
        <f t="shared" si="9"/>
        <v>0</v>
      </c>
      <c r="AP46" s="60">
        <f t="shared" si="10"/>
        <v>0</v>
      </c>
      <c r="AQ46" s="60">
        <f t="shared" si="11"/>
        <v>0</v>
      </c>
      <c r="AR46" s="60">
        <f t="shared" si="12"/>
        <v>0</v>
      </c>
      <c r="AS46" s="60">
        <f t="shared" si="13"/>
        <v>0</v>
      </c>
      <c r="AT46" s="221">
        <f t="shared" si="14"/>
        <v>0</v>
      </c>
      <c r="AU46" s="36"/>
    </row>
    <row r="47" ht="15.75" customHeight="1">
      <c r="A47" s="378" t="s">
        <v>541</v>
      </c>
      <c r="B47" s="6"/>
      <c r="C47" s="6"/>
      <c r="D47" s="6"/>
      <c r="E47" s="6"/>
      <c r="F47" s="6"/>
      <c r="G47" s="6"/>
      <c r="H47" s="6"/>
      <c r="I47" s="6"/>
      <c r="J47" s="6"/>
      <c r="K47" s="6"/>
      <c r="L47" s="6"/>
      <c r="M47" s="6"/>
      <c r="N47" s="6"/>
      <c r="O47" s="6"/>
      <c r="P47" s="6"/>
      <c r="Q47" s="6"/>
      <c r="R47" s="6"/>
      <c r="S47" s="6"/>
      <c r="T47" s="6"/>
      <c r="U47" s="6"/>
      <c r="V47" s="6"/>
      <c r="W47" s="6"/>
      <c r="X47" s="6"/>
      <c r="Y47" s="6"/>
      <c r="Z47" s="6"/>
      <c r="AA47" s="6"/>
      <c r="AB47" s="6"/>
      <c r="AC47" s="6"/>
      <c r="AD47" s="6"/>
      <c r="AE47" s="6"/>
      <c r="AF47" s="6"/>
      <c r="AG47" s="6"/>
      <c r="AH47" s="11"/>
      <c r="AI47" s="380"/>
      <c r="AJ47" s="380"/>
      <c r="AK47" s="380"/>
      <c r="AL47" s="140"/>
      <c r="AM47" s="36"/>
      <c r="AN47" s="211" t="str">
        <f t="shared" si="8"/>
        <v/>
      </c>
      <c r="AO47" s="36"/>
      <c r="AP47" s="36"/>
      <c r="AQ47" s="36"/>
      <c r="AR47" s="36"/>
      <c r="AS47" s="36"/>
      <c r="AT47" s="36"/>
      <c r="AU47" s="36"/>
    </row>
    <row r="48" ht="15.75" customHeight="1">
      <c r="A48" s="93" t="s">
        <v>33</v>
      </c>
      <c r="B48" s="350" t="s">
        <v>547</v>
      </c>
      <c r="C48" s="374">
        <v>4.54176E7</v>
      </c>
      <c r="D48" s="93" t="s">
        <v>548</v>
      </c>
      <c r="E48" s="66" t="s">
        <v>549</v>
      </c>
      <c r="F48" s="95" t="s">
        <v>550</v>
      </c>
      <c r="G48" s="83"/>
      <c r="H48" s="84" t="s">
        <v>18</v>
      </c>
      <c r="I48" s="83"/>
      <c r="J48" s="84" t="s">
        <v>27</v>
      </c>
      <c r="K48" s="83"/>
      <c r="L48" s="84" t="s">
        <v>18</v>
      </c>
      <c r="M48" s="83"/>
      <c r="N48" s="83"/>
      <c r="O48" s="83"/>
      <c r="P48" s="84" t="s">
        <v>27</v>
      </c>
      <c r="Q48" s="83"/>
      <c r="R48" s="84" t="s">
        <v>27</v>
      </c>
      <c r="S48" s="83"/>
      <c r="T48" s="84" t="s">
        <v>27</v>
      </c>
      <c r="U48" s="83"/>
      <c r="V48" s="84" t="s">
        <v>18</v>
      </c>
      <c r="W48" s="83"/>
      <c r="X48" s="84" t="s">
        <v>27</v>
      </c>
      <c r="Y48" s="83"/>
      <c r="Z48" s="136"/>
      <c r="AA48" s="83"/>
      <c r="AB48" s="83"/>
      <c r="AC48" s="83"/>
      <c r="AD48" s="84" t="s">
        <v>18</v>
      </c>
      <c r="AE48" s="83"/>
      <c r="AF48" s="84" t="s">
        <v>27</v>
      </c>
      <c r="AG48" s="83"/>
      <c r="AH48" s="84" t="s">
        <v>27</v>
      </c>
      <c r="AI48" s="83"/>
      <c r="AJ48" s="84" t="s">
        <v>27</v>
      </c>
      <c r="AK48" s="83"/>
      <c r="AL48" s="24"/>
      <c r="AN48" s="211" t="str">
        <f t="shared" si="8"/>
        <v>NO CORRESPONDE FRANCO</v>
      </c>
      <c r="AO48" s="60">
        <f>COUNTIF($G48:$AK48,"LLT")</f>
        <v>4</v>
      </c>
      <c r="AP48" s="60">
        <f>COUNTIF($G48:$AK48,"LM")</f>
        <v>0</v>
      </c>
      <c r="AQ48" s="60">
        <f>COUNTIF($G48:$AK48,"FaC")</f>
        <v>0</v>
      </c>
      <c r="AR48" s="60">
        <f>COUNTIF($G48:$AK48,"LxE")</f>
        <v>0</v>
      </c>
      <c r="AS48" s="60">
        <f>COUNTIF($G48:$AK48,"LA")</f>
        <v>0</v>
      </c>
      <c r="AT48" s="221">
        <f>SUM(AP48:AS48)</f>
        <v>0</v>
      </c>
      <c r="AU48" s="36"/>
    </row>
    <row r="49" ht="15.75" customHeight="1">
      <c r="A49" s="65" t="s">
        <v>562</v>
      </c>
      <c r="B49" s="6"/>
      <c r="C49" s="6"/>
      <c r="D49" s="6"/>
      <c r="E49" s="6"/>
      <c r="F49" s="11"/>
      <c r="G49" s="9">
        <v>1.0</v>
      </c>
      <c r="H49" s="9">
        <v>2.0</v>
      </c>
      <c r="I49" s="9">
        <v>3.0</v>
      </c>
      <c r="J49" s="9">
        <v>4.0</v>
      </c>
      <c r="K49" s="9">
        <v>5.0</v>
      </c>
      <c r="L49" s="9">
        <v>6.0</v>
      </c>
      <c r="M49" s="9">
        <v>7.0</v>
      </c>
      <c r="N49" s="9">
        <v>8.0</v>
      </c>
      <c r="O49" s="9">
        <v>9.0</v>
      </c>
      <c r="P49" s="9">
        <v>10.0</v>
      </c>
      <c r="Q49" s="9">
        <v>11.0</v>
      </c>
      <c r="R49" s="9">
        <v>12.0</v>
      </c>
      <c r="S49" s="9">
        <v>13.0</v>
      </c>
      <c r="T49" s="9">
        <v>14.0</v>
      </c>
      <c r="U49" s="9">
        <v>15.0</v>
      </c>
      <c r="V49" s="9">
        <v>16.0</v>
      </c>
      <c r="W49" s="9">
        <v>17.0</v>
      </c>
      <c r="X49" s="9">
        <v>18.0</v>
      </c>
      <c r="Y49" s="9">
        <v>19.0</v>
      </c>
      <c r="Z49" s="9">
        <v>20.0</v>
      </c>
      <c r="AA49" s="9">
        <v>21.0</v>
      </c>
      <c r="AB49" s="9">
        <v>22.0</v>
      </c>
      <c r="AC49" s="9">
        <v>23.0</v>
      </c>
      <c r="AD49" s="9">
        <v>24.0</v>
      </c>
      <c r="AE49" s="9">
        <v>25.0</v>
      </c>
      <c r="AF49" s="9">
        <v>26.0</v>
      </c>
      <c r="AG49" s="9">
        <v>27.0</v>
      </c>
      <c r="AH49" s="9">
        <v>28.0</v>
      </c>
      <c r="AI49" s="9">
        <v>29.0</v>
      </c>
      <c r="AJ49" s="9">
        <v>30.0</v>
      </c>
      <c r="AK49" s="9">
        <v>31.0</v>
      </c>
      <c r="AL49" s="24"/>
    </row>
    <row r="50" ht="15.75" customHeight="1">
      <c r="A50" s="384" t="s">
        <v>4</v>
      </c>
      <c r="B50" s="386" t="s">
        <v>5</v>
      </c>
      <c r="C50" s="389" t="s">
        <v>6</v>
      </c>
      <c r="D50" s="389" t="s">
        <v>8</v>
      </c>
      <c r="E50" s="390" t="s">
        <v>30</v>
      </c>
      <c r="F50" s="386" t="s">
        <v>7</v>
      </c>
      <c r="G50" s="9" t="s">
        <v>9</v>
      </c>
      <c r="H50" s="9" t="s">
        <v>10</v>
      </c>
      <c r="I50" s="9" t="s">
        <v>11</v>
      </c>
      <c r="J50" s="9" t="s">
        <v>12</v>
      </c>
      <c r="K50" s="9" t="s">
        <v>12</v>
      </c>
      <c r="L50" s="9" t="s">
        <v>13</v>
      </c>
      <c r="M50" s="9" t="s">
        <v>15</v>
      </c>
      <c r="N50" s="9" t="s">
        <v>9</v>
      </c>
      <c r="O50" s="9" t="s">
        <v>10</v>
      </c>
      <c r="P50" s="9" t="s">
        <v>11</v>
      </c>
      <c r="Q50" s="9" t="s">
        <v>12</v>
      </c>
      <c r="R50" s="9" t="s">
        <v>12</v>
      </c>
      <c r="S50" s="9" t="s">
        <v>13</v>
      </c>
      <c r="T50" s="9" t="s">
        <v>15</v>
      </c>
      <c r="U50" s="9" t="s">
        <v>9</v>
      </c>
      <c r="V50" s="9" t="s">
        <v>10</v>
      </c>
      <c r="W50" s="9" t="s">
        <v>11</v>
      </c>
      <c r="X50" s="9" t="s">
        <v>12</v>
      </c>
      <c r="Y50" s="9" t="s">
        <v>12</v>
      </c>
      <c r="Z50" s="9" t="s">
        <v>13</v>
      </c>
      <c r="AA50" s="9" t="s">
        <v>15</v>
      </c>
      <c r="AB50" s="9" t="s">
        <v>9</v>
      </c>
      <c r="AC50" s="9" t="s">
        <v>10</v>
      </c>
      <c r="AD50" s="9" t="s">
        <v>11</v>
      </c>
      <c r="AE50" s="9" t="s">
        <v>12</v>
      </c>
      <c r="AF50" s="9" t="s">
        <v>12</v>
      </c>
      <c r="AG50" s="9" t="s">
        <v>13</v>
      </c>
      <c r="AH50" s="13" t="s">
        <v>15</v>
      </c>
      <c r="AI50" s="9" t="s">
        <v>9</v>
      </c>
      <c r="AJ50" s="9" t="s">
        <v>10</v>
      </c>
      <c r="AK50" s="9" t="s">
        <v>11</v>
      </c>
      <c r="AL50" s="24"/>
    </row>
    <row r="51" ht="15.75" customHeight="1">
      <c r="A51" s="143" t="s">
        <v>162</v>
      </c>
      <c r="B51" s="350" t="s">
        <v>593</v>
      </c>
      <c r="C51" s="395">
        <v>37722.0</v>
      </c>
      <c r="D51" s="143" t="s">
        <v>594</v>
      </c>
      <c r="E51" s="143" t="s">
        <v>595</v>
      </c>
      <c r="F51" s="95" t="s">
        <v>596</v>
      </c>
      <c r="G51" s="83"/>
      <c r="H51" s="83"/>
      <c r="I51" s="144" t="s">
        <v>27</v>
      </c>
      <c r="J51" s="144" t="s">
        <v>27</v>
      </c>
      <c r="K51" s="144" t="s">
        <v>27</v>
      </c>
      <c r="L51" s="144" t="s">
        <v>27</v>
      </c>
      <c r="M51" s="86" t="s">
        <v>32</v>
      </c>
      <c r="N51" s="83"/>
      <c r="O51" s="83"/>
      <c r="P51" s="144" t="s">
        <v>18</v>
      </c>
      <c r="Q51" s="144" t="s">
        <v>27</v>
      </c>
      <c r="R51" s="144" t="s">
        <v>27</v>
      </c>
      <c r="S51" s="396" t="s">
        <v>597</v>
      </c>
      <c r="T51" s="144" t="s">
        <v>27</v>
      </c>
      <c r="U51" s="83"/>
      <c r="V51" s="83"/>
      <c r="W51" s="83"/>
      <c r="X51" s="144" t="s">
        <v>27</v>
      </c>
      <c r="Y51" s="76"/>
      <c r="Z51" s="144" t="s">
        <v>18</v>
      </c>
      <c r="AA51" s="144" t="s">
        <v>27</v>
      </c>
      <c r="AB51" s="83"/>
      <c r="AC51" s="83"/>
      <c r="AD51" s="144" t="s">
        <v>18</v>
      </c>
      <c r="AE51" s="144" t="s">
        <v>120</v>
      </c>
      <c r="AF51" s="144" t="s">
        <v>27</v>
      </c>
      <c r="AG51" s="144" t="s">
        <v>27</v>
      </c>
      <c r="AH51" s="144" t="s">
        <v>27</v>
      </c>
      <c r="AI51" s="83"/>
      <c r="AJ51" s="83"/>
      <c r="AK51" s="144" t="s">
        <v>27</v>
      </c>
      <c r="AL51" s="24"/>
    </row>
    <row r="52" ht="15.75" customHeight="1">
      <c r="A52" s="66" t="s">
        <v>59</v>
      </c>
      <c r="B52" s="78" t="s">
        <v>77</v>
      </c>
      <c r="C52" s="66">
        <v>6850.0</v>
      </c>
      <c r="D52" s="108">
        <v>1.127544762E9</v>
      </c>
      <c r="E52" s="111" t="s">
        <v>80</v>
      </c>
      <c r="F52" s="117" t="s">
        <v>84</v>
      </c>
      <c r="G52" s="398"/>
      <c r="AK52" s="144" t="s">
        <v>27</v>
      </c>
      <c r="AL52" s="24"/>
    </row>
    <row r="53" ht="15.75" customHeight="1">
      <c r="B53" s="399"/>
      <c r="F53" s="399"/>
      <c r="G53" s="24"/>
      <c r="I53" s="24"/>
      <c r="O53" s="24"/>
      <c r="Q53" s="24"/>
      <c r="R53" s="24"/>
      <c r="U53" s="24"/>
      <c r="X53" s="50" t="s">
        <v>245</v>
      </c>
      <c r="Z53" s="24"/>
      <c r="AJ53" s="24"/>
      <c r="AK53" s="24"/>
      <c r="AL53" s="24"/>
    </row>
    <row r="54" ht="15.75" customHeight="1">
      <c r="A54" s="65" t="s">
        <v>607</v>
      </c>
      <c r="B54" s="6"/>
      <c r="C54" s="6"/>
      <c r="D54" s="6"/>
      <c r="E54" s="6"/>
      <c r="F54" s="6"/>
      <c r="G54" s="6"/>
      <c r="H54" s="6"/>
      <c r="I54" s="6"/>
      <c r="J54" s="6"/>
      <c r="K54" s="6"/>
      <c r="L54" s="6"/>
      <c r="M54" s="6"/>
      <c r="N54" s="6"/>
      <c r="O54" s="6"/>
      <c r="P54" s="6"/>
      <c r="Q54" s="6"/>
      <c r="R54" s="6"/>
      <c r="S54" s="6"/>
      <c r="T54" s="6"/>
      <c r="U54" s="6"/>
      <c r="V54" s="6"/>
      <c r="W54" s="6"/>
      <c r="X54" s="6"/>
      <c r="Y54" s="6"/>
      <c r="Z54" s="6"/>
      <c r="AA54" s="6"/>
      <c r="AB54" s="6"/>
      <c r="AC54" s="6"/>
      <c r="AD54" s="6"/>
      <c r="AE54" s="6"/>
      <c r="AF54" s="6"/>
      <c r="AG54" s="6"/>
      <c r="AH54" s="6"/>
      <c r="AI54" s="6"/>
      <c r="AJ54" s="6"/>
      <c r="AK54" s="11"/>
      <c r="AL54" s="24"/>
    </row>
    <row r="55" ht="15.75" customHeight="1">
      <c r="A55" s="404" t="s">
        <v>611</v>
      </c>
      <c r="B55" s="6"/>
      <c r="C55" s="6"/>
      <c r="D55" s="6"/>
      <c r="E55" s="6"/>
      <c r="F55" s="11"/>
      <c r="G55" s="9">
        <v>1.0</v>
      </c>
      <c r="H55" s="9">
        <v>2.0</v>
      </c>
      <c r="I55" s="9">
        <v>3.0</v>
      </c>
      <c r="J55" s="9">
        <v>4.0</v>
      </c>
      <c r="K55" s="9">
        <v>5.0</v>
      </c>
      <c r="L55" s="9">
        <v>6.0</v>
      </c>
      <c r="M55" s="9">
        <v>7.0</v>
      </c>
      <c r="N55" s="9">
        <v>8.0</v>
      </c>
      <c r="O55" s="9">
        <v>9.0</v>
      </c>
      <c r="P55" s="9">
        <v>10.0</v>
      </c>
      <c r="Q55" s="9">
        <v>11.0</v>
      </c>
      <c r="R55" s="9">
        <v>12.0</v>
      </c>
      <c r="S55" s="9">
        <v>13.0</v>
      </c>
      <c r="T55" s="9">
        <v>14.0</v>
      </c>
      <c r="U55" s="9">
        <v>15.0</v>
      </c>
      <c r="V55" s="9">
        <v>16.0</v>
      </c>
      <c r="W55" s="9">
        <v>17.0</v>
      </c>
      <c r="X55" s="9">
        <v>18.0</v>
      </c>
      <c r="Y55" s="9">
        <v>19.0</v>
      </c>
      <c r="Z55" s="9">
        <v>20.0</v>
      </c>
      <c r="AA55" s="9">
        <v>21.0</v>
      </c>
      <c r="AB55" s="9">
        <v>22.0</v>
      </c>
      <c r="AC55" s="9">
        <v>23.0</v>
      </c>
      <c r="AD55" s="9">
        <v>24.0</v>
      </c>
      <c r="AE55" s="9">
        <v>25.0</v>
      </c>
      <c r="AF55" s="9">
        <v>26.0</v>
      </c>
      <c r="AG55" s="9">
        <v>27.0</v>
      </c>
      <c r="AH55" s="9">
        <v>28.0</v>
      </c>
      <c r="AI55" s="9">
        <v>29.0</v>
      </c>
      <c r="AJ55" s="9">
        <v>30.0</v>
      </c>
      <c r="AK55" s="9">
        <v>31.0</v>
      </c>
      <c r="AL55" s="24"/>
    </row>
    <row r="56" ht="15.75" customHeight="1">
      <c r="A56" s="390" t="s">
        <v>4</v>
      </c>
      <c r="B56" s="408" t="s">
        <v>5</v>
      </c>
      <c r="C56" s="390" t="s">
        <v>6</v>
      </c>
      <c r="D56" s="390" t="s">
        <v>8</v>
      </c>
      <c r="E56" s="390" t="s">
        <v>30</v>
      </c>
      <c r="F56" s="408" t="s">
        <v>7</v>
      </c>
      <c r="G56" s="9" t="s">
        <v>9</v>
      </c>
      <c r="H56" s="9" t="s">
        <v>10</v>
      </c>
      <c r="I56" s="9" t="s">
        <v>11</v>
      </c>
      <c r="J56" s="9" t="s">
        <v>12</v>
      </c>
      <c r="K56" s="9" t="s">
        <v>12</v>
      </c>
      <c r="L56" s="9" t="s">
        <v>13</v>
      </c>
      <c r="M56" s="9" t="s">
        <v>15</v>
      </c>
      <c r="N56" s="9" t="s">
        <v>9</v>
      </c>
      <c r="O56" s="9" t="s">
        <v>10</v>
      </c>
      <c r="P56" s="9" t="s">
        <v>11</v>
      </c>
      <c r="Q56" s="9" t="s">
        <v>12</v>
      </c>
      <c r="R56" s="9" t="s">
        <v>12</v>
      </c>
      <c r="S56" s="9" t="s">
        <v>13</v>
      </c>
      <c r="T56" s="9" t="s">
        <v>15</v>
      </c>
      <c r="U56" s="9" t="s">
        <v>9</v>
      </c>
      <c r="V56" s="9" t="s">
        <v>10</v>
      </c>
      <c r="W56" s="9" t="s">
        <v>11</v>
      </c>
      <c r="X56" s="9" t="s">
        <v>12</v>
      </c>
      <c r="Y56" s="9" t="s">
        <v>12</v>
      </c>
      <c r="Z56" s="9" t="s">
        <v>13</v>
      </c>
      <c r="AA56" s="9" t="s">
        <v>15</v>
      </c>
      <c r="AB56" s="9" t="s">
        <v>9</v>
      </c>
      <c r="AC56" s="9" t="s">
        <v>10</v>
      </c>
      <c r="AD56" s="9" t="s">
        <v>11</v>
      </c>
      <c r="AE56" s="9" t="s">
        <v>12</v>
      </c>
      <c r="AF56" s="9" t="s">
        <v>12</v>
      </c>
      <c r="AG56" s="9" t="s">
        <v>13</v>
      </c>
      <c r="AH56" s="13" t="s">
        <v>15</v>
      </c>
      <c r="AI56" s="9" t="s">
        <v>9</v>
      </c>
      <c r="AJ56" s="9" t="s">
        <v>10</v>
      </c>
      <c r="AK56" s="9" t="s">
        <v>11</v>
      </c>
      <c r="AL56" s="24"/>
    </row>
    <row r="57" ht="15.75" customHeight="1">
      <c r="A57" s="65" t="s">
        <v>35</v>
      </c>
      <c r="B57" s="6"/>
      <c r="C57" s="6"/>
      <c r="D57" s="6"/>
      <c r="E57" s="6"/>
      <c r="F57" s="6"/>
      <c r="G57" s="6"/>
      <c r="H57" s="6"/>
      <c r="I57" s="6"/>
      <c r="J57" s="6"/>
      <c r="K57" s="6"/>
      <c r="L57" s="6"/>
      <c r="M57" s="6"/>
      <c r="N57" s="6"/>
      <c r="O57" s="6"/>
      <c r="P57" s="6"/>
      <c r="Q57" s="6"/>
      <c r="R57" s="6"/>
      <c r="S57" s="6"/>
      <c r="T57" s="6"/>
      <c r="U57" s="6"/>
      <c r="V57" s="6"/>
      <c r="W57" s="6"/>
      <c r="X57" s="6"/>
      <c r="Y57" s="6"/>
      <c r="Z57" s="6"/>
      <c r="AA57" s="6"/>
      <c r="AB57" s="6"/>
      <c r="AC57" s="6"/>
      <c r="AD57" s="6"/>
      <c r="AE57" s="6"/>
      <c r="AF57" s="6"/>
      <c r="AG57" s="6"/>
      <c r="AH57" s="6"/>
      <c r="AI57" s="6"/>
      <c r="AJ57" s="6"/>
      <c r="AK57" s="11"/>
      <c r="AL57" s="24"/>
    </row>
    <row r="58" ht="15.75" customHeight="1">
      <c r="A58" s="115" t="s">
        <v>505</v>
      </c>
      <c r="B58" s="412" t="s">
        <v>631</v>
      </c>
      <c r="C58" s="66">
        <v>4603.0</v>
      </c>
      <c r="D58" s="66" t="s">
        <v>632</v>
      </c>
      <c r="E58" s="100" t="s">
        <v>633</v>
      </c>
      <c r="F58" s="223" t="s">
        <v>634</v>
      </c>
      <c r="G58" s="83"/>
      <c r="H58" s="83"/>
      <c r="I58" s="84" t="s">
        <v>27</v>
      </c>
      <c r="J58" s="83"/>
      <c r="K58" s="84" t="s">
        <v>27</v>
      </c>
      <c r="L58" s="83"/>
      <c r="M58" s="172" t="s">
        <v>27</v>
      </c>
      <c r="N58" s="83"/>
      <c r="O58" s="84" t="s">
        <v>27</v>
      </c>
      <c r="P58" s="83"/>
      <c r="Q58" s="84" t="s">
        <v>27</v>
      </c>
      <c r="R58" s="83"/>
      <c r="S58" s="84" t="s">
        <v>27</v>
      </c>
      <c r="T58" s="83"/>
      <c r="U58" s="83"/>
      <c r="V58" s="83"/>
      <c r="W58" s="84" t="s">
        <v>27</v>
      </c>
      <c r="X58" s="83"/>
      <c r="Y58" s="84" t="s">
        <v>27</v>
      </c>
      <c r="Z58" s="83"/>
      <c r="AA58" s="172" t="s">
        <v>27</v>
      </c>
      <c r="AB58" s="83"/>
      <c r="AC58" s="84" t="s">
        <v>27</v>
      </c>
      <c r="AD58" s="83"/>
      <c r="AE58" s="84" t="s">
        <v>120</v>
      </c>
      <c r="AF58" s="83"/>
      <c r="AG58" s="84" t="s">
        <v>27</v>
      </c>
      <c r="AH58" s="83"/>
      <c r="AI58" s="83"/>
      <c r="AJ58" s="83"/>
      <c r="AK58" s="84" t="s">
        <v>27</v>
      </c>
      <c r="AL58" s="24"/>
    </row>
    <row r="59" ht="15.75" customHeight="1">
      <c r="A59" s="65" t="s">
        <v>52</v>
      </c>
      <c r="B59" s="6"/>
      <c r="C59" s="6"/>
      <c r="D59" s="6"/>
      <c r="E59" s="6"/>
      <c r="F59" s="6"/>
      <c r="G59" s="6"/>
      <c r="H59" s="6"/>
      <c r="I59" s="6"/>
      <c r="J59" s="6"/>
      <c r="K59" s="6"/>
      <c r="L59" s="6"/>
      <c r="M59" s="6"/>
      <c r="N59" s="6"/>
      <c r="O59" s="6"/>
      <c r="P59" s="6"/>
      <c r="Q59" s="6"/>
      <c r="R59" s="6"/>
      <c r="S59" s="6"/>
      <c r="T59" s="6"/>
      <c r="U59" s="6"/>
      <c r="V59" s="6"/>
      <c r="W59" s="6"/>
      <c r="X59" s="6"/>
      <c r="Y59" s="6"/>
      <c r="Z59" s="6"/>
      <c r="AA59" s="6"/>
      <c r="AB59" s="6"/>
      <c r="AC59" s="6"/>
      <c r="AD59" s="6"/>
      <c r="AE59" s="6"/>
      <c r="AF59" s="6"/>
      <c r="AG59" s="6"/>
      <c r="AH59" s="6"/>
      <c r="AI59" s="6"/>
      <c r="AJ59" s="6"/>
      <c r="AK59" s="11"/>
      <c r="AL59" s="24"/>
    </row>
    <row r="60" ht="15.75" customHeight="1">
      <c r="A60" s="76" t="s">
        <v>43</v>
      </c>
      <c r="B60" s="412" t="s">
        <v>641</v>
      </c>
      <c r="C60" s="40">
        <v>3740.0</v>
      </c>
      <c r="D60" s="40" t="s">
        <v>642</v>
      </c>
      <c r="E60" s="40" t="s">
        <v>80</v>
      </c>
      <c r="F60" s="418" t="s">
        <v>643</v>
      </c>
      <c r="G60" s="83"/>
      <c r="H60" s="83"/>
      <c r="I60" s="84" t="s">
        <v>27</v>
      </c>
      <c r="J60" s="83"/>
      <c r="K60" s="84" t="s">
        <v>27</v>
      </c>
      <c r="L60" s="83"/>
      <c r="M60" s="121" t="s">
        <v>648</v>
      </c>
      <c r="N60" s="6"/>
      <c r="O60" s="6"/>
      <c r="P60" s="6"/>
      <c r="Q60" s="6"/>
      <c r="R60" s="6"/>
      <c r="S60" s="6"/>
      <c r="T60" s="6"/>
      <c r="U60" s="6"/>
      <c r="V60" s="6"/>
      <c r="W60" s="6"/>
      <c r="X60" s="6"/>
      <c r="Y60" s="6"/>
      <c r="Z60" s="6"/>
      <c r="AA60" s="11"/>
      <c r="AB60" s="83"/>
      <c r="AC60" s="86" t="s">
        <v>651</v>
      </c>
      <c r="AD60" s="172" t="s">
        <v>27</v>
      </c>
      <c r="AE60" s="84" t="s">
        <v>27</v>
      </c>
      <c r="AF60" s="84" t="s">
        <v>27</v>
      </c>
      <c r="AG60" s="421" t="s">
        <v>22</v>
      </c>
      <c r="AH60" s="421" t="s">
        <v>22</v>
      </c>
      <c r="AI60" s="421" t="s">
        <v>22</v>
      </c>
      <c r="AJ60" s="421" t="s">
        <v>22</v>
      </c>
      <c r="AK60" s="421" t="s">
        <v>22</v>
      </c>
      <c r="AL60" s="99">
        <v>46274.0</v>
      </c>
    </row>
    <row r="61" ht="15.75" customHeight="1">
      <c r="A61" s="66" t="s">
        <v>43</v>
      </c>
      <c r="B61" s="423" t="s">
        <v>653</v>
      </c>
      <c r="C61" s="40">
        <v>2597.0</v>
      </c>
      <c r="D61" s="40" t="s">
        <v>654</v>
      </c>
      <c r="E61" s="40" t="s">
        <v>80</v>
      </c>
      <c r="F61" s="418" t="s">
        <v>657</v>
      </c>
      <c r="G61" s="83"/>
      <c r="H61" s="83"/>
      <c r="I61" s="84" t="s">
        <v>27</v>
      </c>
      <c r="J61" s="83"/>
      <c r="K61" s="84" t="s">
        <v>27</v>
      </c>
      <c r="L61" s="83"/>
      <c r="M61" s="172" t="s">
        <v>27</v>
      </c>
      <c r="N61" s="83"/>
      <c r="O61" s="84" t="s">
        <v>27</v>
      </c>
      <c r="P61" s="83"/>
      <c r="Q61" s="84" t="s">
        <v>27</v>
      </c>
      <c r="R61" s="83"/>
      <c r="S61" s="84" t="s">
        <v>27</v>
      </c>
      <c r="T61" s="83"/>
      <c r="U61" s="83"/>
      <c r="V61" s="83"/>
      <c r="W61" s="84" t="s">
        <v>27</v>
      </c>
      <c r="X61" s="83"/>
      <c r="Y61" s="84" t="s">
        <v>27</v>
      </c>
      <c r="Z61" s="83"/>
      <c r="AA61" s="172" t="s">
        <v>120</v>
      </c>
      <c r="AB61" s="83"/>
      <c r="AC61" s="84" t="s">
        <v>27</v>
      </c>
      <c r="AD61" s="83"/>
      <c r="AE61" s="84" t="s">
        <v>120</v>
      </c>
      <c r="AF61" s="83"/>
      <c r="AG61" s="84" t="s">
        <v>27</v>
      </c>
      <c r="AH61" s="83"/>
      <c r="AI61" s="83"/>
      <c r="AJ61" s="83"/>
      <c r="AK61" s="84" t="s">
        <v>27</v>
      </c>
      <c r="AL61" s="24"/>
    </row>
    <row r="62" ht="15.75" customHeight="1">
      <c r="A62" s="111" t="s">
        <v>505</v>
      </c>
      <c r="B62" s="426" t="s">
        <v>662</v>
      </c>
      <c r="C62" s="427">
        <v>71395.0</v>
      </c>
      <c r="D62" s="111" t="s">
        <v>664</v>
      </c>
      <c r="E62" s="111" t="s">
        <v>665</v>
      </c>
      <c r="F62" s="202" t="s">
        <v>666</v>
      </c>
      <c r="G62" s="79"/>
      <c r="H62" s="79"/>
      <c r="I62" s="131"/>
      <c r="J62" s="79"/>
      <c r="K62" s="131"/>
      <c r="L62" s="79"/>
      <c r="M62" s="79"/>
      <c r="N62" s="79"/>
      <c r="O62" s="84" t="s">
        <v>27</v>
      </c>
      <c r="P62" s="83"/>
      <c r="Q62" s="84" t="s">
        <v>27</v>
      </c>
      <c r="R62" s="83"/>
      <c r="S62" s="96" t="s">
        <v>22</v>
      </c>
      <c r="T62" s="96" t="s">
        <v>22</v>
      </c>
      <c r="U62" s="96" t="s">
        <v>22</v>
      </c>
      <c r="V62" s="96" t="s">
        <v>22</v>
      </c>
      <c r="W62" s="96" t="s">
        <v>22</v>
      </c>
      <c r="X62" s="96" t="s">
        <v>22</v>
      </c>
      <c r="Y62" s="96" t="s">
        <v>22</v>
      </c>
      <c r="Z62" s="96" t="s">
        <v>22</v>
      </c>
      <c r="AA62" s="96" t="s">
        <v>22</v>
      </c>
      <c r="AB62" s="96" t="s">
        <v>22</v>
      </c>
      <c r="AC62" s="96" t="s">
        <v>22</v>
      </c>
      <c r="AD62" s="96" t="s">
        <v>22</v>
      </c>
      <c r="AE62" s="96" t="s">
        <v>22</v>
      </c>
      <c r="AF62" s="96" t="s">
        <v>22</v>
      </c>
      <c r="AG62" s="96" t="s">
        <v>22</v>
      </c>
      <c r="AH62" s="186" t="s">
        <v>76</v>
      </c>
      <c r="AI62" s="186" t="s">
        <v>76</v>
      </c>
      <c r="AJ62" s="83"/>
      <c r="AK62" s="84" t="s">
        <v>27</v>
      </c>
      <c r="AL62" s="24"/>
    </row>
    <row r="63" ht="15.75" customHeight="1">
      <c r="A63" s="111" t="s">
        <v>505</v>
      </c>
      <c r="B63" s="428" t="s">
        <v>670</v>
      </c>
      <c r="C63" s="88">
        <v>3784.0</v>
      </c>
      <c r="D63" s="40" t="s">
        <v>671</v>
      </c>
      <c r="E63" s="40" t="s">
        <v>80</v>
      </c>
      <c r="F63" s="418" t="s">
        <v>672</v>
      </c>
      <c r="G63" s="79"/>
      <c r="H63" s="79"/>
      <c r="I63" s="131"/>
      <c r="J63" s="79"/>
      <c r="K63" s="131"/>
      <c r="L63" s="79"/>
      <c r="M63" s="79"/>
      <c r="N63" s="79"/>
      <c r="O63" s="79"/>
      <c r="P63" s="79"/>
      <c r="Q63" s="79"/>
      <c r="R63" s="79"/>
      <c r="S63" s="79"/>
      <c r="T63" s="79"/>
      <c r="U63" s="79"/>
      <c r="V63" s="79"/>
      <c r="W63" s="79"/>
      <c r="X63" s="79"/>
      <c r="Y63" s="79"/>
      <c r="Z63" s="79"/>
      <c r="AA63" s="79"/>
      <c r="AB63" s="79"/>
      <c r="AC63" s="79"/>
      <c r="AD63" s="79"/>
      <c r="AE63" s="84" t="s">
        <v>120</v>
      </c>
      <c r="AF63" s="84" t="s">
        <v>27</v>
      </c>
      <c r="AG63" s="432" t="s">
        <v>79</v>
      </c>
      <c r="AH63" s="83"/>
      <c r="AI63" s="84" t="s">
        <v>120</v>
      </c>
      <c r="AJ63" s="83"/>
      <c r="AK63" s="84" t="s">
        <v>27</v>
      </c>
      <c r="AL63" s="24"/>
    </row>
    <row r="64" ht="14.25" customHeight="1">
      <c r="A64" s="66" t="s">
        <v>59</v>
      </c>
      <c r="B64" s="78" t="s">
        <v>77</v>
      </c>
      <c r="C64" s="66">
        <v>6850.0</v>
      </c>
      <c r="D64" s="108">
        <v>1.127544762E9</v>
      </c>
      <c r="E64" s="111" t="s">
        <v>80</v>
      </c>
      <c r="F64" s="117" t="s">
        <v>84</v>
      </c>
      <c r="G64" s="79"/>
      <c r="H64" s="79"/>
      <c r="I64" s="131" t="s">
        <v>27</v>
      </c>
      <c r="J64" s="79"/>
      <c r="K64" s="131" t="s">
        <v>27</v>
      </c>
      <c r="L64" s="79"/>
      <c r="M64" s="131" t="s">
        <v>27</v>
      </c>
      <c r="N64" s="79"/>
      <c r="O64" s="131" t="s">
        <v>27</v>
      </c>
      <c r="P64" s="79"/>
      <c r="Q64" s="131" t="s">
        <v>27</v>
      </c>
      <c r="R64" s="79"/>
      <c r="S64" s="131" t="s">
        <v>27</v>
      </c>
      <c r="T64" s="79"/>
      <c r="U64" s="79"/>
      <c r="V64" s="79"/>
      <c r="W64" s="131" t="s">
        <v>27</v>
      </c>
      <c r="X64" s="79"/>
      <c r="Y64" s="131" t="s">
        <v>27</v>
      </c>
      <c r="Z64" s="79"/>
      <c r="AA64" s="172" t="s">
        <v>27</v>
      </c>
      <c r="AB64" s="83"/>
      <c r="AC64" s="84" t="s">
        <v>27</v>
      </c>
      <c r="AD64" s="83"/>
      <c r="AE64" s="84" t="s">
        <v>120</v>
      </c>
      <c r="AF64" s="172" t="s">
        <v>27</v>
      </c>
      <c r="AG64" s="84" t="s">
        <v>27</v>
      </c>
      <c r="AH64" s="83"/>
      <c r="AI64" s="83"/>
      <c r="AJ64" s="83"/>
      <c r="AK64" s="131" t="s">
        <v>27</v>
      </c>
      <c r="AL64" s="24"/>
      <c r="AM64" s="122" t="s">
        <v>97</v>
      </c>
      <c r="AN64" s="123" t="s">
        <v>78</v>
      </c>
      <c r="AO64" s="49"/>
      <c r="AP64" s="51"/>
      <c r="AQ64" s="51"/>
    </row>
    <row r="65" ht="15.75" customHeight="1">
      <c r="A65" s="93" t="s">
        <v>59</v>
      </c>
      <c r="B65" s="317" t="s">
        <v>683</v>
      </c>
      <c r="C65" s="182">
        <v>6221.0</v>
      </c>
      <c r="D65" s="438" t="s">
        <v>684</v>
      </c>
      <c r="E65" s="143" t="s">
        <v>80</v>
      </c>
      <c r="F65" s="440" t="s">
        <v>687</v>
      </c>
      <c r="G65" s="83"/>
      <c r="H65" s="83"/>
      <c r="I65" s="273" t="s">
        <v>27</v>
      </c>
      <c r="J65" s="83"/>
      <c r="K65" s="84" t="s">
        <v>27</v>
      </c>
      <c r="L65" s="83"/>
      <c r="M65" s="172" t="s">
        <v>27</v>
      </c>
      <c r="N65" s="83"/>
      <c r="O65" s="441" t="s">
        <v>694</v>
      </c>
      <c r="P65" s="6"/>
      <c r="Q65" s="6"/>
      <c r="R65" s="6"/>
      <c r="S65" s="6"/>
      <c r="T65" s="6"/>
      <c r="U65" s="6"/>
      <c r="V65" s="6"/>
      <c r="W65" s="6"/>
      <c r="X65" s="6"/>
      <c r="Y65" s="6"/>
      <c r="Z65" s="6"/>
      <c r="AA65" s="172" t="s">
        <v>120</v>
      </c>
      <c r="AB65" s="83"/>
      <c r="AC65" s="84" t="s">
        <v>27</v>
      </c>
      <c r="AD65" s="83"/>
      <c r="AE65" s="86" t="s">
        <v>32</v>
      </c>
      <c r="AF65" s="83"/>
      <c r="AG65" s="84" t="s">
        <v>27</v>
      </c>
      <c r="AH65" s="83"/>
      <c r="AI65" s="83"/>
      <c r="AJ65" s="83"/>
      <c r="AK65" s="309" t="s">
        <v>27</v>
      </c>
      <c r="AL65" s="24"/>
    </row>
    <row r="66" ht="15.75" customHeight="1">
      <c r="A66" s="143" t="s">
        <v>162</v>
      </c>
      <c r="B66" s="94" t="s">
        <v>208</v>
      </c>
      <c r="C66" s="143">
        <v>89321.0</v>
      </c>
      <c r="D66" s="111" t="s">
        <v>209</v>
      </c>
      <c r="E66" s="111" t="s">
        <v>210</v>
      </c>
      <c r="F66" s="202" t="s">
        <v>214</v>
      </c>
      <c r="G66" s="204"/>
      <c r="H66" s="6"/>
      <c r="I66" s="6"/>
      <c r="J66" s="6"/>
      <c r="K66" s="6"/>
      <c r="L66" s="6"/>
      <c r="M66" s="6"/>
      <c r="N66" s="6"/>
      <c r="O66" s="6"/>
      <c r="P66" s="6"/>
      <c r="Q66" s="6"/>
      <c r="R66" s="6"/>
      <c r="S66" s="6"/>
      <c r="T66" s="6"/>
      <c r="U66" s="6"/>
      <c r="V66" s="6"/>
      <c r="W66" s="6"/>
      <c r="X66" s="6"/>
      <c r="Y66" s="6"/>
      <c r="Z66" s="6"/>
      <c r="AA66" s="6"/>
      <c r="AB66" s="6"/>
      <c r="AC66" s="6"/>
      <c r="AD66" s="6"/>
      <c r="AE66" s="11"/>
      <c r="AF66" s="76"/>
      <c r="AG66" s="84" t="s">
        <v>27</v>
      </c>
      <c r="AH66" s="83"/>
      <c r="AI66" s="83"/>
      <c r="AJ66" s="83"/>
      <c r="AK66" s="172" t="s">
        <v>27</v>
      </c>
      <c r="AL66" s="24"/>
    </row>
    <row r="67" ht="15.75" customHeight="1">
      <c r="A67" s="190" t="s">
        <v>162</v>
      </c>
      <c r="B67" s="191" t="s">
        <v>186</v>
      </c>
      <c r="C67" s="182">
        <v>89190.0</v>
      </c>
      <c r="D67" s="195" t="s">
        <v>190</v>
      </c>
      <c r="E67" s="190" t="s">
        <v>202</v>
      </c>
      <c r="F67" s="198" t="s">
        <v>204</v>
      </c>
      <c r="G67" s="172" t="s">
        <v>27</v>
      </c>
      <c r="H67" s="83"/>
      <c r="I67" s="84" t="s">
        <v>27</v>
      </c>
      <c r="J67" s="83"/>
      <c r="K67" s="84" t="s">
        <v>27</v>
      </c>
      <c r="L67" s="84" t="s">
        <v>27</v>
      </c>
      <c r="M67" s="84" t="s">
        <v>27</v>
      </c>
      <c r="N67" s="83"/>
      <c r="O67" s="84" t="s">
        <v>27</v>
      </c>
      <c r="P67" s="83"/>
      <c r="Q67" s="84" t="s">
        <v>27</v>
      </c>
      <c r="R67" s="83"/>
      <c r="S67" s="84" t="s">
        <v>27</v>
      </c>
      <c r="T67" s="83"/>
      <c r="U67" s="172" t="s">
        <v>27</v>
      </c>
      <c r="V67" s="83"/>
      <c r="W67" s="136"/>
      <c r="X67" s="83"/>
      <c r="Y67" s="136"/>
      <c r="Z67" s="84" t="s">
        <v>27</v>
      </c>
      <c r="AA67" s="172" t="s">
        <v>27</v>
      </c>
      <c r="AB67" s="172" t="s">
        <v>27</v>
      </c>
      <c r="AC67" s="86" t="s">
        <v>32</v>
      </c>
      <c r="AD67" s="83"/>
      <c r="AE67" s="136"/>
      <c r="AF67" s="79"/>
      <c r="AG67" s="79"/>
      <c r="AH67" s="79"/>
      <c r="AI67" s="79"/>
      <c r="AJ67" s="79"/>
      <c r="AK67" s="79"/>
      <c r="AL67" s="24"/>
    </row>
    <row r="68" ht="15.75" customHeight="1">
      <c r="A68" s="143" t="s">
        <v>124</v>
      </c>
      <c r="B68" s="191" t="s">
        <v>698</v>
      </c>
      <c r="C68" s="182">
        <v>707251.0</v>
      </c>
      <c r="D68" s="182" t="s">
        <v>699</v>
      </c>
      <c r="E68" s="143" t="s">
        <v>80</v>
      </c>
      <c r="F68" s="440" t="s">
        <v>700</v>
      </c>
      <c r="G68" s="83"/>
      <c r="H68" s="83"/>
      <c r="I68" s="84" t="s">
        <v>27</v>
      </c>
      <c r="J68" s="83"/>
      <c r="K68" s="273" t="s">
        <v>27</v>
      </c>
      <c r="L68" s="83"/>
      <c r="M68" s="172" t="s">
        <v>27</v>
      </c>
      <c r="N68" s="83"/>
      <c r="O68" s="86" t="s">
        <v>32</v>
      </c>
      <c r="P68" s="83"/>
      <c r="Q68" s="79"/>
      <c r="R68" s="131" t="s">
        <v>27</v>
      </c>
      <c r="S68" s="79"/>
      <c r="T68" s="79"/>
      <c r="U68" s="79"/>
      <c r="V68" s="79"/>
      <c r="W68" s="131" t="s">
        <v>27</v>
      </c>
      <c r="X68" s="79"/>
      <c r="Y68" s="79"/>
      <c r="Z68" s="79"/>
      <c r="AA68" s="79"/>
      <c r="AB68" s="131" t="s">
        <v>27</v>
      </c>
      <c r="AC68" s="79"/>
      <c r="AD68" s="79"/>
      <c r="AE68" s="79"/>
      <c r="AF68" s="79"/>
      <c r="AG68" s="131" t="s">
        <v>27</v>
      </c>
      <c r="AH68" s="79"/>
      <c r="AI68" s="79"/>
      <c r="AJ68" s="79"/>
      <c r="AK68" s="445"/>
      <c r="AL68" s="24"/>
    </row>
    <row r="69" ht="15.0" customHeight="1">
      <c r="A69" s="38" t="s">
        <v>162</v>
      </c>
      <c r="B69" s="423" t="s">
        <v>705</v>
      </c>
      <c r="C69" s="40">
        <v>38811.0</v>
      </c>
      <c r="D69" s="40" t="s">
        <v>706</v>
      </c>
      <c r="E69" s="40" t="s">
        <v>707</v>
      </c>
      <c r="F69" s="447" t="s">
        <v>708</v>
      </c>
      <c r="G69" s="448" t="s">
        <v>19</v>
      </c>
      <c r="H69" s="448" t="s">
        <v>19</v>
      </c>
      <c r="I69" s="448" t="s">
        <v>19</v>
      </c>
      <c r="J69" s="448" t="s">
        <v>19</v>
      </c>
      <c r="K69" s="448" t="s">
        <v>19</v>
      </c>
      <c r="L69" s="448" t="s">
        <v>19</v>
      </c>
      <c r="M69" s="448" t="s">
        <v>19</v>
      </c>
      <c r="N69" s="448" t="s">
        <v>19</v>
      </c>
      <c r="O69" s="448" t="s">
        <v>19</v>
      </c>
      <c r="P69" s="448" t="s">
        <v>19</v>
      </c>
      <c r="Q69" s="448" t="s">
        <v>19</v>
      </c>
      <c r="R69" s="448" t="s">
        <v>19</v>
      </c>
      <c r="S69" s="448" t="s">
        <v>19</v>
      </c>
      <c r="T69" s="448" t="s">
        <v>19</v>
      </c>
      <c r="U69" s="448" t="s">
        <v>19</v>
      </c>
      <c r="V69" s="448" t="s">
        <v>19</v>
      </c>
      <c r="W69" s="448" t="s">
        <v>19</v>
      </c>
      <c r="X69" s="448" t="s">
        <v>19</v>
      </c>
      <c r="Y69" s="448" t="s">
        <v>19</v>
      </c>
      <c r="Z69" s="448" t="s">
        <v>19</v>
      </c>
      <c r="AA69" s="448" t="s">
        <v>19</v>
      </c>
      <c r="AB69" s="448" t="s">
        <v>19</v>
      </c>
      <c r="AC69" s="448" t="s">
        <v>19</v>
      </c>
      <c r="AD69" s="448" t="s">
        <v>19</v>
      </c>
      <c r="AE69" s="448" t="s">
        <v>19</v>
      </c>
      <c r="AF69" s="448" t="s">
        <v>19</v>
      </c>
      <c r="AG69" s="448" t="s">
        <v>19</v>
      </c>
      <c r="AH69" s="448" t="s">
        <v>19</v>
      </c>
      <c r="AI69" s="448" t="s">
        <v>19</v>
      </c>
      <c r="AJ69" s="448" t="s">
        <v>19</v>
      </c>
      <c r="AK69" s="448" t="s">
        <v>19</v>
      </c>
      <c r="AL69" s="451" t="s">
        <v>710</v>
      </c>
    </row>
    <row r="70" ht="15.75" customHeight="1">
      <c r="A70" s="190" t="s">
        <v>162</v>
      </c>
      <c r="B70" s="191" t="s">
        <v>712</v>
      </c>
      <c r="C70" s="182">
        <v>59595.0</v>
      </c>
      <c r="D70" s="182" t="s">
        <v>713</v>
      </c>
      <c r="E70" s="143" t="s">
        <v>80</v>
      </c>
      <c r="F70" s="440" t="s">
        <v>714</v>
      </c>
      <c r="G70" s="83"/>
      <c r="H70" s="83"/>
      <c r="I70" s="86" t="s">
        <v>32</v>
      </c>
      <c r="J70" s="83"/>
      <c r="K70" s="84" t="s">
        <v>27</v>
      </c>
      <c r="L70" s="83"/>
      <c r="M70" s="172" t="s">
        <v>27</v>
      </c>
      <c r="N70" s="83"/>
      <c r="O70" s="84" t="s">
        <v>27</v>
      </c>
      <c r="P70" s="83"/>
      <c r="Q70" s="84" t="s">
        <v>18</v>
      </c>
      <c r="R70" s="83"/>
      <c r="S70" s="84" t="s">
        <v>18</v>
      </c>
      <c r="T70" s="83"/>
      <c r="U70" s="83"/>
      <c r="V70" s="83"/>
      <c r="W70" s="136"/>
      <c r="X70" s="83"/>
      <c r="Y70" s="84" t="s">
        <v>27</v>
      </c>
      <c r="Z70" s="83"/>
      <c r="AA70" s="172" t="s">
        <v>27</v>
      </c>
      <c r="AB70" s="83"/>
      <c r="AC70" s="84" t="s">
        <v>27</v>
      </c>
      <c r="AD70" s="79"/>
      <c r="AE70" s="79"/>
      <c r="AF70" s="79"/>
      <c r="AG70" s="84" t="s">
        <v>27</v>
      </c>
      <c r="AH70" s="83"/>
      <c r="AI70" s="83"/>
      <c r="AJ70" s="83"/>
      <c r="AK70" s="84" t="s">
        <v>27</v>
      </c>
      <c r="AL70" s="24"/>
    </row>
    <row r="71" ht="16.5" customHeight="1">
      <c r="A71" s="143" t="s">
        <v>59</v>
      </c>
      <c r="B71" s="191" t="s">
        <v>102</v>
      </c>
      <c r="C71" s="182">
        <v>46641.0</v>
      </c>
      <c r="D71" s="182" t="s">
        <v>103</v>
      </c>
      <c r="E71" s="182" t="s">
        <v>80</v>
      </c>
      <c r="F71" s="440" t="s">
        <v>104</v>
      </c>
      <c r="G71" s="83"/>
      <c r="H71" s="83"/>
      <c r="I71" s="84" t="s">
        <v>27</v>
      </c>
      <c r="J71" s="83"/>
      <c r="K71" s="84" t="s">
        <v>27</v>
      </c>
      <c r="L71" s="83"/>
      <c r="M71" s="172" t="s">
        <v>27</v>
      </c>
      <c r="N71" s="83"/>
      <c r="O71" s="84" t="s">
        <v>27</v>
      </c>
      <c r="P71" s="83"/>
      <c r="Q71" s="84" t="s">
        <v>27</v>
      </c>
      <c r="R71" s="83"/>
      <c r="S71" s="84" t="s">
        <v>27</v>
      </c>
      <c r="T71" s="79"/>
      <c r="U71" s="79"/>
      <c r="V71" s="79"/>
      <c r="W71" s="79"/>
      <c r="X71" s="79"/>
      <c r="Y71" s="79"/>
      <c r="Z71" s="79"/>
      <c r="AA71" s="79"/>
      <c r="AB71" s="79"/>
      <c r="AC71" s="79"/>
      <c r="AD71" s="79"/>
      <c r="AE71" s="79"/>
      <c r="AF71" s="79"/>
      <c r="AG71" s="79"/>
      <c r="AH71" s="79"/>
      <c r="AI71" s="79"/>
      <c r="AJ71" s="79"/>
      <c r="AK71" s="79"/>
      <c r="AL71" s="24"/>
    </row>
    <row r="73" ht="15.75" customHeight="1">
      <c r="A73" s="455" t="s">
        <v>220</v>
      </c>
      <c r="B73" s="2"/>
      <c r="C73" s="2"/>
      <c r="D73" s="2"/>
      <c r="E73" s="2"/>
      <c r="F73" s="2"/>
      <c r="G73" s="2"/>
      <c r="H73" s="2"/>
      <c r="I73" s="2"/>
      <c r="J73" s="2"/>
      <c r="K73" s="2"/>
      <c r="L73" s="2"/>
      <c r="M73" s="2"/>
      <c r="N73" s="2"/>
      <c r="O73" s="2"/>
      <c r="P73" s="2"/>
      <c r="Q73" s="2"/>
      <c r="R73" s="2"/>
      <c r="S73" s="2"/>
      <c r="T73" s="2"/>
      <c r="U73" s="2"/>
      <c r="V73" s="2"/>
      <c r="W73" s="2"/>
      <c r="X73" s="2"/>
      <c r="Y73" s="2"/>
      <c r="Z73" s="2"/>
      <c r="AA73" s="2"/>
      <c r="AB73" s="2"/>
      <c r="AC73" s="2"/>
      <c r="AD73" s="2"/>
      <c r="AE73" s="2"/>
      <c r="AF73" s="2"/>
      <c r="AG73" s="2"/>
      <c r="AH73" s="3"/>
      <c r="AI73" s="459"/>
      <c r="AJ73" s="461"/>
      <c r="AK73" s="3"/>
      <c r="AL73" s="24"/>
    </row>
    <row r="74" ht="15.75" customHeight="1">
      <c r="A74" s="143" t="s">
        <v>269</v>
      </c>
      <c r="B74" s="462" t="s">
        <v>727</v>
      </c>
      <c r="C74" s="463">
        <v>12529.0</v>
      </c>
      <c r="D74" s="463" t="s">
        <v>729</v>
      </c>
      <c r="E74" s="463" t="s">
        <v>273</v>
      </c>
      <c r="F74" s="464" t="s">
        <v>732</v>
      </c>
      <c r="G74" s="83"/>
      <c r="H74" s="83"/>
      <c r="I74" s="84" t="s">
        <v>27</v>
      </c>
      <c r="J74" s="83"/>
      <c r="K74" s="84" t="s">
        <v>27</v>
      </c>
      <c r="L74" s="83"/>
      <c r="M74" s="172" t="s">
        <v>27</v>
      </c>
      <c r="N74" s="83"/>
      <c r="O74" s="84" t="s">
        <v>27</v>
      </c>
      <c r="P74" s="83"/>
      <c r="Q74" s="84" t="s">
        <v>27</v>
      </c>
      <c r="R74" s="83"/>
      <c r="S74" s="84" t="s">
        <v>27</v>
      </c>
      <c r="T74" s="83"/>
      <c r="U74" s="83"/>
      <c r="V74" s="83"/>
      <c r="W74" s="84" t="s">
        <v>27</v>
      </c>
      <c r="X74" s="83"/>
      <c r="Y74" s="84" t="s">
        <v>27</v>
      </c>
      <c r="Z74" s="83"/>
      <c r="AA74" s="172" t="s">
        <v>27</v>
      </c>
      <c r="AB74" s="83"/>
      <c r="AC74" s="84" t="s">
        <v>27</v>
      </c>
      <c r="AD74" s="83"/>
      <c r="AE74" s="84" t="s">
        <v>18</v>
      </c>
      <c r="AF74" s="83"/>
      <c r="AG74" s="172" t="s">
        <v>27</v>
      </c>
      <c r="AH74" s="83"/>
      <c r="AI74" s="83"/>
      <c r="AJ74" s="83"/>
      <c r="AK74" s="86" t="s">
        <v>32</v>
      </c>
      <c r="AL74" s="24"/>
      <c r="AN74" s="211" t="str">
        <f t="shared" ref="AN74:AN93" si="15">IFS(AO74&gt;3,"NO CORRESPONDE FRANCO",AT74&gt;0,"NO CORRESPONDE FRANCO",AT74=0,"")</f>
        <v/>
      </c>
      <c r="AO74" s="60">
        <f t="shared" ref="AO74:AO90" si="16">COUNTIF($G74:$AK74,"LLT")</f>
        <v>1</v>
      </c>
      <c r="AP74" s="60">
        <f t="shared" ref="AP74:AP90" si="17">COUNTIF($G74:$AK74,"LM")</f>
        <v>0</v>
      </c>
      <c r="AQ74" s="60">
        <f t="shared" ref="AQ74:AQ90" si="18">COUNTIF($G74:$AK74,"FaC")</f>
        <v>0</v>
      </c>
      <c r="AR74" s="60">
        <f t="shared" ref="AR74:AR90" si="19">COUNTIF($G74:$AK74,"LxE")</f>
        <v>0</v>
      </c>
      <c r="AS74" s="60">
        <f t="shared" ref="AS74:AS90" si="20">COUNTIF($G74:$AK74,"LA")</f>
        <v>0</v>
      </c>
      <c r="AT74" s="221">
        <f t="shared" ref="AT74:AT90" si="21">SUM(AP74:AS74)</f>
        <v>0</v>
      </c>
      <c r="AU74" s="36"/>
    </row>
    <row r="75">
      <c r="A75" s="143" t="s">
        <v>269</v>
      </c>
      <c r="B75" s="469" t="s">
        <v>754</v>
      </c>
      <c r="C75" s="143">
        <v>70453.0</v>
      </c>
      <c r="D75" s="143" t="s">
        <v>271</v>
      </c>
      <c r="E75" s="93" t="s">
        <v>273</v>
      </c>
      <c r="F75" s="146" t="s">
        <v>275</v>
      </c>
      <c r="G75" s="79"/>
      <c r="H75" s="131" t="s">
        <v>18</v>
      </c>
      <c r="I75" s="79"/>
      <c r="J75" s="131" t="s">
        <v>27</v>
      </c>
      <c r="K75" s="79"/>
      <c r="L75" s="131" t="s">
        <v>27</v>
      </c>
      <c r="M75" s="79"/>
      <c r="N75" s="79"/>
      <c r="O75" s="79"/>
      <c r="P75" s="131" t="s">
        <v>27</v>
      </c>
      <c r="Q75" s="79"/>
      <c r="R75" s="131" t="s">
        <v>18</v>
      </c>
      <c r="S75" s="79"/>
      <c r="T75" s="131" t="s">
        <v>27</v>
      </c>
      <c r="U75" s="79"/>
      <c r="V75" s="131" t="s">
        <v>32</v>
      </c>
      <c r="W75" s="79"/>
      <c r="X75" s="131" t="s">
        <v>27</v>
      </c>
      <c r="Y75" s="79"/>
      <c r="Z75" s="131" t="s">
        <v>27</v>
      </c>
      <c r="AA75" s="79"/>
      <c r="AB75" s="79"/>
      <c r="AC75" s="79"/>
      <c r="AD75" s="83"/>
      <c r="AE75" s="84" t="s">
        <v>27</v>
      </c>
      <c r="AF75" s="83"/>
      <c r="AG75" s="172" t="s">
        <v>27</v>
      </c>
      <c r="AH75" s="83"/>
      <c r="AI75" s="83"/>
      <c r="AJ75" s="83"/>
      <c r="AK75" s="84" t="s">
        <v>27</v>
      </c>
      <c r="AL75" s="24"/>
      <c r="AN75" s="211" t="str">
        <f t="shared" si="15"/>
        <v/>
      </c>
      <c r="AO75" s="60">
        <f t="shared" si="16"/>
        <v>2</v>
      </c>
      <c r="AP75" s="60">
        <f t="shared" si="17"/>
        <v>0</v>
      </c>
      <c r="AQ75" s="60">
        <f t="shared" si="18"/>
        <v>0</v>
      </c>
      <c r="AR75" s="60">
        <f t="shared" si="19"/>
        <v>0</v>
      </c>
      <c r="AS75" s="60">
        <f t="shared" si="20"/>
        <v>0</v>
      </c>
      <c r="AT75" s="221">
        <f t="shared" si="21"/>
        <v>0</v>
      </c>
      <c r="AU75" s="36"/>
    </row>
    <row r="76" ht="15.75" customHeight="1">
      <c r="A76" s="472" t="s">
        <v>23</v>
      </c>
      <c r="B76" s="473" t="s">
        <v>762</v>
      </c>
      <c r="C76" s="474">
        <v>17213.0</v>
      </c>
      <c r="D76" s="70" t="s">
        <v>763</v>
      </c>
      <c r="E76" s="475" t="s">
        <v>273</v>
      </c>
      <c r="F76" s="280" t="s">
        <v>764</v>
      </c>
      <c r="G76" s="83"/>
      <c r="H76" s="83"/>
      <c r="I76" s="84" t="s">
        <v>27</v>
      </c>
      <c r="J76" s="83"/>
      <c r="K76" s="84" t="s">
        <v>27</v>
      </c>
      <c r="L76" s="83"/>
      <c r="M76" s="172" t="s">
        <v>27</v>
      </c>
      <c r="N76" s="83"/>
      <c r="O76" s="84" t="s">
        <v>27</v>
      </c>
      <c r="P76" s="83"/>
      <c r="Q76" s="84" t="s">
        <v>27</v>
      </c>
      <c r="R76" s="83"/>
      <c r="S76" s="84" t="s">
        <v>27</v>
      </c>
      <c r="T76" s="83"/>
      <c r="U76" s="83"/>
      <c r="V76" s="83"/>
      <c r="W76" s="86" t="s">
        <v>32</v>
      </c>
      <c r="X76" s="83"/>
      <c r="Y76" s="84" t="s">
        <v>27</v>
      </c>
      <c r="Z76" s="83"/>
      <c r="AA76" s="172" t="s">
        <v>27</v>
      </c>
      <c r="AB76" s="83"/>
      <c r="AC76" s="84" t="s">
        <v>27</v>
      </c>
      <c r="AD76" s="83"/>
      <c r="AE76" s="84" t="s">
        <v>27</v>
      </c>
      <c r="AF76" s="83"/>
      <c r="AG76" s="84" t="s">
        <v>27</v>
      </c>
      <c r="AH76" s="83"/>
      <c r="AI76" s="83"/>
      <c r="AJ76" s="83"/>
      <c r="AK76" s="84" t="s">
        <v>27</v>
      </c>
      <c r="AL76" s="24"/>
      <c r="AN76" s="211" t="str">
        <f t="shared" si="15"/>
        <v/>
      </c>
      <c r="AO76" s="60">
        <f t="shared" si="16"/>
        <v>0</v>
      </c>
      <c r="AP76" s="60">
        <f t="shared" si="17"/>
        <v>0</v>
      </c>
      <c r="AQ76" s="60">
        <f t="shared" si="18"/>
        <v>0</v>
      </c>
      <c r="AR76" s="60">
        <f t="shared" si="19"/>
        <v>0</v>
      </c>
      <c r="AS76" s="60">
        <f t="shared" si="20"/>
        <v>0</v>
      </c>
      <c r="AT76" s="221">
        <f t="shared" si="21"/>
        <v>0</v>
      </c>
      <c r="AU76" s="36"/>
    </row>
    <row r="77" ht="15.75" customHeight="1">
      <c r="A77" s="66" t="s">
        <v>23</v>
      </c>
      <c r="B77" s="78" t="s">
        <v>778</v>
      </c>
      <c r="C77" s="66">
        <v>13786.0</v>
      </c>
      <c r="D77" s="66" t="s">
        <v>779</v>
      </c>
      <c r="E77" s="182" t="s">
        <v>303</v>
      </c>
      <c r="F77" s="485" t="s">
        <v>780</v>
      </c>
      <c r="G77" s="83"/>
      <c r="H77" s="83"/>
      <c r="I77" s="84" t="s">
        <v>18</v>
      </c>
      <c r="J77" s="83"/>
      <c r="K77" s="84" t="s">
        <v>27</v>
      </c>
      <c r="L77" s="83"/>
      <c r="M77" s="172" t="s">
        <v>27</v>
      </c>
      <c r="N77" s="83"/>
      <c r="O77" s="84" t="s">
        <v>27</v>
      </c>
      <c r="P77" s="83"/>
      <c r="Q77" s="84" t="s">
        <v>27</v>
      </c>
      <c r="R77" s="83"/>
      <c r="S77" s="84" t="s">
        <v>27</v>
      </c>
      <c r="T77" s="83"/>
      <c r="U77" s="83"/>
      <c r="V77" s="83"/>
      <c r="W77" s="84" t="s">
        <v>27</v>
      </c>
      <c r="X77" s="83"/>
      <c r="Y77" s="84" t="s">
        <v>27</v>
      </c>
      <c r="Z77" s="83"/>
      <c r="AA77" s="172" t="s">
        <v>27</v>
      </c>
      <c r="AB77" s="83"/>
      <c r="AC77" s="84" t="s">
        <v>27</v>
      </c>
      <c r="AD77" s="83"/>
      <c r="AE77" s="84" t="s">
        <v>27</v>
      </c>
      <c r="AF77" s="83"/>
      <c r="AG77" s="84" t="s">
        <v>18</v>
      </c>
      <c r="AH77" s="83"/>
      <c r="AI77" s="83"/>
      <c r="AJ77" s="83"/>
      <c r="AK77" s="86" t="s">
        <v>32</v>
      </c>
      <c r="AL77" s="24"/>
      <c r="AN77" s="211" t="str">
        <f t="shared" si="15"/>
        <v/>
      </c>
      <c r="AO77" s="60">
        <f t="shared" si="16"/>
        <v>2</v>
      </c>
      <c r="AP77" s="60">
        <f t="shared" si="17"/>
        <v>0</v>
      </c>
      <c r="AQ77" s="60">
        <f t="shared" si="18"/>
        <v>0</v>
      </c>
      <c r="AR77" s="60">
        <f t="shared" si="19"/>
        <v>0</v>
      </c>
      <c r="AS77" s="60">
        <f t="shared" si="20"/>
        <v>0</v>
      </c>
      <c r="AT77" s="221">
        <f t="shared" si="21"/>
        <v>0</v>
      </c>
      <c r="AU77" s="36"/>
    </row>
    <row r="78" ht="15.75" customHeight="1">
      <c r="A78" s="93" t="s">
        <v>33</v>
      </c>
      <c r="B78" s="487" t="s">
        <v>787</v>
      </c>
      <c r="C78" s="463">
        <v>4.5990029E7</v>
      </c>
      <c r="D78" s="475" t="s">
        <v>790</v>
      </c>
      <c r="E78" s="475" t="s">
        <v>303</v>
      </c>
      <c r="F78" s="485" t="s">
        <v>792</v>
      </c>
      <c r="G78" s="83"/>
      <c r="H78" s="83"/>
      <c r="I78" s="84" t="s">
        <v>27</v>
      </c>
      <c r="J78" s="83"/>
      <c r="K78" s="84" t="s">
        <v>27</v>
      </c>
      <c r="L78" s="83"/>
      <c r="M78" s="172" t="s">
        <v>27</v>
      </c>
      <c r="N78" s="83"/>
      <c r="O78" s="86" t="s">
        <v>32</v>
      </c>
      <c r="P78" s="83"/>
      <c r="Q78" s="84" t="s">
        <v>27</v>
      </c>
      <c r="R78" s="83"/>
      <c r="S78" s="84" t="s">
        <v>120</v>
      </c>
      <c r="T78" s="83"/>
      <c r="U78" s="83"/>
      <c r="V78" s="83"/>
      <c r="W78" s="84" t="s">
        <v>27</v>
      </c>
      <c r="X78" s="83"/>
      <c r="Y78" s="84" t="s">
        <v>18</v>
      </c>
      <c r="Z78" s="83"/>
      <c r="AA78" s="172" t="s">
        <v>27</v>
      </c>
      <c r="AB78" s="83"/>
      <c r="AC78" s="84" t="s">
        <v>27</v>
      </c>
      <c r="AD78" s="83"/>
      <c r="AE78" s="84" t="s">
        <v>27</v>
      </c>
      <c r="AF78" s="83"/>
      <c r="AG78" s="84" t="s">
        <v>27</v>
      </c>
      <c r="AH78" s="83"/>
      <c r="AI78" s="83"/>
      <c r="AJ78" s="83"/>
      <c r="AK78" s="84" t="s">
        <v>27</v>
      </c>
      <c r="AL78" s="24"/>
      <c r="AN78" s="211" t="str">
        <f t="shared" si="15"/>
        <v/>
      </c>
      <c r="AO78" s="60">
        <f t="shared" si="16"/>
        <v>1</v>
      </c>
      <c r="AP78" s="60">
        <f t="shared" si="17"/>
        <v>0</v>
      </c>
      <c r="AQ78" s="60">
        <f t="shared" si="18"/>
        <v>0</v>
      </c>
      <c r="AR78" s="60">
        <f t="shared" si="19"/>
        <v>0</v>
      </c>
      <c r="AS78" s="60">
        <f t="shared" si="20"/>
        <v>0</v>
      </c>
      <c r="AT78" s="221">
        <f t="shared" si="21"/>
        <v>0</v>
      </c>
      <c r="AU78" s="36"/>
    </row>
    <row r="79" ht="15.75" customHeight="1">
      <c r="A79" s="190" t="s">
        <v>33</v>
      </c>
      <c r="B79" s="487" t="s">
        <v>797</v>
      </c>
      <c r="C79" s="475">
        <v>4.3659406E7</v>
      </c>
      <c r="D79" s="475" t="s">
        <v>798</v>
      </c>
      <c r="E79" s="475" t="s">
        <v>303</v>
      </c>
      <c r="F79" s="485" t="s">
        <v>799</v>
      </c>
      <c r="G79" s="83"/>
      <c r="H79" s="83"/>
      <c r="I79" s="84" t="s">
        <v>27</v>
      </c>
      <c r="J79" s="83"/>
      <c r="K79" s="84" t="s">
        <v>27</v>
      </c>
      <c r="L79" s="83"/>
      <c r="M79" s="172" t="s">
        <v>27</v>
      </c>
      <c r="N79" s="83"/>
      <c r="O79" s="84" t="s">
        <v>18</v>
      </c>
      <c r="P79" s="83"/>
      <c r="Q79" s="84" t="s">
        <v>18</v>
      </c>
      <c r="R79" s="83"/>
      <c r="S79" s="84" t="s">
        <v>27</v>
      </c>
      <c r="T79" s="83"/>
      <c r="U79" s="83"/>
      <c r="V79" s="83"/>
      <c r="W79" s="84" t="s">
        <v>27</v>
      </c>
      <c r="X79" s="83"/>
      <c r="Y79" s="84" t="s">
        <v>18</v>
      </c>
      <c r="Z79" s="83"/>
      <c r="AA79" s="172" t="s">
        <v>18</v>
      </c>
      <c r="AB79" s="83"/>
      <c r="AC79" s="448" t="s">
        <v>19</v>
      </c>
      <c r="AD79" s="448" t="s">
        <v>19</v>
      </c>
      <c r="AE79" s="84" t="s">
        <v>18</v>
      </c>
      <c r="AF79" s="83"/>
      <c r="AG79" s="84" t="s">
        <v>18</v>
      </c>
      <c r="AH79" s="83"/>
      <c r="AI79" s="83"/>
      <c r="AJ79" s="83"/>
      <c r="AK79" s="84" t="s">
        <v>27</v>
      </c>
      <c r="AL79" s="24"/>
      <c r="AN79" s="211" t="str">
        <f t="shared" si="15"/>
        <v>NO CORRESPONDE FRANCO</v>
      </c>
      <c r="AO79" s="60">
        <f t="shared" si="16"/>
        <v>6</v>
      </c>
      <c r="AP79" s="60">
        <f t="shared" si="17"/>
        <v>2</v>
      </c>
      <c r="AQ79" s="60">
        <f t="shared" si="18"/>
        <v>0</v>
      </c>
      <c r="AR79" s="60">
        <f t="shared" si="19"/>
        <v>0</v>
      </c>
      <c r="AS79" s="60">
        <f t="shared" si="20"/>
        <v>0</v>
      </c>
      <c r="AT79" s="221">
        <f t="shared" si="21"/>
        <v>2</v>
      </c>
      <c r="AU79" s="36"/>
    </row>
    <row r="80" ht="15.75" customHeight="1">
      <c r="A80" s="190" t="s">
        <v>33</v>
      </c>
      <c r="B80" s="191" t="s">
        <v>803</v>
      </c>
      <c r="C80" s="182">
        <v>4.4209464E7</v>
      </c>
      <c r="D80" s="182" t="s">
        <v>804</v>
      </c>
      <c r="E80" s="182" t="s">
        <v>303</v>
      </c>
      <c r="F80" s="440" t="s">
        <v>805</v>
      </c>
      <c r="G80" s="83"/>
      <c r="H80" s="83"/>
      <c r="I80" s="84" t="s">
        <v>27</v>
      </c>
      <c r="J80" s="83"/>
      <c r="K80" s="84" t="s">
        <v>27</v>
      </c>
      <c r="L80" s="83"/>
      <c r="M80" s="172" t="s">
        <v>27</v>
      </c>
      <c r="N80" s="83"/>
      <c r="O80" s="84" t="s">
        <v>27</v>
      </c>
      <c r="P80" s="83"/>
      <c r="Q80" s="84" t="s">
        <v>18</v>
      </c>
      <c r="R80" s="83"/>
      <c r="S80" s="84" t="s">
        <v>27</v>
      </c>
      <c r="T80" s="83"/>
      <c r="U80" s="83"/>
      <c r="V80" s="83"/>
      <c r="W80" s="84" t="s">
        <v>27</v>
      </c>
      <c r="X80" s="83"/>
      <c r="Y80" s="84" t="s">
        <v>18</v>
      </c>
      <c r="Z80" s="83"/>
      <c r="AA80" s="172" t="s">
        <v>120</v>
      </c>
      <c r="AB80" s="83"/>
      <c r="AC80" s="84" t="s">
        <v>198</v>
      </c>
      <c r="AD80" s="83"/>
      <c r="AE80" s="84" t="s">
        <v>27</v>
      </c>
      <c r="AF80" s="83"/>
      <c r="AG80" s="84" t="s">
        <v>27</v>
      </c>
      <c r="AH80" s="83"/>
      <c r="AI80" s="83"/>
      <c r="AJ80" s="83"/>
      <c r="AK80" s="84" t="s">
        <v>27</v>
      </c>
      <c r="AL80" s="24"/>
      <c r="AN80" s="211" t="str">
        <f t="shared" si="15"/>
        <v/>
      </c>
      <c r="AO80" s="60">
        <f t="shared" si="16"/>
        <v>2</v>
      </c>
      <c r="AP80" s="60">
        <f t="shared" si="17"/>
        <v>0</v>
      </c>
      <c r="AQ80" s="60">
        <f t="shared" si="18"/>
        <v>0</v>
      </c>
      <c r="AR80" s="60">
        <f t="shared" si="19"/>
        <v>0</v>
      </c>
      <c r="AS80" s="60">
        <f t="shared" si="20"/>
        <v>0</v>
      </c>
      <c r="AT80" s="221">
        <f t="shared" si="21"/>
        <v>0</v>
      </c>
      <c r="AU80" s="36"/>
    </row>
    <row r="81" ht="15.75" customHeight="1">
      <c r="A81" s="472" t="s">
        <v>33</v>
      </c>
      <c r="B81" s="473" t="s">
        <v>809</v>
      </c>
      <c r="C81" s="70">
        <v>4.5356816E7</v>
      </c>
      <c r="D81" s="70" t="s">
        <v>810</v>
      </c>
      <c r="E81" s="70" t="s">
        <v>812</v>
      </c>
      <c r="F81" s="280" t="s">
        <v>813</v>
      </c>
      <c r="G81" s="83"/>
      <c r="H81" s="83"/>
      <c r="I81" s="84" t="s">
        <v>27</v>
      </c>
      <c r="J81" s="83"/>
      <c r="K81" s="84" t="s">
        <v>27</v>
      </c>
      <c r="L81" s="83"/>
      <c r="M81" s="172" t="s">
        <v>27</v>
      </c>
      <c r="N81" s="83"/>
      <c r="O81" s="84" t="s">
        <v>27</v>
      </c>
      <c r="P81" s="83"/>
      <c r="Q81" s="84" t="s">
        <v>27</v>
      </c>
      <c r="R81" s="83"/>
      <c r="S81" s="84" t="s">
        <v>18</v>
      </c>
      <c r="T81" s="83"/>
      <c r="U81" s="83"/>
      <c r="V81" s="83"/>
      <c r="W81" s="84" t="s">
        <v>27</v>
      </c>
      <c r="X81" s="83"/>
      <c r="Y81" s="84" t="s">
        <v>27</v>
      </c>
      <c r="Z81" s="83"/>
      <c r="AA81" s="172" t="s">
        <v>27</v>
      </c>
      <c r="AB81" s="83"/>
      <c r="AC81" s="86" t="s">
        <v>32</v>
      </c>
      <c r="AD81" s="83"/>
      <c r="AE81" s="84" t="s">
        <v>27</v>
      </c>
      <c r="AF81" s="83"/>
      <c r="AG81" s="84" t="s">
        <v>27</v>
      </c>
      <c r="AH81" s="83"/>
      <c r="AI81" s="83"/>
      <c r="AJ81" s="83"/>
      <c r="AK81" s="84" t="s">
        <v>18</v>
      </c>
      <c r="AL81" s="24"/>
      <c r="AN81" s="211" t="str">
        <f t="shared" si="15"/>
        <v/>
      </c>
      <c r="AO81" s="60">
        <f t="shared" si="16"/>
        <v>2</v>
      </c>
      <c r="AP81" s="60">
        <f t="shared" si="17"/>
        <v>0</v>
      </c>
      <c r="AQ81" s="60">
        <f t="shared" si="18"/>
        <v>0</v>
      </c>
      <c r="AR81" s="60">
        <f t="shared" si="19"/>
        <v>0</v>
      </c>
      <c r="AS81" s="60">
        <f t="shared" si="20"/>
        <v>0</v>
      </c>
      <c r="AT81" s="221">
        <f t="shared" si="21"/>
        <v>0</v>
      </c>
      <c r="AU81" s="36"/>
    </row>
    <row r="82" ht="15.75" customHeight="1">
      <c r="A82" s="66" t="s">
        <v>33</v>
      </c>
      <c r="B82" s="491" t="s">
        <v>816</v>
      </c>
      <c r="C82" s="100">
        <v>4.2942049E7</v>
      </c>
      <c r="D82" s="214" t="s">
        <v>820</v>
      </c>
      <c r="E82" s="66" t="s">
        <v>533</v>
      </c>
      <c r="F82" s="492" t="s">
        <v>821</v>
      </c>
      <c r="G82" s="83"/>
      <c r="H82" s="83"/>
      <c r="I82" s="84" t="s">
        <v>27</v>
      </c>
      <c r="J82" s="83"/>
      <c r="K82" s="84" t="s">
        <v>27</v>
      </c>
      <c r="L82" s="83"/>
      <c r="M82" s="172" t="s">
        <v>27</v>
      </c>
      <c r="N82" s="83"/>
      <c r="O82" s="86" t="s">
        <v>32</v>
      </c>
      <c r="P82" s="83"/>
      <c r="Q82" s="84" t="s">
        <v>27</v>
      </c>
      <c r="R82" s="83"/>
      <c r="S82" s="84" t="s">
        <v>27</v>
      </c>
      <c r="T82" s="83"/>
      <c r="U82" s="83"/>
      <c r="V82" s="83"/>
      <c r="W82" s="84" t="s">
        <v>27</v>
      </c>
      <c r="X82" s="83"/>
      <c r="Y82" s="84" t="s">
        <v>27</v>
      </c>
      <c r="Z82" s="83"/>
      <c r="AA82" s="172" t="s">
        <v>27</v>
      </c>
      <c r="AB82" s="83"/>
      <c r="AC82" s="86" t="s">
        <v>32</v>
      </c>
      <c r="AD82" s="83"/>
      <c r="AE82" s="84" t="s">
        <v>27</v>
      </c>
      <c r="AF82" s="83"/>
      <c r="AG82" s="84" t="s">
        <v>27</v>
      </c>
      <c r="AH82" s="83"/>
      <c r="AI82" s="83"/>
      <c r="AJ82" s="83"/>
      <c r="AK82" s="84" t="s">
        <v>27</v>
      </c>
      <c r="AL82" s="24"/>
      <c r="AN82" s="211" t="str">
        <f t="shared" si="15"/>
        <v/>
      </c>
      <c r="AO82" s="60">
        <f t="shared" si="16"/>
        <v>0</v>
      </c>
      <c r="AP82" s="60">
        <f t="shared" si="17"/>
        <v>0</v>
      </c>
      <c r="AQ82" s="60">
        <f t="shared" si="18"/>
        <v>0</v>
      </c>
      <c r="AR82" s="60">
        <f t="shared" si="19"/>
        <v>0</v>
      </c>
      <c r="AS82" s="60">
        <f t="shared" si="20"/>
        <v>0</v>
      </c>
      <c r="AT82" s="221">
        <f t="shared" si="21"/>
        <v>0</v>
      </c>
      <c r="AU82" s="36"/>
    </row>
    <row r="83" ht="15.75" customHeight="1">
      <c r="A83" s="66" t="s">
        <v>33</v>
      </c>
      <c r="B83" s="78" t="s">
        <v>825</v>
      </c>
      <c r="C83" s="66">
        <v>4.3629113E7</v>
      </c>
      <c r="D83" s="66" t="s">
        <v>826</v>
      </c>
      <c r="E83" s="471" t="s">
        <v>303</v>
      </c>
      <c r="F83" s="418" t="s">
        <v>827</v>
      </c>
      <c r="G83" s="83"/>
      <c r="H83" s="83"/>
      <c r="I83" s="84" t="s">
        <v>27</v>
      </c>
      <c r="J83" s="83"/>
      <c r="K83" s="84" t="s">
        <v>18</v>
      </c>
      <c r="L83" s="172" t="s">
        <v>27</v>
      </c>
      <c r="M83" s="172" t="s">
        <v>27</v>
      </c>
      <c r="N83" s="83"/>
      <c r="O83" s="448" t="s">
        <v>19</v>
      </c>
      <c r="P83" s="83"/>
      <c r="Q83" s="135" t="s">
        <v>79</v>
      </c>
      <c r="R83" s="83"/>
      <c r="S83" s="494" t="s">
        <v>78</v>
      </c>
      <c r="T83" s="83"/>
      <c r="U83" s="83"/>
      <c r="V83" s="83"/>
      <c r="W83" s="96" t="s">
        <v>22</v>
      </c>
      <c r="X83" s="96" t="s">
        <v>22</v>
      </c>
      <c r="Y83" s="96" t="s">
        <v>22</v>
      </c>
      <c r="Z83" s="96" t="s">
        <v>22</v>
      </c>
      <c r="AA83" s="96" t="s">
        <v>22</v>
      </c>
      <c r="AB83" s="96" t="s">
        <v>22</v>
      </c>
      <c r="AC83" s="96" t="s">
        <v>22</v>
      </c>
      <c r="AD83" s="83"/>
      <c r="AE83" s="84" t="s">
        <v>27</v>
      </c>
      <c r="AF83" s="83"/>
      <c r="AG83" s="84" t="s">
        <v>27</v>
      </c>
      <c r="AH83" s="83"/>
      <c r="AI83" s="83"/>
      <c r="AJ83" s="83"/>
      <c r="AK83" s="84" t="s">
        <v>27</v>
      </c>
      <c r="AL83" s="24"/>
      <c r="AN83" s="211" t="str">
        <f t="shared" si="15"/>
        <v>NO CORRESPONDE FRANCO</v>
      </c>
      <c r="AO83" s="60">
        <f t="shared" si="16"/>
        <v>1</v>
      </c>
      <c r="AP83" s="60">
        <f t="shared" si="17"/>
        <v>1</v>
      </c>
      <c r="AQ83" s="60">
        <f t="shared" si="18"/>
        <v>0</v>
      </c>
      <c r="AR83" s="60">
        <f t="shared" si="19"/>
        <v>0</v>
      </c>
      <c r="AS83" s="60">
        <f t="shared" si="20"/>
        <v>7</v>
      </c>
      <c r="AT83" s="221">
        <f t="shared" si="21"/>
        <v>8</v>
      </c>
      <c r="AU83" s="36"/>
    </row>
    <row r="84" ht="15.75" customHeight="1">
      <c r="A84" s="66" t="s">
        <v>33</v>
      </c>
      <c r="B84" s="67" t="s">
        <v>831</v>
      </c>
      <c r="C84" s="66">
        <v>4.2655553E7</v>
      </c>
      <c r="D84" s="66" t="s">
        <v>832</v>
      </c>
      <c r="E84" s="76" t="s">
        <v>812</v>
      </c>
      <c r="F84" s="495" t="s">
        <v>833</v>
      </c>
      <c r="G84" s="83"/>
      <c r="H84" s="83"/>
      <c r="I84" s="84" t="s">
        <v>27</v>
      </c>
      <c r="J84" s="83"/>
      <c r="K84" s="84" t="s">
        <v>27</v>
      </c>
      <c r="L84" s="83"/>
      <c r="M84" s="172" t="s">
        <v>27</v>
      </c>
      <c r="N84" s="83"/>
      <c r="O84" s="84" t="s">
        <v>18</v>
      </c>
      <c r="P84" s="83"/>
      <c r="Q84" s="84" t="s">
        <v>198</v>
      </c>
      <c r="R84" s="83"/>
      <c r="S84" s="84" t="s">
        <v>27</v>
      </c>
      <c r="T84" s="83"/>
      <c r="U84" s="83"/>
      <c r="V84" s="83"/>
      <c r="W84" s="86" t="s">
        <v>32</v>
      </c>
      <c r="X84" s="83"/>
      <c r="Y84" s="84" t="s">
        <v>27</v>
      </c>
      <c r="Z84" s="83"/>
      <c r="AA84" s="172" t="s">
        <v>27</v>
      </c>
      <c r="AB84" s="83"/>
      <c r="AC84" s="84" t="s">
        <v>27</v>
      </c>
      <c r="AD84" s="83"/>
      <c r="AE84" s="84" t="s">
        <v>120</v>
      </c>
      <c r="AF84" s="83"/>
      <c r="AG84" s="84" t="s">
        <v>27</v>
      </c>
      <c r="AH84" s="83"/>
      <c r="AI84" s="83"/>
      <c r="AJ84" s="83"/>
      <c r="AK84" s="84" t="s">
        <v>27</v>
      </c>
      <c r="AL84" s="24"/>
      <c r="AN84" s="211" t="str">
        <f t="shared" si="15"/>
        <v/>
      </c>
      <c r="AO84" s="60">
        <f t="shared" si="16"/>
        <v>1</v>
      </c>
      <c r="AP84" s="60">
        <f t="shared" si="17"/>
        <v>0</v>
      </c>
      <c r="AQ84" s="60">
        <f t="shared" si="18"/>
        <v>0</v>
      </c>
      <c r="AR84" s="60">
        <f t="shared" si="19"/>
        <v>0</v>
      </c>
      <c r="AS84" s="60">
        <f t="shared" si="20"/>
        <v>0</v>
      </c>
      <c r="AT84" s="221">
        <f t="shared" si="21"/>
        <v>0</v>
      </c>
      <c r="AU84" s="36"/>
    </row>
    <row r="85" ht="15.75" customHeight="1">
      <c r="A85" s="66" t="s">
        <v>33</v>
      </c>
      <c r="B85" s="496" t="s">
        <v>840</v>
      </c>
      <c r="C85" s="115">
        <v>4.54789E7</v>
      </c>
      <c r="D85" s="66" t="s">
        <v>841</v>
      </c>
      <c r="E85" s="70" t="s">
        <v>303</v>
      </c>
      <c r="F85" s="81" t="s">
        <v>842</v>
      </c>
      <c r="G85" s="83"/>
      <c r="H85" s="83"/>
      <c r="I85" s="497" t="s">
        <v>22</v>
      </c>
      <c r="J85" s="497" t="s">
        <v>22</v>
      </c>
      <c r="K85" s="497" t="s">
        <v>22</v>
      </c>
      <c r="L85" s="497" t="s">
        <v>22</v>
      </c>
      <c r="M85" s="497" t="s">
        <v>22</v>
      </c>
      <c r="N85" s="497" t="s">
        <v>22</v>
      </c>
      <c r="O85" s="497" t="s">
        <v>22</v>
      </c>
      <c r="P85" s="83"/>
      <c r="Q85" s="84" t="s">
        <v>27</v>
      </c>
      <c r="R85" s="83"/>
      <c r="S85" s="84" t="s">
        <v>27</v>
      </c>
      <c r="T85" s="83"/>
      <c r="U85" s="83"/>
      <c r="V85" s="83"/>
      <c r="W85" s="84" t="s">
        <v>27</v>
      </c>
      <c r="X85" s="83"/>
      <c r="Y85" s="84" t="s">
        <v>27</v>
      </c>
      <c r="Z85" s="83"/>
      <c r="AA85" s="172" t="s">
        <v>27</v>
      </c>
      <c r="AB85" s="83"/>
      <c r="AC85" s="84" t="s">
        <v>27</v>
      </c>
      <c r="AD85" s="83"/>
      <c r="AE85" s="84" t="s">
        <v>27</v>
      </c>
      <c r="AF85" s="83"/>
      <c r="AG85" s="84" t="s">
        <v>120</v>
      </c>
      <c r="AH85" s="83"/>
      <c r="AI85" s="83"/>
      <c r="AJ85" s="83"/>
      <c r="AK85" s="84" t="s">
        <v>120</v>
      </c>
      <c r="AL85" s="24"/>
      <c r="AN85" s="211" t="str">
        <f t="shared" si="15"/>
        <v>NO CORRESPONDE FRANCO</v>
      </c>
      <c r="AO85" s="60">
        <f t="shared" si="16"/>
        <v>0</v>
      </c>
      <c r="AP85" s="60">
        <f t="shared" si="17"/>
        <v>0</v>
      </c>
      <c r="AQ85" s="60">
        <f t="shared" si="18"/>
        <v>0</v>
      </c>
      <c r="AR85" s="60">
        <f t="shared" si="19"/>
        <v>0</v>
      </c>
      <c r="AS85" s="60">
        <f t="shared" si="20"/>
        <v>7</v>
      </c>
      <c r="AT85" s="221">
        <f t="shared" si="21"/>
        <v>7</v>
      </c>
      <c r="AU85" s="36"/>
    </row>
    <row r="86" ht="16.5" customHeight="1">
      <c r="A86" s="76" t="s">
        <v>33</v>
      </c>
      <c r="B86" s="473" t="s">
        <v>846</v>
      </c>
      <c r="C86" s="70">
        <v>4.5147543E7</v>
      </c>
      <c r="D86" s="70" t="s">
        <v>848</v>
      </c>
      <c r="E86" s="70" t="s">
        <v>812</v>
      </c>
      <c r="F86" s="280" t="s">
        <v>850</v>
      </c>
      <c r="G86" s="83"/>
      <c r="H86" s="83"/>
      <c r="I86" s="86" t="s">
        <v>32</v>
      </c>
      <c r="J86" s="83"/>
      <c r="K86" s="84" t="s">
        <v>27</v>
      </c>
      <c r="L86" s="83"/>
      <c r="M86" s="172" t="s">
        <v>27</v>
      </c>
      <c r="N86" s="83"/>
      <c r="O86" s="84" t="s">
        <v>27</v>
      </c>
      <c r="P86" s="83"/>
      <c r="Q86" s="84" t="s">
        <v>27</v>
      </c>
      <c r="R86" s="83"/>
      <c r="S86" s="84" t="s">
        <v>27</v>
      </c>
      <c r="T86" s="83"/>
      <c r="U86" s="83"/>
      <c r="V86" s="83"/>
      <c r="W86" s="84" t="s">
        <v>27</v>
      </c>
      <c r="X86" s="83"/>
      <c r="Y86" s="84" t="s">
        <v>27</v>
      </c>
      <c r="Z86" s="83"/>
      <c r="AA86" s="172" t="s">
        <v>27</v>
      </c>
      <c r="AB86" s="83"/>
      <c r="AC86" s="84" t="s">
        <v>27</v>
      </c>
      <c r="AD86" s="83"/>
      <c r="AE86" s="84" t="s">
        <v>27</v>
      </c>
      <c r="AF86" s="83"/>
      <c r="AG86" s="86" t="s">
        <v>32</v>
      </c>
      <c r="AH86" s="83"/>
      <c r="AI86" s="83"/>
      <c r="AJ86" s="83"/>
      <c r="AK86" s="84" t="s">
        <v>27</v>
      </c>
      <c r="AL86" s="24"/>
      <c r="AN86" s="211" t="str">
        <f t="shared" si="15"/>
        <v/>
      </c>
      <c r="AO86" s="60">
        <f t="shared" si="16"/>
        <v>0</v>
      </c>
      <c r="AP86" s="60">
        <f t="shared" si="17"/>
        <v>0</v>
      </c>
      <c r="AQ86" s="60">
        <f t="shared" si="18"/>
        <v>0</v>
      </c>
      <c r="AR86" s="60">
        <f t="shared" si="19"/>
        <v>0</v>
      </c>
      <c r="AS86" s="60">
        <f t="shared" si="20"/>
        <v>0</v>
      </c>
      <c r="AT86" s="221">
        <f t="shared" si="21"/>
        <v>0</v>
      </c>
      <c r="AU86" s="36"/>
    </row>
    <row r="87">
      <c r="A87" s="490" t="s">
        <v>33</v>
      </c>
      <c r="B87" s="500" t="s">
        <v>852</v>
      </c>
      <c r="C87" s="490">
        <v>4.5868439E7</v>
      </c>
      <c r="D87" s="490" t="s">
        <v>853</v>
      </c>
      <c r="E87" s="66" t="s">
        <v>303</v>
      </c>
      <c r="F87" s="501" t="s">
        <v>854</v>
      </c>
      <c r="G87" s="83"/>
      <c r="H87" s="83"/>
      <c r="I87" s="84" t="s">
        <v>27</v>
      </c>
      <c r="J87" s="83"/>
      <c r="K87" s="84" t="s">
        <v>27</v>
      </c>
      <c r="L87" s="83"/>
      <c r="M87" s="172" t="s">
        <v>27</v>
      </c>
      <c r="N87" s="83"/>
      <c r="O87" s="84" t="s">
        <v>27</v>
      </c>
      <c r="P87" s="83"/>
      <c r="Q87" s="84" t="s">
        <v>27</v>
      </c>
      <c r="R87" s="83"/>
      <c r="S87" s="84" t="s">
        <v>27</v>
      </c>
      <c r="T87" s="83"/>
      <c r="U87" s="83"/>
      <c r="V87" s="83"/>
      <c r="W87" s="84" t="s">
        <v>27</v>
      </c>
      <c r="X87" s="83"/>
      <c r="Y87" s="84" t="s">
        <v>27</v>
      </c>
      <c r="Z87" s="83"/>
      <c r="AA87" s="96" t="s">
        <v>22</v>
      </c>
      <c r="AB87" s="96" t="s">
        <v>22</v>
      </c>
      <c r="AC87" s="96" t="s">
        <v>22</v>
      </c>
      <c r="AD87" s="96" t="s">
        <v>22</v>
      </c>
      <c r="AE87" s="96" t="s">
        <v>22</v>
      </c>
      <c r="AF87" s="96" t="s">
        <v>22</v>
      </c>
      <c r="AG87" s="96" t="s">
        <v>22</v>
      </c>
      <c r="AH87" s="83"/>
      <c r="AI87" s="83"/>
      <c r="AJ87" s="83"/>
      <c r="AK87" s="86" t="s">
        <v>32</v>
      </c>
      <c r="AL87" s="24"/>
      <c r="AN87" s="211" t="str">
        <f t="shared" si="15"/>
        <v>NO CORRESPONDE FRANCO</v>
      </c>
      <c r="AO87" s="60">
        <f t="shared" si="16"/>
        <v>0</v>
      </c>
      <c r="AP87" s="60">
        <f t="shared" si="17"/>
        <v>0</v>
      </c>
      <c r="AQ87" s="60">
        <f t="shared" si="18"/>
        <v>0</v>
      </c>
      <c r="AR87" s="60">
        <f t="shared" si="19"/>
        <v>0</v>
      </c>
      <c r="AS87" s="60">
        <f t="shared" si="20"/>
        <v>7</v>
      </c>
      <c r="AT87" s="221">
        <f t="shared" si="21"/>
        <v>7</v>
      </c>
      <c r="AU87" s="36"/>
    </row>
    <row r="88" ht="15.75" customHeight="1">
      <c r="A88" s="76" t="s">
        <v>33</v>
      </c>
      <c r="B88" s="67" t="s">
        <v>858</v>
      </c>
      <c r="C88" s="76">
        <v>4.4425086E7</v>
      </c>
      <c r="D88" s="76" t="s">
        <v>859</v>
      </c>
      <c r="E88" s="66" t="s">
        <v>860</v>
      </c>
      <c r="F88" s="505" t="s">
        <v>861</v>
      </c>
      <c r="G88" s="83"/>
      <c r="H88" s="83"/>
      <c r="I88" s="84" t="s">
        <v>27</v>
      </c>
      <c r="J88" s="83"/>
      <c r="K88" s="84" t="s">
        <v>27</v>
      </c>
      <c r="L88" s="83"/>
      <c r="M88" s="172" t="s">
        <v>27</v>
      </c>
      <c r="N88" s="83"/>
      <c r="O88" s="84" t="s">
        <v>27</v>
      </c>
      <c r="P88" s="83"/>
      <c r="Q88" s="84" t="s">
        <v>27</v>
      </c>
      <c r="R88" s="83"/>
      <c r="S88" s="84" t="s">
        <v>27</v>
      </c>
      <c r="T88" s="83"/>
      <c r="U88" s="83"/>
      <c r="V88" s="83"/>
      <c r="W88" s="86" t="s">
        <v>32</v>
      </c>
      <c r="X88" s="83"/>
      <c r="Y88" s="84" t="s">
        <v>27</v>
      </c>
      <c r="Z88" s="83"/>
      <c r="AA88" s="172" t="s">
        <v>27</v>
      </c>
      <c r="AB88" s="83"/>
      <c r="AC88" s="84" t="s">
        <v>27</v>
      </c>
      <c r="AD88" s="83"/>
      <c r="AE88" s="84" t="s">
        <v>27</v>
      </c>
      <c r="AF88" s="83"/>
      <c r="AG88" s="84" t="s">
        <v>27</v>
      </c>
      <c r="AH88" s="83"/>
      <c r="AI88" s="83"/>
      <c r="AJ88" s="83"/>
      <c r="AK88" s="84" t="s">
        <v>27</v>
      </c>
      <c r="AL88" s="24"/>
      <c r="AN88" s="211" t="str">
        <f t="shared" si="15"/>
        <v/>
      </c>
      <c r="AO88" s="60">
        <f t="shared" si="16"/>
        <v>0</v>
      </c>
      <c r="AP88" s="60">
        <f t="shared" si="17"/>
        <v>0</v>
      </c>
      <c r="AQ88" s="60">
        <f t="shared" si="18"/>
        <v>0</v>
      </c>
      <c r="AR88" s="60">
        <f t="shared" si="19"/>
        <v>0</v>
      </c>
      <c r="AS88" s="60">
        <f t="shared" si="20"/>
        <v>0</v>
      </c>
      <c r="AT88" s="221">
        <f t="shared" si="21"/>
        <v>0</v>
      </c>
      <c r="AU88" s="36"/>
    </row>
    <row r="89" ht="15.75" customHeight="1">
      <c r="A89" s="38" t="s">
        <v>33</v>
      </c>
      <c r="B89" s="116" t="s">
        <v>862</v>
      </c>
      <c r="C89" s="76">
        <v>4.3779589E7</v>
      </c>
      <c r="D89" s="76" t="s">
        <v>863</v>
      </c>
      <c r="E89" s="66" t="s">
        <v>864</v>
      </c>
      <c r="F89" s="505" t="s">
        <v>865</v>
      </c>
      <c r="G89" s="83"/>
      <c r="H89" s="83"/>
      <c r="I89" s="84" t="s">
        <v>18</v>
      </c>
      <c r="J89" s="83"/>
      <c r="K89" s="84" t="s">
        <v>18</v>
      </c>
      <c r="L89" s="83"/>
      <c r="M89" s="172" t="s">
        <v>27</v>
      </c>
      <c r="N89" s="83"/>
      <c r="O89" s="84" t="s">
        <v>27</v>
      </c>
      <c r="P89" s="83"/>
      <c r="Q89" s="84" t="s">
        <v>27</v>
      </c>
      <c r="R89" s="83"/>
      <c r="S89" s="86" t="s">
        <v>32</v>
      </c>
      <c r="T89" s="83"/>
      <c r="U89" s="83"/>
      <c r="V89" s="83"/>
      <c r="W89" s="448" t="s">
        <v>19</v>
      </c>
      <c r="X89" s="448" t="s">
        <v>19</v>
      </c>
      <c r="Y89" s="84" t="s">
        <v>27</v>
      </c>
      <c r="Z89" s="83"/>
      <c r="AA89" s="172" t="s">
        <v>18</v>
      </c>
      <c r="AB89" s="83"/>
      <c r="AC89" s="84" t="s">
        <v>18</v>
      </c>
      <c r="AD89" s="83"/>
      <c r="AE89" s="84" t="s">
        <v>18</v>
      </c>
      <c r="AF89" s="83"/>
      <c r="AG89" s="84" t="s">
        <v>18</v>
      </c>
      <c r="AH89" s="83"/>
      <c r="AI89" s="83"/>
      <c r="AJ89" s="83"/>
      <c r="AK89" s="84" t="s">
        <v>18</v>
      </c>
      <c r="AL89" s="24"/>
      <c r="AN89" s="211" t="str">
        <f t="shared" si="15"/>
        <v>NO CORRESPONDE FRANCO</v>
      </c>
      <c r="AO89" s="60">
        <f t="shared" si="16"/>
        <v>7</v>
      </c>
      <c r="AP89" s="60">
        <f t="shared" si="17"/>
        <v>2</v>
      </c>
      <c r="AQ89" s="60">
        <f t="shared" si="18"/>
        <v>0</v>
      </c>
      <c r="AR89" s="60">
        <f t="shared" si="19"/>
        <v>0</v>
      </c>
      <c r="AS89" s="60">
        <f t="shared" si="20"/>
        <v>0</v>
      </c>
      <c r="AT89" s="221">
        <f t="shared" si="21"/>
        <v>2</v>
      </c>
      <c r="AU89" s="36"/>
    </row>
    <row r="90" ht="15.75" customHeight="1">
      <c r="A90" s="507" t="s">
        <v>33</v>
      </c>
      <c r="B90" s="116" t="s">
        <v>870</v>
      </c>
      <c r="C90" s="320">
        <v>4.7646971E7</v>
      </c>
      <c r="D90" s="320" t="s">
        <v>871</v>
      </c>
      <c r="E90" s="508" t="s">
        <v>174</v>
      </c>
      <c r="F90" s="509" t="s">
        <v>872</v>
      </c>
      <c r="G90" s="510"/>
      <c r="H90" s="510"/>
      <c r="I90" s="512" t="s">
        <v>27</v>
      </c>
      <c r="J90" s="510"/>
      <c r="K90" s="512" t="s">
        <v>18</v>
      </c>
      <c r="L90" s="510"/>
      <c r="M90" s="513" t="s">
        <v>27</v>
      </c>
      <c r="N90" s="510"/>
      <c r="O90" s="512" t="s">
        <v>27</v>
      </c>
      <c r="P90" s="510"/>
      <c r="Q90" s="512" t="s">
        <v>27</v>
      </c>
      <c r="R90" s="510"/>
      <c r="S90" s="512" t="s">
        <v>27</v>
      </c>
      <c r="T90" s="510"/>
      <c r="U90" s="510"/>
      <c r="V90" s="510"/>
      <c r="W90" s="512" t="s">
        <v>27</v>
      </c>
      <c r="X90" s="510"/>
      <c r="Y90" s="512" t="s">
        <v>27</v>
      </c>
      <c r="Z90" s="510"/>
      <c r="AA90" s="513" t="s">
        <v>27</v>
      </c>
      <c r="AB90" s="510"/>
      <c r="AC90" s="512" t="s">
        <v>27</v>
      </c>
      <c r="AD90" s="510"/>
      <c r="AE90" s="512" t="s">
        <v>27</v>
      </c>
      <c r="AF90" s="510"/>
      <c r="AG90" s="512" t="s">
        <v>27</v>
      </c>
      <c r="AH90" s="510"/>
      <c r="AI90" s="510"/>
      <c r="AJ90" s="510"/>
      <c r="AK90" s="512" t="s">
        <v>27</v>
      </c>
      <c r="AL90" s="24"/>
      <c r="AN90" s="211" t="str">
        <f t="shared" si="15"/>
        <v/>
      </c>
      <c r="AO90" s="60">
        <f t="shared" si="16"/>
        <v>1</v>
      </c>
      <c r="AP90" s="60">
        <f t="shared" si="17"/>
        <v>0</v>
      </c>
      <c r="AQ90" s="60">
        <f t="shared" si="18"/>
        <v>0</v>
      </c>
      <c r="AR90" s="60">
        <f t="shared" si="19"/>
        <v>0</v>
      </c>
      <c r="AS90" s="60">
        <f t="shared" si="20"/>
        <v>0</v>
      </c>
      <c r="AT90" s="221">
        <f t="shared" si="21"/>
        <v>0</v>
      </c>
      <c r="AU90" s="36"/>
    </row>
    <row r="91" ht="15.75" customHeight="1">
      <c r="A91" s="514" t="s">
        <v>877</v>
      </c>
      <c r="B91" s="2"/>
      <c r="C91" s="2"/>
      <c r="D91" s="2"/>
      <c r="E91" s="2"/>
      <c r="F91" s="2"/>
      <c r="G91" s="2"/>
      <c r="H91" s="2"/>
      <c r="I91" s="2"/>
      <c r="J91" s="2"/>
      <c r="K91" s="2"/>
      <c r="L91" s="2"/>
      <c r="M91" s="2"/>
      <c r="N91" s="2"/>
      <c r="O91" s="2"/>
      <c r="P91" s="2"/>
      <c r="Q91" s="2"/>
      <c r="R91" s="2"/>
      <c r="S91" s="2"/>
      <c r="T91" s="2"/>
      <c r="U91" s="2"/>
      <c r="V91" s="2"/>
      <c r="W91" s="2"/>
      <c r="X91" s="2"/>
      <c r="Y91" s="2"/>
      <c r="Z91" s="2"/>
      <c r="AA91" s="2"/>
      <c r="AB91" s="2"/>
      <c r="AC91" s="2"/>
      <c r="AD91" s="2"/>
      <c r="AE91" s="2"/>
      <c r="AF91" s="2"/>
      <c r="AG91" s="2"/>
      <c r="AH91" s="2"/>
      <c r="AI91" s="2"/>
      <c r="AJ91" s="2"/>
      <c r="AK91" s="3"/>
      <c r="AL91" s="24"/>
      <c r="AN91" s="211" t="str">
        <f t="shared" si="15"/>
        <v/>
      </c>
      <c r="AO91" s="60"/>
      <c r="AP91" s="60"/>
      <c r="AQ91" s="60"/>
      <c r="AR91" s="60"/>
      <c r="AS91" s="60"/>
    </row>
    <row r="92" ht="15.75" customHeight="1">
      <c r="A92" s="93" t="s">
        <v>59</v>
      </c>
      <c r="B92" s="350" t="s">
        <v>881</v>
      </c>
      <c r="C92" s="143">
        <v>4608.0</v>
      </c>
      <c r="D92" s="143" t="s">
        <v>882</v>
      </c>
      <c r="E92" s="182" t="s">
        <v>471</v>
      </c>
      <c r="F92" s="146" t="s">
        <v>883</v>
      </c>
      <c r="G92" s="83"/>
      <c r="H92" s="83"/>
      <c r="I92" s="84" t="s">
        <v>27</v>
      </c>
      <c r="J92" s="83"/>
      <c r="K92" s="84" t="s">
        <v>27</v>
      </c>
      <c r="L92" s="83"/>
      <c r="M92" s="172" t="s">
        <v>120</v>
      </c>
      <c r="N92" s="83"/>
      <c r="O92" s="84" t="s">
        <v>27</v>
      </c>
      <c r="P92" s="83"/>
      <c r="Q92" s="84" t="s">
        <v>27</v>
      </c>
      <c r="R92" s="83"/>
      <c r="S92" s="84" t="s">
        <v>27</v>
      </c>
      <c r="T92" s="83"/>
      <c r="U92" s="83"/>
      <c r="V92" s="83"/>
      <c r="W92" s="84" t="s">
        <v>27</v>
      </c>
      <c r="X92" s="83"/>
      <c r="Y92" s="84" t="s">
        <v>27</v>
      </c>
      <c r="Z92" s="83"/>
      <c r="AA92" s="172" t="s">
        <v>27</v>
      </c>
      <c r="AB92" s="83"/>
      <c r="AC92" s="84" t="s">
        <v>27</v>
      </c>
      <c r="AD92" s="83"/>
      <c r="AE92" s="84" t="s">
        <v>120</v>
      </c>
      <c r="AF92" s="83"/>
      <c r="AG92" s="84" t="s">
        <v>27</v>
      </c>
      <c r="AH92" s="83"/>
      <c r="AI92" s="83"/>
      <c r="AJ92" s="83"/>
      <c r="AK92" s="84" t="s">
        <v>27</v>
      </c>
      <c r="AL92" s="24"/>
      <c r="AN92" s="211" t="str">
        <f t="shared" si="15"/>
        <v/>
      </c>
      <c r="AO92" s="60"/>
      <c r="AP92" s="60"/>
      <c r="AQ92" s="60"/>
      <c r="AR92" s="60"/>
      <c r="AS92" s="60"/>
    </row>
    <row r="93" ht="15.75" customHeight="1">
      <c r="A93" s="409" t="s">
        <v>33</v>
      </c>
      <c r="B93" s="517" t="s">
        <v>887</v>
      </c>
      <c r="C93" s="409">
        <v>4.0422367E7</v>
      </c>
      <c r="D93" s="409" t="s">
        <v>888</v>
      </c>
      <c r="E93" s="518" t="s">
        <v>303</v>
      </c>
      <c r="F93" s="519" t="s">
        <v>889</v>
      </c>
      <c r="G93" s="83"/>
      <c r="H93" s="83"/>
      <c r="I93" s="84" t="s">
        <v>27</v>
      </c>
      <c r="J93" s="83"/>
      <c r="K93" s="84" t="s">
        <v>27</v>
      </c>
      <c r="L93" s="83"/>
      <c r="M93" s="172" t="s">
        <v>120</v>
      </c>
      <c r="N93" s="83"/>
      <c r="O93" s="84" t="s">
        <v>27</v>
      </c>
      <c r="P93" s="83"/>
      <c r="Q93" s="84" t="s">
        <v>27</v>
      </c>
      <c r="R93" s="83"/>
      <c r="S93" s="222" t="s">
        <v>19</v>
      </c>
      <c r="T93" s="83"/>
      <c r="U93" s="83"/>
      <c r="V93" s="83"/>
      <c r="W93" s="84" t="s">
        <v>27</v>
      </c>
      <c r="X93" s="83"/>
      <c r="Y93" s="222" t="s">
        <v>19</v>
      </c>
      <c r="Z93" s="83"/>
      <c r="AA93" s="172"/>
      <c r="AB93" s="83"/>
      <c r="AC93" s="222" t="s">
        <v>19</v>
      </c>
      <c r="AD93" s="83"/>
      <c r="AE93" s="84" t="s">
        <v>27</v>
      </c>
      <c r="AF93" s="83"/>
      <c r="AG93" s="84" t="s">
        <v>27</v>
      </c>
      <c r="AH93" s="83"/>
      <c r="AI93" s="83"/>
      <c r="AJ93" s="83"/>
      <c r="AK93" s="84" t="s">
        <v>27</v>
      </c>
      <c r="AL93" s="24"/>
      <c r="AM93" s="242"/>
      <c r="AN93" s="211" t="str">
        <f t="shared" si="15"/>
        <v>NO CORRESPONDE FRANCO</v>
      </c>
      <c r="AO93" s="60">
        <f>COUNTIF($G93:$AK93,"LLT")</f>
        <v>0</v>
      </c>
      <c r="AP93" s="60">
        <f>COUNTIF($G93:$AK93,"LM")</f>
        <v>3</v>
      </c>
      <c r="AQ93" s="60">
        <f>COUNTIF($G93:$AK93,"FaC")</f>
        <v>0</v>
      </c>
      <c r="AR93" s="60">
        <f>COUNTIF($G93:$AK93,"LxE")</f>
        <v>0</v>
      </c>
      <c r="AS93" s="60">
        <f>COUNTIF($G93:$AK93,"LA")</f>
        <v>0</v>
      </c>
      <c r="AT93" s="221">
        <f>SUM(AP93:AS93)</f>
        <v>3</v>
      </c>
      <c r="AU93" s="36"/>
    </row>
    <row r="94" ht="15.75" customHeight="1">
      <c r="A94" s="369" t="s">
        <v>891</v>
      </c>
      <c r="B94" s="6"/>
      <c r="C94" s="6"/>
      <c r="D94" s="6"/>
      <c r="E94" s="6"/>
      <c r="F94" s="6"/>
      <c r="G94" s="6"/>
      <c r="H94" s="6"/>
      <c r="I94" s="6"/>
      <c r="J94" s="6"/>
      <c r="K94" s="6"/>
      <c r="L94" s="6"/>
      <c r="M94" s="6"/>
      <c r="N94" s="6"/>
      <c r="O94" s="6"/>
      <c r="P94" s="6"/>
      <c r="Q94" s="6"/>
      <c r="R94" s="6"/>
      <c r="S94" s="6"/>
      <c r="T94" s="6"/>
      <c r="U94" s="6"/>
      <c r="V94" s="6"/>
      <c r="W94" s="6"/>
      <c r="X94" s="6"/>
      <c r="Y94" s="6"/>
      <c r="Z94" s="6"/>
      <c r="AA94" s="6"/>
      <c r="AB94" s="6"/>
      <c r="AC94" s="6"/>
      <c r="AD94" s="6"/>
      <c r="AE94" s="6"/>
      <c r="AF94" s="6"/>
      <c r="AG94" s="6"/>
      <c r="AH94" s="6"/>
      <c r="AI94" s="6"/>
      <c r="AJ94" s="6"/>
      <c r="AK94" s="11"/>
      <c r="AL94" s="24"/>
      <c r="AM94" s="242"/>
      <c r="AN94" s="211"/>
      <c r="AO94" s="60"/>
      <c r="AP94" s="60"/>
      <c r="AQ94" s="60"/>
      <c r="AR94" s="60"/>
      <c r="AS94" s="60"/>
    </row>
    <row r="95" ht="15.75" customHeight="1">
      <c r="A95" s="111" t="s">
        <v>505</v>
      </c>
      <c r="B95" s="317" t="s">
        <v>662</v>
      </c>
      <c r="C95" s="427">
        <v>71395.0</v>
      </c>
      <c r="D95" s="111" t="s">
        <v>664</v>
      </c>
      <c r="E95" s="111" t="s">
        <v>665</v>
      </c>
      <c r="F95" s="202" t="s">
        <v>666</v>
      </c>
      <c r="G95" s="520"/>
      <c r="H95" s="521" t="s">
        <v>27</v>
      </c>
      <c r="I95" s="520"/>
      <c r="J95" s="521" t="s">
        <v>27</v>
      </c>
      <c r="K95" s="520"/>
      <c r="L95" s="521" t="s">
        <v>27</v>
      </c>
      <c r="M95" s="83"/>
      <c r="N95" s="522" t="s">
        <v>897</v>
      </c>
      <c r="O95" s="6"/>
      <c r="P95" s="6"/>
      <c r="Q95" s="6"/>
      <c r="R95" s="6"/>
      <c r="S95" s="6"/>
      <c r="T95" s="6"/>
      <c r="U95" s="6"/>
      <c r="V95" s="6"/>
      <c r="W95" s="6"/>
      <c r="X95" s="6"/>
      <c r="Y95" s="6"/>
      <c r="Z95" s="6"/>
      <c r="AA95" s="6"/>
      <c r="AB95" s="6"/>
      <c r="AC95" s="6"/>
      <c r="AD95" s="6"/>
      <c r="AE95" s="6"/>
      <c r="AF95" s="6"/>
      <c r="AG95" s="6"/>
      <c r="AH95" s="6"/>
      <c r="AI95" s="6"/>
      <c r="AJ95" s="6"/>
      <c r="AK95" s="6"/>
      <c r="AL95" s="24"/>
      <c r="AM95" s="242"/>
      <c r="AN95" s="211"/>
      <c r="AO95" s="60"/>
      <c r="AP95" s="60"/>
      <c r="AQ95" s="60"/>
      <c r="AR95" s="60"/>
      <c r="AS95" s="60"/>
      <c r="AT95" s="36"/>
      <c r="AU95" s="36"/>
    </row>
    <row r="96" ht="15.75" customHeight="1">
      <c r="A96" s="93" t="s">
        <v>59</v>
      </c>
      <c r="B96" s="317" t="s">
        <v>683</v>
      </c>
      <c r="C96" s="182">
        <v>6221.0</v>
      </c>
      <c r="D96" s="438" t="s">
        <v>684</v>
      </c>
      <c r="E96" s="143" t="s">
        <v>80</v>
      </c>
      <c r="F96" s="440" t="s">
        <v>687</v>
      </c>
      <c r="G96" s="79"/>
      <c r="H96" s="79"/>
      <c r="I96" s="131" t="s">
        <v>27</v>
      </c>
      <c r="J96" s="79"/>
      <c r="K96" s="131" t="s">
        <v>27</v>
      </c>
      <c r="L96" s="79"/>
      <c r="M96" s="131" t="s">
        <v>27</v>
      </c>
      <c r="N96" s="79"/>
      <c r="O96" s="84" t="s">
        <v>27</v>
      </c>
      <c r="P96" s="83"/>
      <c r="Q96" s="84" t="s">
        <v>27</v>
      </c>
      <c r="R96" s="83"/>
      <c r="S96" s="84" t="s">
        <v>27</v>
      </c>
      <c r="T96" s="83"/>
      <c r="U96" s="83"/>
      <c r="V96" s="84" t="s">
        <v>27</v>
      </c>
      <c r="W96" s="83"/>
      <c r="X96" s="84" t="s">
        <v>27</v>
      </c>
      <c r="Y96" s="83"/>
      <c r="Z96" s="172" t="s">
        <v>27</v>
      </c>
      <c r="AA96" s="204"/>
      <c r="AB96" s="6"/>
      <c r="AC96" s="6"/>
      <c r="AD96" s="6"/>
      <c r="AE96" s="6"/>
      <c r="AF96" s="6"/>
      <c r="AG96" s="6"/>
      <c r="AH96" s="6"/>
      <c r="AI96" s="6"/>
      <c r="AJ96" s="6"/>
      <c r="AK96" s="11"/>
      <c r="AL96" s="24"/>
      <c r="AM96" s="242"/>
      <c r="AN96" s="211"/>
      <c r="AO96" s="60"/>
      <c r="AP96" s="60"/>
      <c r="AQ96" s="60"/>
      <c r="AR96" s="60"/>
      <c r="AS96" s="60"/>
      <c r="AT96" s="221"/>
      <c r="AU96" s="36"/>
    </row>
    <row r="97" ht="15.75" customHeight="1">
      <c r="A97" s="111" t="s">
        <v>162</v>
      </c>
      <c r="B97" s="523" t="s">
        <v>176</v>
      </c>
      <c r="C97" s="127">
        <v>29049.0</v>
      </c>
      <c r="D97" s="524" t="s">
        <v>177</v>
      </c>
      <c r="E97" s="127" t="s">
        <v>148</v>
      </c>
      <c r="F97" s="525" t="s">
        <v>178</v>
      </c>
      <c r="G97" s="343"/>
      <c r="H97" s="526" t="s">
        <v>27</v>
      </c>
      <c r="I97" s="345"/>
      <c r="J97" s="526" t="s">
        <v>27</v>
      </c>
      <c r="K97" s="527" t="s">
        <v>76</v>
      </c>
      <c r="L97" s="526" t="s">
        <v>76</v>
      </c>
      <c r="M97" s="527" t="s">
        <v>76</v>
      </c>
      <c r="N97" s="526" t="s">
        <v>76</v>
      </c>
      <c r="O97" s="527" t="s">
        <v>76</v>
      </c>
      <c r="P97" s="526" t="s">
        <v>27</v>
      </c>
      <c r="Q97" s="345"/>
      <c r="R97" s="526" t="s">
        <v>27</v>
      </c>
      <c r="S97" s="345"/>
      <c r="T97" s="526" t="s">
        <v>27</v>
      </c>
      <c r="U97" s="343"/>
      <c r="V97" s="527" t="s">
        <v>27</v>
      </c>
      <c r="W97" s="343"/>
      <c r="X97" s="527" t="s">
        <v>27</v>
      </c>
      <c r="Y97" s="526" t="s">
        <v>27</v>
      </c>
      <c r="Z97" s="527" t="s">
        <v>32</v>
      </c>
      <c r="AA97" s="83"/>
      <c r="AB97" s="83"/>
      <c r="AC97" s="448" t="s">
        <v>19</v>
      </c>
      <c r="AD97" s="448" t="s">
        <v>19</v>
      </c>
      <c r="AE97" s="84" t="s">
        <v>27</v>
      </c>
      <c r="AF97" s="83"/>
      <c r="AG97" s="119" t="s">
        <v>79</v>
      </c>
      <c r="AH97" s="172" t="s">
        <v>27</v>
      </c>
      <c r="AI97" s="83"/>
      <c r="AJ97" s="172" t="s">
        <v>27</v>
      </c>
      <c r="AK97" s="83"/>
      <c r="AL97" s="140"/>
      <c r="AM97" s="140"/>
      <c r="AN97" s="36"/>
      <c r="AO97" s="36"/>
      <c r="AP97" s="36"/>
      <c r="AQ97" s="36"/>
      <c r="AR97" s="36"/>
      <c r="AS97" s="36"/>
      <c r="AT97" s="36"/>
      <c r="AU97" s="36"/>
    </row>
    <row r="98" ht="15.75" customHeight="1">
      <c r="A98" s="472" t="s">
        <v>33</v>
      </c>
      <c r="B98" s="528" t="s">
        <v>900</v>
      </c>
      <c r="C98" s="472">
        <v>3.7897431E7</v>
      </c>
      <c r="D98" s="472" t="s">
        <v>901</v>
      </c>
      <c r="E98" s="472" t="s">
        <v>303</v>
      </c>
      <c r="F98" s="529" t="s">
        <v>902</v>
      </c>
      <c r="G98" s="83"/>
      <c r="H98" s="83"/>
      <c r="I98" s="84" t="s">
        <v>27</v>
      </c>
      <c r="J98" s="83"/>
      <c r="K98" s="84" t="s">
        <v>120</v>
      </c>
      <c r="L98" s="83"/>
      <c r="M98" s="172" t="s">
        <v>27</v>
      </c>
      <c r="N98" s="83"/>
      <c r="O98" s="84" t="s">
        <v>27</v>
      </c>
      <c r="P98" s="83"/>
      <c r="Q98" s="84" t="s">
        <v>27</v>
      </c>
      <c r="R98" s="83"/>
      <c r="S98" s="84" t="s">
        <v>27</v>
      </c>
      <c r="T98" s="83"/>
      <c r="U98" s="83"/>
      <c r="V98" s="83"/>
      <c r="W98" s="84" t="s">
        <v>27</v>
      </c>
      <c r="X98" s="83"/>
      <c r="Y98" s="84" t="s">
        <v>120</v>
      </c>
      <c r="Z98" s="83"/>
      <c r="AA98" s="172" t="s">
        <v>27</v>
      </c>
      <c r="AB98" s="83"/>
      <c r="AC98" s="84" t="s">
        <v>27</v>
      </c>
      <c r="AD98" s="83"/>
      <c r="AE98" s="84" t="s">
        <v>27</v>
      </c>
      <c r="AF98" s="83"/>
      <c r="AG98" s="84" t="s">
        <v>27</v>
      </c>
      <c r="AH98" s="83"/>
      <c r="AI98" s="83"/>
      <c r="AJ98" s="83"/>
      <c r="AK98" s="84" t="s">
        <v>27</v>
      </c>
      <c r="AL98" s="24"/>
      <c r="AM98" s="242"/>
      <c r="AN98" s="211" t="str">
        <f>IFS(AO98&gt;3,"NO CORRESPONDE FRANCO",AT98&gt;0,"NO CORRESPONDE FRANCO",AT98=0,"")</f>
        <v/>
      </c>
      <c r="AO98" s="60">
        <f>COUNTIF($G98:$AK98,"LLT")</f>
        <v>0</v>
      </c>
      <c r="AP98" s="60">
        <f>COUNTIF($G98:$AK98,"LM")</f>
        <v>0</v>
      </c>
      <c r="AQ98" s="60">
        <f>COUNTIF($G98:$AK98,"FaC")</f>
        <v>0</v>
      </c>
      <c r="AR98" s="60">
        <f>COUNTIF($G98:$AK98,"LxE")</f>
        <v>0</v>
      </c>
      <c r="AS98" s="60">
        <f>COUNTIF($G98:$AK98,"LA")</f>
        <v>0</v>
      </c>
      <c r="AT98" s="221">
        <f>SUM(AP98:AS98)</f>
        <v>0</v>
      </c>
      <c r="AU98" s="36"/>
    </row>
    <row r="99" ht="15.75" customHeight="1">
      <c r="A99" s="530" t="s">
        <v>541</v>
      </c>
      <c r="B99" s="6"/>
      <c r="C99" s="6"/>
      <c r="D99" s="6"/>
      <c r="E99" s="6"/>
      <c r="F99" s="6"/>
      <c r="G99" s="6"/>
      <c r="H99" s="6"/>
      <c r="I99" s="6"/>
      <c r="J99" s="6"/>
      <c r="K99" s="6"/>
      <c r="L99" s="6"/>
      <c r="M99" s="6"/>
      <c r="N99" s="6"/>
      <c r="O99" s="6"/>
      <c r="P99" s="6"/>
      <c r="Q99" s="6"/>
      <c r="R99" s="6"/>
      <c r="S99" s="6"/>
      <c r="T99" s="6"/>
      <c r="U99" s="6"/>
      <c r="V99" s="6"/>
      <c r="W99" s="6"/>
      <c r="X99" s="6"/>
      <c r="Y99" s="6"/>
      <c r="Z99" s="6"/>
      <c r="AA99" s="6"/>
      <c r="AB99" s="6"/>
      <c r="AC99" s="6"/>
      <c r="AD99" s="6"/>
      <c r="AE99" s="6"/>
      <c r="AF99" s="6"/>
      <c r="AG99" s="6"/>
      <c r="AH99" s="6"/>
      <c r="AI99" s="6"/>
      <c r="AJ99" s="6"/>
      <c r="AK99" s="6"/>
      <c r="AL99" s="24"/>
      <c r="AM99" s="242"/>
      <c r="AN99" s="211"/>
      <c r="AO99" s="60"/>
      <c r="AP99" s="60"/>
      <c r="AQ99" s="60"/>
      <c r="AR99" s="60"/>
      <c r="AS99" s="60"/>
      <c r="AT99" s="242"/>
      <c r="AU99" s="242"/>
    </row>
    <row r="100" ht="15.75" customHeight="1">
      <c r="A100" s="320" t="s">
        <v>33</v>
      </c>
      <c r="B100" s="500" t="s">
        <v>906</v>
      </c>
      <c r="C100" s="205">
        <v>3.5163372E7</v>
      </c>
      <c r="D100" s="206" t="s">
        <v>908</v>
      </c>
      <c r="E100" s="531" t="s">
        <v>549</v>
      </c>
      <c r="F100" s="532" t="s">
        <v>911</v>
      </c>
      <c r="G100" s="83"/>
      <c r="H100" s="83"/>
      <c r="I100" s="84" t="s">
        <v>27</v>
      </c>
      <c r="J100" s="83"/>
      <c r="K100" s="84" t="s">
        <v>27</v>
      </c>
      <c r="L100" s="83"/>
      <c r="M100" s="172" t="s">
        <v>27</v>
      </c>
      <c r="N100" s="83"/>
      <c r="O100" s="84" t="s">
        <v>27</v>
      </c>
      <c r="P100" s="83"/>
      <c r="Q100" s="494" t="s">
        <v>78</v>
      </c>
      <c r="R100" s="83"/>
      <c r="S100" s="448" t="s">
        <v>19</v>
      </c>
      <c r="T100" s="448" t="s">
        <v>19</v>
      </c>
      <c r="U100" s="448" t="s">
        <v>19</v>
      </c>
      <c r="V100" s="448" t="s">
        <v>19</v>
      </c>
      <c r="W100" s="448" t="s">
        <v>19</v>
      </c>
      <c r="X100" s="448" t="s">
        <v>19</v>
      </c>
      <c r="Y100" s="448" t="s">
        <v>19</v>
      </c>
      <c r="Z100" s="448" t="s">
        <v>19</v>
      </c>
      <c r="AA100" s="172" t="s">
        <v>27</v>
      </c>
      <c r="AB100" s="83"/>
      <c r="AC100" s="84" t="s">
        <v>27</v>
      </c>
      <c r="AD100" s="83"/>
      <c r="AE100" s="84" t="s">
        <v>120</v>
      </c>
      <c r="AF100" s="83"/>
      <c r="AG100" s="84" t="s">
        <v>18</v>
      </c>
      <c r="AH100" s="83"/>
      <c r="AI100" s="83"/>
      <c r="AJ100" s="83"/>
      <c r="AK100" s="84" t="s">
        <v>27</v>
      </c>
      <c r="AL100" s="24"/>
      <c r="AM100" s="242"/>
      <c r="AN100" s="211" t="str">
        <f>IFS(AO100&gt;3,"NO CORRESPONDE FRANCO",AT100&gt;0,"NO CORRESPONDE FRANCO",AT100=0,"")</f>
        <v>NO CORRESPONDE FRANCO</v>
      </c>
      <c r="AO100" s="60">
        <f>COUNTIF($G100:$AK100,"LLT")</f>
        <v>1</v>
      </c>
      <c r="AP100" s="60">
        <f>COUNTIF($G100:$AK100,"LM")</f>
        <v>8</v>
      </c>
      <c r="AQ100" s="60">
        <f>COUNTIF($G100:$AK100,"FaC")</f>
        <v>0</v>
      </c>
      <c r="AR100" s="60">
        <f>COUNTIF($G100:$AK100,"LxE")</f>
        <v>0</v>
      </c>
      <c r="AS100" s="60">
        <f>COUNTIF($G100:$AK100,"LA")</f>
        <v>0</v>
      </c>
      <c r="AT100" s="221">
        <f>SUM(AP100:AS100)</f>
        <v>8</v>
      </c>
      <c r="AU100" s="36"/>
    </row>
    <row r="101" ht="15.75" customHeight="1">
      <c r="AL101" s="24"/>
      <c r="AM101" s="242"/>
      <c r="AR101" s="242"/>
      <c r="AS101" s="242"/>
      <c r="AT101" s="242"/>
      <c r="AU101" s="242"/>
    </row>
    <row r="102" ht="15.75" customHeight="1">
      <c r="AL102" s="24"/>
      <c r="AM102" s="242"/>
      <c r="AR102" s="242"/>
      <c r="AS102" s="242"/>
      <c r="AT102" s="242"/>
      <c r="AU102" s="242"/>
    </row>
    <row r="103" ht="15.75" customHeight="1"/>
    <row r="104" ht="15.75" customHeight="1">
      <c r="A104" s="65" t="s">
        <v>915</v>
      </c>
      <c r="B104" s="6"/>
      <c r="C104" s="6"/>
      <c r="D104" s="6"/>
      <c r="E104" s="6"/>
      <c r="F104" s="6"/>
      <c r="G104" s="6"/>
      <c r="H104" s="6"/>
      <c r="I104" s="6"/>
      <c r="J104" s="6"/>
      <c r="K104" s="6"/>
      <c r="L104" s="6"/>
      <c r="M104" s="6"/>
      <c r="N104" s="6"/>
      <c r="O104" s="6"/>
      <c r="P104" s="6"/>
      <c r="Q104" s="6"/>
      <c r="R104" s="6"/>
      <c r="S104" s="6"/>
      <c r="T104" s="6"/>
      <c r="U104" s="6"/>
      <c r="V104" s="6"/>
      <c r="W104" s="6"/>
      <c r="X104" s="6"/>
      <c r="Y104" s="6"/>
      <c r="Z104" s="6"/>
      <c r="AA104" s="6"/>
      <c r="AB104" s="6"/>
      <c r="AC104" s="6"/>
      <c r="AD104" s="6"/>
      <c r="AE104" s="6"/>
      <c r="AF104" s="6"/>
      <c r="AG104" s="6"/>
      <c r="AH104" s="11"/>
      <c r="AI104" s="459"/>
      <c r="AJ104" s="459"/>
      <c r="AK104" s="459"/>
      <c r="AL104" s="24"/>
    </row>
    <row r="105" ht="15.75" customHeight="1">
      <c r="A105" s="404" t="s">
        <v>919</v>
      </c>
      <c r="B105" s="6"/>
      <c r="C105" s="6"/>
      <c r="D105" s="6"/>
      <c r="E105" s="6"/>
      <c r="F105" s="11"/>
      <c r="G105" s="9">
        <v>1.0</v>
      </c>
      <c r="H105" s="9">
        <v>2.0</v>
      </c>
      <c r="I105" s="9">
        <v>3.0</v>
      </c>
      <c r="J105" s="9">
        <v>4.0</v>
      </c>
      <c r="K105" s="9">
        <v>5.0</v>
      </c>
      <c r="L105" s="9">
        <v>6.0</v>
      </c>
      <c r="M105" s="9">
        <v>7.0</v>
      </c>
      <c r="N105" s="9">
        <v>8.0</v>
      </c>
      <c r="O105" s="9">
        <v>9.0</v>
      </c>
      <c r="P105" s="9">
        <v>10.0</v>
      </c>
      <c r="Q105" s="9">
        <v>11.0</v>
      </c>
      <c r="R105" s="9">
        <v>12.0</v>
      </c>
      <c r="S105" s="9">
        <v>13.0</v>
      </c>
      <c r="T105" s="9">
        <v>14.0</v>
      </c>
      <c r="U105" s="9">
        <v>15.0</v>
      </c>
      <c r="V105" s="9">
        <v>16.0</v>
      </c>
      <c r="W105" s="9">
        <v>17.0</v>
      </c>
      <c r="X105" s="9">
        <v>18.0</v>
      </c>
      <c r="Y105" s="9">
        <v>19.0</v>
      </c>
      <c r="Z105" s="9">
        <v>20.0</v>
      </c>
      <c r="AA105" s="9">
        <v>21.0</v>
      </c>
      <c r="AB105" s="9">
        <v>22.0</v>
      </c>
      <c r="AC105" s="9">
        <v>23.0</v>
      </c>
      <c r="AD105" s="9">
        <v>24.0</v>
      </c>
      <c r="AE105" s="9">
        <v>25.0</v>
      </c>
      <c r="AF105" s="9">
        <v>26.0</v>
      </c>
      <c r="AG105" s="9">
        <v>27.0</v>
      </c>
      <c r="AH105" s="9">
        <v>28.0</v>
      </c>
      <c r="AI105" s="9">
        <v>29.0</v>
      </c>
      <c r="AJ105" s="9">
        <v>30.0</v>
      </c>
      <c r="AK105" s="9">
        <v>31.0</v>
      </c>
      <c r="AL105" s="24"/>
    </row>
    <row r="106" ht="15.75" customHeight="1">
      <c r="A106" s="384" t="s">
        <v>4</v>
      </c>
      <c r="B106" s="386" t="s">
        <v>5</v>
      </c>
      <c r="C106" s="389" t="s">
        <v>6</v>
      </c>
      <c r="D106" s="389" t="s">
        <v>8</v>
      </c>
      <c r="E106" s="390" t="s">
        <v>30</v>
      </c>
      <c r="F106" s="386" t="s">
        <v>7</v>
      </c>
      <c r="G106" s="9" t="s">
        <v>9</v>
      </c>
      <c r="H106" s="9" t="s">
        <v>10</v>
      </c>
      <c r="I106" s="9" t="s">
        <v>11</v>
      </c>
      <c r="J106" s="9" t="s">
        <v>12</v>
      </c>
      <c r="K106" s="9" t="s">
        <v>12</v>
      </c>
      <c r="L106" s="9" t="s">
        <v>13</v>
      </c>
      <c r="M106" s="9" t="s">
        <v>15</v>
      </c>
      <c r="N106" s="9" t="s">
        <v>9</v>
      </c>
      <c r="O106" s="9" t="s">
        <v>10</v>
      </c>
      <c r="P106" s="9" t="s">
        <v>11</v>
      </c>
      <c r="Q106" s="9" t="s">
        <v>12</v>
      </c>
      <c r="R106" s="9" t="s">
        <v>12</v>
      </c>
      <c r="S106" s="9" t="s">
        <v>13</v>
      </c>
      <c r="T106" s="9" t="s">
        <v>15</v>
      </c>
      <c r="U106" s="9" t="s">
        <v>9</v>
      </c>
      <c r="V106" s="9" t="s">
        <v>10</v>
      </c>
      <c r="W106" s="9" t="s">
        <v>11</v>
      </c>
      <c r="X106" s="9" t="s">
        <v>12</v>
      </c>
      <c r="Y106" s="9" t="s">
        <v>12</v>
      </c>
      <c r="Z106" s="9" t="s">
        <v>13</v>
      </c>
      <c r="AA106" s="9" t="s">
        <v>15</v>
      </c>
      <c r="AB106" s="9" t="s">
        <v>9</v>
      </c>
      <c r="AC106" s="9" t="s">
        <v>10</v>
      </c>
      <c r="AD106" s="9" t="s">
        <v>11</v>
      </c>
      <c r="AE106" s="9" t="s">
        <v>12</v>
      </c>
      <c r="AF106" s="9" t="s">
        <v>12</v>
      </c>
      <c r="AG106" s="9" t="s">
        <v>13</v>
      </c>
      <c r="AH106" s="13" t="s">
        <v>15</v>
      </c>
      <c r="AI106" s="9" t="s">
        <v>9</v>
      </c>
      <c r="AJ106" s="9" t="s">
        <v>10</v>
      </c>
      <c r="AK106" s="9" t="s">
        <v>11</v>
      </c>
      <c r="AL106" s="24"/>
    </row>
    <row r="107" ht="15.75" customHeight="1">
      <c r="A107" s="65" t="s">
        <v>923</v>
      </c>
      <c r="B107" s="6"/>
      <c r="C107" s="6"/>
      <c r="D107" s="6"/>
      <c r="E107" s="6"/>
      <c r="F107" s="6"/>
      <c r="G107" s="6"/>
      <c r="H107" s="6"/>
      <c r="I107" s="6"/>
      <c r="J107" s="6"/>
      <c r="K107" s="6"/>
      <c r="L107" s="6"/>
      <c r="M107" s="6"/>
      <c r="N107" s="6"/>
      <c r="O107" s="6"/>
      <c r="P107" s="6"/>
      <c r="Q107" s="6"/>
      <c r="R107" s="6"/>
      <c r="S107" s="6"/>
      <c r="T107" s="6"/>
      <c r="U107" s="6"/>
      <c r="V107" s="6"/>
      <c r="W107" s="6"/>
      <c r="X107" s="6"/>
      <c r="Y107" s="6"/>
      <c r="Z107" s="6"/>
      <c r="AA107" s="6"/>
      <c r="AB107" s="6"/>
      <c r="AC107" s="6"/>
      <c r="AD107" s="6"/>
      <c r="AE107" s="6"/>
      <c r="AF107" s="6"/>
      <c r="AG107" s="6"/>
      <c r="AH107" s="11"/>
      <c r="AI107" s="459"/>
      <c r="AJ107" s="459"/>
      <c r="AK107" s="71"/>
      <c r="AL107" s="24"/>
    </row>
    <row r="108" ht="15.75" customHeight="1">
      <c r="A108" s="143" t="s">
        <v>59</v>
      </c>
      <c r="B108" s="350" t="s">
        <v>927</v>
      </c>
      <c r="C108" s="76">
        <v>21545.0</v>
      </c>
      <c r="D108" s="76" t="s">
        <v>928</v>
      </c>
      <c r="E108" s="76" t="s">
        <v>80</v>
      </c>
      <c r="F108" s="81" t="s">
        <v>929</v>
      </c>
      <c r="G108" s="144" t="s">
        <v>27</v>
      </c>
      <c r="H108" s="83"/>
      <c r="I108" s="83"/>
      <c r="J108" s="144" t="s">
        <v>18</v>
      </c>
      <c r="K108" s="83"/>
      <c r="L108" s="144" t="s">
        <v>18</v>
      </c>
      <c r="M108" s="83"/>
      <c r="N108" s="144" t="s">
        <v>27</v>
      </c>
      <c r="O108" s="83"/>
      <c r="P108" s="83"/>
      <c r="Q108" s="144" t="s">
        <v>18</v>
      </c>
      <c r="R108" s="83"/>
      <c r="S108" s="144" t="s">
        <v>18</v>
      </c>
      <c r="T108" s="83"/>
      <c r="U108" s="144" t="s">
        <v>27</v>
      </c>
      <c r="V108" s="83"/>
      <c r="W108" s="144" t="s">
        <v>27</v>
      </c>
      <c r="X108" s="83"/>
      <c r="Y108" s="144" t="s">
        <v>18</v>
      </c>
      <c r="Z108" s="83"/>
      <c r="AA108" s="144" t="s">
        <v>27</v>
      </c>
      <c r="AB108" s="83"/>
      <c r="AC108" s="83"/>
      <c r="AD108" s="144" t="s">
        <v>18</v>
      </c>
      <c r="AE108" s="83"/>
      <c r="AF108" s="144" t="s">
        <v>18</v>
      </c>
      <c r="AG108" s="83"/>
      <c r="AH108" s="144" t="s">
        <v>27</v>
      </c>
      <c r="AI108" s="83"/>
      <c r="AJ108" s="83"/>
      <c r="AK108" s="144" t="s">
        <v>18</v>
      </c>
      <c r="AL108" s="24"/>
      <c r="AN108" s="211" t="str">
        <f t="shared" ref="AN108:AN117" si="22">IFS(AO108&gt;3,"NO CORRESPONDE FRANCO",AT108&gt;0,"NO CORRESPONDE FRANCO",AT108=0,"")</f>
        <v/>
      </c>
    </row>
    <row r="109" ht="15.75" customHeight="1">
      <c r="A109" s="535" t="s">
        <v>931</v>
      </c>
      <c r="B109" s="6"/>
      <c r="C109" s="6"/>
      <c r="D109" s="6"/>
      <c r="E109" s="6"/>
      <c r="F109" s="6"/>
      <c r="G109" s="6"/>
      <c r="H109" s="6"/>
      <c r="I109" s="6"/>
      <c r="J109" s="6"/>
      <c r="K109" s="6"/>
      <c r="L109" s="6"/>
      <c r="M109" s="6"/>
      <c r="N109" s="6"/>
      <c r="O109" s="6"/>
      <c r="P109" s="6"/>
      <c r="Q109" s="6"/>
      <c r="R109" s="6"/>
      <c r="S109" s="6"/>
      <c r="T109" s="6"/>
      <c r="U109" s="6"/>
      <c r="V109" s="6"/>
      <c r="W109" s="6"/>
      <c r="X109" s="6"/>
      <c r="Y109" s="6"/>
      <c r="Z109" s="6"/>
      <c r="AA109" s="6"/>
      <c r="AB109" s="6"/>
      <c r="AC109" s="6"/>
      <c r="AD109" s="6"/>
      <c r="AE109" s="6"/>
      <c r="AF109" s="6"/>
      <c r="AG109" s="6"/>
      <c r="AH109" s="11"/>
      <c r="AI109" s="459"/>
      <c r="AJ109" s="459"/>
      <c r="AK109" s="90"/>
      <c r="AL109" s="24"/>
      <c r="AN109" s="211" t="str">
        <f t="shared" si="22"/>
        <v/>
      </c>
    </row>
    <row r="110" ht="15.75" customHeight="1">
      <c r="A110" s="93" t="s">
        <v>935</v>
      </c>
      <c r="B110" s="350" t="s">
        <v>936</v>
      </c>
      <c r="C110" s="93">
        <v>10239.0</v>
      </c>
      <c r="D110" s="93" t="s">
        <v>937</v>
      </c>
      <c r="E110" s="93" t="s">
        <v>938</v>
      </c>
      <c r="F110" s="95" t="s">
        <v>939</v>
      </c>
      <c r="G110" s="83"/>
      <c r="H110" s="83"/>
      <c r="I110" s="144" t="s">
        <v>27</v>
      </c>
      <c r="J110" s="83"/>
      <c r="K110" s="144" t="s">
        <v>27</v>
      </c>
      <c r="L110" s="83"/>
      <c r="M110" s="144" t="s">
        <v>27</v>
      </c>
      <c r="N110" s="83"/>
      <c r="O110" s="83"/>
      <c r="P110" s="144" t="s">
        <v>18</v>
      </c>
      <c r="Q110" s="83"/>
      <c r="R110" s="144" t="s">
        <v>27</v>
      </c>
      <c r="S110" s="83"/>
      <c r="T110" s="86" t="s">
        <v>32</v>
      </c>
      <c r="U110" s="83"/>
      <c r="V110" s="83"/>
      <c r="W110" s="76"/>
      <c r="X110" s="83"/>
      <c r="Y110" s="144" t="s">
        <v>18</v>
      </c>
      <c r="Z110" s="83"/>
      <c r="AA110" s="144" t="s">
        <v>18</v>
      </c>
      <c r="AB110" s="83"/>
      <c r="AC110" s="83"/>
      <c r="AD110" s="144" t="s">
        <v>27</v>
      </c>
      <c r="AE110" s="83"/>
      <c r="AF110" s="144" t="s">
        <v>18</v>
      </c>
      <c r="AG110" s="83"/>
      <c r="AH110" s="144" t="s">
        <v>27</v>
      </c>
      <c r="AI110" s="83"/>
      <c r="AJ110" s="83"/>
      <c r="AK110" s="144" t="s">
        <v>27</v>
      </c>
      <c r="AL110" s="536" t="s">
        <v>941</v>
      </c>
      <c r="AN110" s="211" t="str">
        <f t="shared" si="22"/>
        <v>NO CORRESPONDE FRANCO</v>
      </c>
      <c r="AO110" s="60">
        <f t="shared" ref="AO110:AO115" si="23">COUNTIF($G110:$AK110,"LLT")</f>
        <v>4</v>
      </c>
      <c r="AP110" s="60">
        <f t="shared" ref="AP110:AP115" si="24">COUNTIF($G110:$AK110,"LM")</f>
        <v>0</v>
      </c>
      <c r="AQ110" s="60">
        <f t="shared" ref="AQ110:AQ115" si="25">COUNTIF($G110:$AK110,"FaC")</f>
        <v>0</v>
      </c>
      <c r="AR110" s="60">
        <f t="shared" ref="AR110:AR115" si="26">COUNTIF($G110:$AK110,"LxE")</f>
        <v>0</v>
      </c>
      <c r="AS110" s="60">
        <f t="shared" ref="AS110:AS115" si="27">COUNTIF($G110:$AK110,"LA")</f>
        <v>0</v>
      </c>
      <c r="AT110" s="221">
        <f t="shared" ref="AT110:AT115" si="28">SUM(AP110:AS110)</f>
        <v>0</v>
      </c>
      <c r="AU110" s="36"/>
    </row>
    <row r="111" ht="16.5" customHeight="1">
      <c r="A111" s="537" t="s">
        <v>33</v>
      </c>
      <c r="B111" s="350" t="s">
        <v>944</v>
      </c>
      <c r="C111" s="143">
        <v>4.3896868E7</v>
      </c>
      <c r="D111" s="143" t="s">
        <v>946</v>
      </c>
      <c r="E111" s="143" t="s">
        <v>938</v>
      </c>
      <c r="F111" s="146" t="s">
        <v>947</v>
      </c>
      <c r="G111" s="144" t="s">
        <v>27</v>
      </c>
      <c r="H111" s="83"/>
      <c r="I111" s="83"/>
      <c r="J111" s="144" t="s">
        <v>27</v>
      </c>
      <c r="K111" s="83"/>
      <c r="L111" s="144" t="s">
        <v>198</v>
      </c>
      <c r="M111" s="83"/>
      <c r="N111" s="144" t="s">
        <v>27</v>
      </c>
      <c r="O111" s="83"/>
      <c r="P111" s="83"/>
      <c r="Q111" s="144" t="s">
        <v>18</v>
      </c>
      <c r="R111" s="83"/>
      <c r="S111" s="144" t="s">
        <v>27</v>
      </c>
      <c r="T111" s="83"/>
      <c r="U111" s="144" t="s">
        <v>27</v>
      </c>
      <c r="V111" s="83"/>
      <c r="W111" s="144" t="s">
        <v>27</v>
      </c>
      <c r="X111" s="83"/>
      <c r="Y111" s="144" t="s">
        <v>27</v>
      </c>
      <c r="Z111" s="83"/>
      <c r="AA111" s="144" t="s">
        <v>27</v>
      </c>
      <c r="AB111" s="83"/>
      <c r="AC111" s="83"/>
      <c r="AD111" s="144" t="s">
        <v>27</v>
      </c>
      <c r="AE111" s="83"/>
      <c r="AF111" s="86" t="s">
        <v>32</v>
      </c>
      <c r="AG111" s="83"/>
      <c r="AH111" s="86" t="s">
        <v>32</v>
      </c>
      <c r="AI111" s="83"/>
      <c r="AJ111" s="83"/>
      <c r="AK111" s="144" t="s">
        <v>27</v>
      </c>
      <c r="AL111" s="538" t="s">
        <v>950</v>
      </c>
      <c r="AN111" s="211" t="str">
        <f t="shared" si="22"/>
        <v/>
      </c>
      <c r="AO111" s="60">
        <f t="shared" si="23"/>
        <v>1</v>
      </c>
      <c r="AP111" s="60">
        <f t="shared" si="24"/>
        <v>0</v>
      </c>
      <c r="AQ111" s="60">
        <f t="shared" si="25"/>
        <v>0</v>
      </c>
      <c r="AR111" s="60">
        <f t="shared" si="26"/>
        <v>0</v>
      </c>
      <c r="AS111" s="60">
        <f t="shared" si="27"/>
        <v>0</v>
      </c>
      <c r="AT111" s="221">
        <f t="shared" si="28"/>
        <v>0</v>
      </c>
      <c r="AU111" s="36"/>
    </row>
    <row r="112" ht="15.75" customHeight="1">
      <c r="A112" s="537" t="s">
        <v>33</v>
      </c>
      <c r="B112" s="350" t="s">
        <v>951</v>
      </c>
      <c r="C112" s="143">
        <v>3.8404516E7</v>
      </c>
      <c r="D112" s="143" t="s">
        <v>952</v>
      </c>
      <c r="E112" s="143" t="s">
        <v>938</v>
      </c>
      <c r="F112" s="95" t="s">
        <v>953</v>
      </c>
      <c r="G112" s="144" t="s">
        <v>18</v>
      </c>
      <c r="H112" s="83"/>
      <c r="I112" s="83"/>
      <c r="J112" s="144" t="s">
        <v>18</v>
      </c>
      <c r="K112" s="83"/>
      <c r="L112" s="144" t="s">
        <v>198</v>
      </c>
      <c r="M112" s="83"/>
      <c r="N112" s="144" t="s">
        <v>27</v>
      </c>
      <c r="O112" s="83"/>
      <c r="P112" s="83"/>
      <c r="Q112" s="144" t="s">
        <v>27</v>
      </c>
      <c r="R112" s="83"/>
      <c r="S112" s="144" t="s">
        <v>198</v>
      </c>
      <c r="T112" s="83"/>
      <c r="U112" s="86" t="s">
        <v>32</v>
      </c>
      <c r="V112" s="83"/>
      <c r="W112" s="86" t="s">
        <v>32</v>
      </c>
      <c r="X112" s="83"/>
      <c r="Y112" s="144" t="s">
        <v>18</v>
      </c>
      <c r="Z112" s="83"/>
      <c r="AA112" s="144" t="s">
        <v>27</v>
      </c>
      <c r="AB112" s="83"/>
      <c r="AC112" s="83"/>
      <c r="AD112" s="144" t="s">
        <v>27</v>
      </c>
      <c r="AE112" s="83"/>
      <c r="AF112" s="144" t="s">
        <v>18</v>
      </c>
      <c r="AG112" s="83"/>
      <c r="AH112" s="144" t="s">
        <v>18</v>
      </c>
      <c r="AI112" s="83"/>
      <c r="AJ112" s="83"/>
      <c r="AK112" s="86" t="s">
        <v>32</v>
      </c>
      <c r="AL112" s="24"/>
      <c r="AN112" s="211" t="str">
        <f t="shared" si="22"/>
        <v>NO CORRESPONDE FRANCO</v>
      </c>
      <c r="AO112" s="60">
        <f t="shared" si="23"/>
        <v>5</v>
      </c>
      <c r="AP112" s="60">
        <f t="shared" si="24"/>
        <v>0</v>
      </c>
      <c r="AQ112" s="60">
        <f t="shared" si="25"/>
        <v>0</v>
      </c>
      <c r="AR112" s="60">
        <f t="shared" si="26"/>
        <v>0</v>
      </c>
      <c r="AS112" s="60">
        <f t="shared" si="27"/>
        <v>0</v>
      </c>
      <c r="AT112" s="221">
        <f t="shared" si="28"/>
        <v>0</v>
      </c>
      <c r="AU112" s="36"/>
    </row>
    <row r="113" ht="15.75" customHeight="1">
      <c r="A113" s="143" t="s">
        <v>33</v>
      </c>
      <c r="B113" s="94" t="s">
        <v>957</v>
      </c>
      <c r="C113" s="143">
        <v>4.2374194E7</v>
      </c>
      <c r="D113" s="143" t="s">
        <v>958</v>
      </c>
      <c r="E113" s="93" t="s">
        <v>938</v>
      </c>
      <c r="F113" s="146" t="s">
        <v>959</v>
      </c>
      <c r="G113" s="150" t="s">
        <v>519</v>
      </c>
      <c r="H113" s="150" t="s">
        <v>519</v>
      </c>
      <c r="I113" s="150" t="s">
        <v>519</v>
      </c>
      <c r="J113" s="150" t="s">
        <v>519</v>
      </c>
      <c r="K113" s="150" t="s">
        <v>519</v>
      </c>
      <c r="L113" s="150" t="s">
        <v>519</v>
      </c>
      <c r="M113" s="150" t="s">
        <v>519</v>
      </c>
      <c r="N113" s="150" t="s">
        <v>519</v>
      </c>
      <c r="O113" s="150" t="s">
        <v>519</v>
      </c>
      <c r="P113" s="150" t="s">
        <v>519</v>
      </c>
      <c r="Q113" s="150" t="s">
        <v>519</v>
      </c>
      <c r="R113" s="150" t="s">
        <v>519</v>
      </c>
      <c r="S113" s="150" t="s">
        <v>519</v>
      </c>
      <c r="T113" s="150" t="s">
        <v>519</v>
      </c>
      <c r="U113" s="150" t="s">
        <v>519</v>
      </c>
      <c r="V113" s="150" t="s">
        <v>519</v>
      </c>
      <c r="W113" s="150" t="s">
        <v>519</v>
      </c>
      <c r="X113" s="150" t="s">
        <v>519</v>
      </c>
      <c r="Y113" s="150" t="s">
        <v>519</v>
      </c>
      <c r="Z113" s="150" t="s">
        <v>519</v>
      </c>
      <c r="AA113" s="150" t="s">
        <v>519</v>
      </c>
      <c r="AB113" s="150" t="s">
        <v>519</v>
      </c>
      <c r="AC113" s="150" t="s">
        <v>519</v>
      </c>
      <c r="AD113" s="150" t="s">
        <v>519</v>
      </c>
      <c r="AE113" s="150" t="s">
        <v>519</v>
      </c>
      <c r="AF113" s="150" t="s">
        <v>519</v>
      </c>
      <c r="AG113" s="150" t="s">
        <v>519</v>
      </c>
      <c r="AH113" s="150" t="s">
        <v>519</v>
      </c>
      <c r="AI113" s="150" t="s">
        <v>519</v>
      </c>
      <c r="AJ113" s="150" t="s">
        <v>519</v>
      </c>
      <c r="AK113" s="150" t="s">
        <v>519</v>
      </c>
      <c r="AL113" s="24"/>
      <c r="AN113" s="211" t="str">
        <f t="shared" si="22"/>
        <v/>
      </c>
      <c r="AO113" s="60">
        <f t="shared" si="23"/>
        <v>0</v>
      </c>
      <c r="AP113" s="60">
        <f t="shared" si="24"/>
        <v>0</v>
      </c>
      <c r="AQ113" s="60">
        <f t="shared" si="25"/>
        <v>0</v>
      </c>
      <c r="AR113" s="60">
        <f t="shared" si="26"/>
        <v>0</v>
      </c>
      <c r="AS113" s="60">
        <f t="shared" si="27"/>
        <v>0</v>
      </c>
      <c r="AT113" s="221">
        <f t="shared" si="28"/>
        <v>0</v>
      </c>
      <c r="AU113" s="36"/>
    </row>
    <row r="114" ht="15.75" customHeight="1">
      <c r="A114" s="143" t="s">
        <v>33</v>
      </c>
      <c r="B114" s="350" t="s">
        <v>960</v>
      </c>
      <c r="C114" s="143">
        <v>3.9664781E7</v>
      </c>
      <c r="D114" s="143" t="s">
        <v>961</v>
      </c>
      <c r="E114" s="143" t="s">
        <v>938</v>
      </c>
      <c r="F114" s="146" t="s">
        <v>962</v>
      </c>
      <c r="G114" s="144" t="s">
        <v>27</v>
      </c>
      <c r="H114" s="83"/>
      <c r="I114" s="83"/>
      <c r="J114" s="144" t="s">
        <v>27</v>
      </c>
      <c r="K114" s="83"/>
      <c r="L114" s="144" t="s">
        <v>198</v>
      </c>
      <c r="M114" s="83"/>
      <c r="N114" s="144" t="s">
        <v>198</v>
      </c>
      <c r="O114" s="83"/>
      <c r="P114" s="83"/>
      <c r="Q114" s="144" t="s">
        <v>27</v>
      </c>
      <c r="R114" s="83"/>
      <c r="S114" s="144" t="s">
        <v>27</v>
      </c>
      <c r="T114" s="83"/>
      <c r="U114" s="86" t="s">
        <v>32</v>
      </c>
      <c r="V114" s="83"/>
      <c r="W114" s="86" t="s">
        <v>32</v>
      </c>
      <c r="X114" s="83"/>
      <c r="Y114" s="144" t="s">
        <v>18</v>
      </c>
      <c r="Z114" s="83"/>
      <c r="AA114" s="144" t="s">
        <v>27</v>
      </c>
      <c r="AB114" s="83"/>
      <c r="AC114" s="83"/>
      <c r="AD114" s="144" t="s">
        <v>27</v>
      </c>
      <c r="AE114" s="83"/>
      <c r="AF114" s="144" t="s">
        <v>27</v>
      </c>
      <c r="AG114" s="83"/>
      <c r="AH114" s="144" t="s">
        <v>27</v>
      </c>
      <c r="AI114" s="83"/>
      <c r="AJ114" s="83"/>
      <c r="AK114" s="86" t="s">
        <v>32</v>
      </c>
      <c r="AN114" s="211" t="str">
        <f t="shared" si="22"/>
        <v/>
      </c>
      <c r="AO114" s="60">
        <f t="shared" si="23"/>
        <v>1</v>
      </c>
      <c r="AP114" s="60">
        <f t="shared" si="24"/>
        <v>0</v>
      </c>
      <c r="AQ114" s="60">
        <f t="shared" si="25"/>
        <v>0</v>
      </c>
      <c r="AR114" s="60">
        <f t="shared" si="26"/>
        <v>0</v>
      </c>
      <c r="AS114" s="60">
        <f t="shared" si="27"/>
        <v>0</v>
      </c>
      <c r="AT114" s="221">
        <f t="shared" si="28"/>
        <v>0</v>
      </c>
      <c r="AU114" s="36"/>
    </row>
    <row r="115" ht="15.75" customHeight="1">
      <c r="A115" s="70" t="s">
        <v>33</v>
      </c>
      <c r="B115" s="500" t="s">
        <v>963</v>
      </c>
      <c r="C115" s="490">
        <v>3.8465928E7</v>
      </c>
      <c r="D115" s="70" t="s">
        <v>964</v>
      </c>
      <c r="E115" s="93" t="s">
        <v>966</v>
      </c>
      <c r="F115" s="146" t="s">
        <v>967</v>
      </c>
      <c r="G115" s="192" t="s">
        <v>22</v>
      </c>
      <c r="H115" s="192" t="s">
        <v>22</v>
      </c>
      <c r="I115" s="192" t="s">
        <v>22</v>
      </c>
      <c r="J115" s="192" t="s">
        <v>22</v>
      </c>
      <c r="K115" s="192" t="s">
        <v>22</v>
      </c>
      <c r="L115" s="192" t="s">
        <v>22</v>
      </c>
      <c r="M115" s="83"/>
      <c r="N115" s="86" t="s">
        <v>32</v>
      </c>
      <c r="O115" s="83"/>
      <c r="P115" s="83"/>
      <c r="Q115" s="86" t="s">
        <v>32</v>
      </c>
      <c r="R115" s="83"/>
      <c r="S115" s="86" t="s">
        <v>32</v>
      </c>
      <c r="T115" s="83"/>
      <c r="U115" s="144" t="s">
        <v>27</v>
      </c>
      <c r="V115" s="83"/>
      <c r="W115" s="144" t="s">
        <v>27</v>
      </c>
      <c r="X115" s="83"/>
      <c r="Y115" s="144" t="s">
        <v>18</v>
      </c>
      <c r="Z115" s="83"/>
      <c r="AA115" s="144" t="s">
        <v>27</v>
      </c>
      <c r="AB115" s="83"/>
      <c r="AC115" s="83"/>
      <c r="AD115" s="144" t="s">
        <v>27</v>
      </c>
      <c r="AE115" s="83"/>
      <c r="AF115" s="144" t="s">
        <v>27</v>
      </c>
      <c r="AG115" s="83"/>
      <c r="AH115" s="144" t="s">
        <v>27</v>
      </c>
      <c r="AI115" s="83"/>
      <c r="AJ115" s="83"/>
      <c r="AK115" s="113" t="s">
        <v>79</v>
      </c>
      <c r="AL115" s="24"/>
      <c r="AN115" s="211" t="str">
        <f t="shared" si="22"/>
        <v>NO CORRESPONDE FRANCO</v>
      </c>
      <c r="AO115" s="60">
        <f t="shared" si="23"/>
        <v>1</v>
      </c>
      <c r="AP115" s="60">
        <f t="shared" si="24"/>
        <v>0</v>
      </c>
      <c r="AQ115" s="60">
        <f t="shared" si="25"/>
        <v>0</v>
      </c>
      <c r="AR115" s="60">
        <f t="shared" si="26"/>
        <v>0</v>
      </c>
      <c r="AS115" s="60">
        <f t="shared" si="27"/>
        <v>6</v>
      </c>
      <c r="AT115" s="221">
        <f t="shared" si="28"/>
        <v>6</v>
      </c>
      <c r="AU115" s="36"/>
    </row>
    <row r="116" ht="15.75" customHeight="1">
      <c r="A116" s="115" t="s">
        <v>33</v>
      </c>
      <c r="B116" s="412" t="s">
        <v>970</v>
      </c>
      <c r="C116" s="88">
        <v>3.5092747E7</v>
      </c>
      <c r="D116" s="88" t="s">
        <v>971</v>
      </c>
      <c r="E116" s="66" t="s">
        <v>938</v>
      </c>
      <c r="F116" s="447" t="s">
        <v>972</v>
      </c>
      <c r="G116" s="545"/>
      <c r="H116" s="545"/>
      <c r="I116" s="545"/>
      <c r="J116" s="545"/>
      <c r="K116" s="545"/>
      <c r="L116" s="545"/>
      <c r="M116" s="192" t="s">
        <v>22</v>
      </c>
      <c r="N116" s="192" t="s">
        <v>22</v>
      </c>
      <c r="O116" s="192" t="s">
        <v>22</v>
      </c>
      <c r="P116" s="192" t="s">
        <v>22</v>
      </c>
      <c r="Q116" s="192" t="s">
        <v>22</v>
      </c>
      <c r="R116" s="192" t="s">
        <v>22</v>
      </c>
      <c r="S116" s="192" t="s">
        <v>22</v>
      </c>
      <c r="T116" s="83"/>
      <c r="U116" s="86" t="s">
        <v>32</v>
      </c>
      <c r="V116" s="83"/>
      <c r="W116" s="86" t="s">
        <v>32</v>
      </c>
      <c r="X116" s="83"/>
      <c r="Y116" s="144" t="s">
        <v>27</v>
      </c>
      <c r="Z116" s="83"/>
      <c r="AA116" s="144" t="s">
        <v>27</v>
      </c>
      <c r="AB116" s="83"/>
      <c r="AC116" s="83"/>
      <c r="AD116" s="144" t="s">
        <v>27</v>
      </c>
      <c r="AE116" s="83"/>
      <c r="AF116" s="144" t="s">
        <v>18</v>
      </c>
      <c r="AG116" s="83"/>
      <c r="AH116" s="86" t="s">
        <v>32</v>
      </c>
      <c r="AI116" s="83"/>
      <c r="AJ116" s="83"/>
      <c r="AK116" s="144" t="s">
        <v>27</v>
      </c>
      <c r="AL116" s="24"/>
      <c r="AN116" s="211" t="str">
        <f t="shared" si="22"/>
        <v/>
      </c>
    </row>
    <row r="117" ht="15.75" customHeight="1">
      <c r="A117" s="143" t="s">
        <v>33</v>
      </c>
      <c r="B117" s="94" t="s">
        <v>976</v>
      </c>
      <c r="C117" s="143">
        <v>3.430923E7</v>
      </c>
      <c r="D117" s="93" t="s">
        <v>977</v>
      </c>
      <c r="E117" s="93" t="s">
        <v>303</v>
      </c>
      <c r="F117" s="469" t="s">
        <v>978</v>
      </c>
      <c r="G117" s="545"/>
      <c r="H117" s="545"/>
      <c r="I117" s="545"/>
      <c r="J117" s="545"/>
      <c r="K117" s="545"/>
      <c r="L117" s="545"/>
      <c r="M117" s="83"/>
      <c r="N117" s="548" t="s">
        <v>19</v>
      </c>
      <c r="O117" s="83"/>
      <c r="P117" s="83"/>
      <c r="Q117" s="144" t="s">
        <v>27</v>
      </c>
      <c r="R117" s="83"/>
      <c r="S117" s="144" t="s">
        <v>198</v>
      </c>
      <c r="T117" s="83"/>
      <c r="U117" s="144" t="s">
        <v>18</v>
      </c>
      <c r="V117" s="83"/>
      <c r="W117" s="144" t="s">
        <v>18</v>
      </c>
      <c r="X117" s="83"/>
      <c r="Y117" s="144" t="s">
        <v>18</v>
      </c>
      <c r="Z117" s="83"/>
      <c r="AA117" s="91" t="s">
        <v>19</v>
      </c>
      <c r="AB117" s="83"/>
      <c r="AC117" s="83"/>
      <c r="AD117" s="144" t="s">
        <v>18</v>
      </c>
      <c r="AE117" s="83"/>
      <c r="AF117" s="144" t="s">
        <v>18</v>
      </c>
      <c r="AG117" s="83"/>
      <c r="AH117" s="144" t="s">
        <v>18</v>
      </c>
      <c r="AI117" s="83"/>
      <c r="AJ117" s="83"/>
      <c r="AK117" s="144" t="s">
        <v>27</v>
      </c>
      <c r="AL117" s="24"/>
      <c r="AN117" s="211" t="str">
        <f t="shared" si="22"/>
        <v/>
      </c>
    </row>
    <row r="118" ht="15.75" customHeight="1">
      <c r="A118" s="65" t="s">
        <v>979</v>
      </c>
      <c r="B118" s="6"/>
      <c r="C118" s="6"/>
      <c r="D118" s="6"/>
      <c r="E118" s="6"/>
      <c r="F118" s="6"/>
      <c r="G118" s="6"/>
      <c r="H118" s="6"/>
      <c r="I118" s="6"/>
      <c r="J118" s="6"/>
      <c r="K118" s="6"/>
      <c r="L118" s="6"/>
      <c r="M118" s="6"/>
      <c r="N118" s="6"/>
      <c r="O118" s="6"/>
      <c r="P118" s="6"/>
      <c r="Q118" s="6"/>
      <c r="R118" s="6"/>
      <c r="S118" s="6"/>
      <c r="T118" s="6"/>
      <c r="U118" s="6"/>
      <c r="V118" s="6"/>
      <c r="W118" s="6"/>
      <c r="X118" s="6"/>
      <c r="Y118" s="6"/>
      <c r="Z118" s="6"/>
      <c r="AA118" s="6"/>
      <c r="AB118" s="6"/>
      <c r="AC118" s="6"/>
      <c r="AD118" s="6"/>
      <c r="AE118" s="6"/>
      <c r="AF118" s="6"/>
      <c r="AG118" s="6"/>
      <c r="AH118" s="6"/>
      <c r="AI118" s="6"/>
      <c r="AJ118" s="6"/>
      <c r="AK118" s="11"/>
      <c r="AL118" s="24"/>
    </row>
    <row r="119" ht="15.75" customHeight="1">
      <c r="A119" s="404" t="s">
        <v>980</v>
      </c>
      <c r="B119" s="6"/>
      <c r="C119" s="6"/>
      <c r="D119" s="6"/>
      <c r="E119" s="6"/>
      <c r="F119" s="11"/>
      <c r="G119" s="9">
        <v>1.0</v>
      </c>
      <c r="H119" s="9">
        <v>2.0</v>
      </c>
      <c r="I119" s="9">
        <v>3.0</v>
      </c>
      <c r="J119" s="9">
        <v>4.0</v>
      </c>
      <c r="K119" s="9">
        <v>5.0</v>
      </c>
      <c r="L119" s="9">
        <v>6.0</v>
      </c>
      <c r="M119" s="9">
        <v>7.0</v>
      </c>
      <c r="N119" s="9">
        <v>8.0</v>
      </c>
      <c r="O119" s="9">
        <v>9.0</v>
      </c>
      <c r="P119" s="9">
        <v>10.0</v>
      </c>
      <c r="Q119" s="9">
        <v>11.0</v>
      </c>
      <c r="R119" s="9">
        <v>12.0</v>
      </c>
      <c r="S119" s="9">
        <v>13.0</v>
      </c>
      <c r="T119" s="9">
        <v>14.0</v>
      </c>
      <c r="U119" s="9">
        <v>15.0</v>
      </c>
      <c r="V119" s="9">
        <v>16.0</v>
      </c>
      <c r="W119" s="9">
        <v>17.0</v>
      </c>
      <c r="X119" s="9">
        <v>18.0</v>
      </c>
      <c r="Y119" s="9">
        <v>19.0</v>
      </c>
      <c r="Z119" s="9">
        <v>20.0</v>
      </c>
      <c r="AA119" s="9">
        <v>21.0</v>
      </c>
      <c r="AB119" s="9">
        <v>22.0</v>
      </c>
      <c r="AC119" s="9">
        <v>23.0</v>
      </c>
      <c r="AD119" s="9">
        <v>24.0</v>
      </c>
      <c r="AE119" s="9">
        <v>25.0</v>
      </c>
      <c r="AF119" s="9">
        <v>26.0</v>
      </c>
      <c r="AG119" s="9">
        <v>27.0</v>
      </c>
      <c r="AH119" s="9">
        <v>28.0</v>
      </c>
      <c r="AI119" s="9">
        <v>29.0</v>
      </c>
      <c r="AJ119" s="9">
        <v>30.0</v>
      </c>
      <c r="AK119" s="9">
        <v>31.0</v>
      </c>
      <c r="AL119" s="24"/>
    </row>
    <row r="120" ht="15.75" customHeight="1">
      <c r="A120" s="384" t="s">
        <v>4</v>
      </c>
      <c r="B120" s="386" t="s">
        <v>5</v>
      </c>
      <c r="C120" s="389" t="s">
        <v>6</v>
      </c>
      <c r="D120" s="389" t="s">
        <v>8</v>
      </c>
      <c r="E120" s="390" t="s">
        <v>30</v>
      </c>
      <c r="F120" s="386" t="s">
        <v>7</v>
      </c>
      <c r="G120" s="9" t="s">
        <v>9</v>
      </c>
      <c r="H120" s="9" t="s">
        <v>10</v>
      </c>
      <c r="I120" s="9" t="s">
        <v>11</v>
      </c>
      <c r="J120" s="9" t="s">
        <v>12</v>
      </c>
      <c r="K120" s="9" t="s">
        <v>12</v>
      </c>
      <c r="L120" s="9" t="s">
        <v>13</v>
      </c>
      <c r="M120" s="9" t="s">
        <v>15</v>
      </c>
      <c r="N120" s="9" t="s">
        <v>9</v>
      </c>
      <c r="O120" s="9" t="s">
        <v>10</v>
      </c>
      <c r="P120" s="9" t="s">
        <v>11</v>
      </c>
      <c r="Q120" s="9" t="s">
        <v>12</v>
      </c>
      <c r="R120" s="9" t="s">
        <v>12</v>
      </c>
      <c r="S120" s="9" t="s">
        <v>13</v>
      </c>
      <c r="T120" s="9" t="s">
        <v>15</v>
      </c>
      <c r="U120" s="9" t="s">
        <v>9</v>
      </c>
      <c r="V120" s="9" t="s">
        <v>10</v>
      </c>
      <c r="W120" s="9" t="s">
        <v>11</v>
      </c>
      <c r="X120" s="9" t="s">
        <v>12</v>
      </c>
      <c r="Y120" s="9" t="s">
        <v>12</v>
      </c>
      <c r="Z120" s="9" t="s">
        <v>13</v>
      </c>
      <c r="AA120" s="9" t="s">
        <v>15</v>
      </c>
      <c r="AB120" s="9" t="s">
        <v>9</v>
      </c>
      <c r="AC120" s="9" t="s">
        <v>10</v>
      </c>
      <c r="AD120" s="9" t="s">
        <v>11</v>
      </c>
      <c r="AE120" s="9" t="s">
        <v>12</v>
      </c>
      <c r="AF120" s="9" t="s">
        <v>12</v>
      </c>
      <c r="AG120" s="9" t="s">
        <v>13</v>
      </c>
      <c r="AH120" s="13" t="s">
        <v>15</v>
      </c>
      <c r="AI120" s="9" t="s">
        <v>9</v>
      </c>
      <c r="AJ120" s="9" t="s">
        <v>10</v>
      </c>
      <c r="AK120" s="9" t="s">
        <v>11</v>
      </c>
      <c r="AL120" s="24"/>
    </row>
    <row r="121" ht="15.75" customHeight="1">
      <c r="A121" s="65" t="s">
        <v>982</v>
      </c>
      <c r="B121" s="6"/>
      <c r="C121" s="6"/>
      <c r="D121" s="6"/>
      <c r="E121" s="6"/>
      <c r="F121" s="6"/>
      <c r="G121" s="6"/>
      <c r="H121" s="6"/>
      <c r="I121" s="6"/>
      <c r="J121" s="6"/>
      <c r="K121" s="6"/>
      <c r="L121" s="6"/>
      <c r="M121" s="6"/>
      <c r="N121" s="6"/>
      <c r="O121" s="6"/>
      <c r="P121" s="6"/>
      <c r="Q121" s="6"/>
      <c r="R121" s="6"/>
      <c r="S121" s="6"/>
      <c r="T121" s="6"/>
      <c r="U121" s="6"/>
      <c r="V121" s="6"/>
      <c r="W121" s="6"/>
      <c r="X121" s="6"/>
      <c r="Y121" s="6"/>
      <c r="Z121" s="6"/>
      <c r="AA121" s="6"/>
      <c r="AB121" s="6"/>
      <c r="AC121" s="6"/>
      <c r="AD121" s="6"/>
      <c r="AE121" s="6"/>
      <c r="AF121" s="6"/>
      <c r="AG121" s="6"/>
      <c r="AH121" s="6"/>
      <c r="AI121" s="6"/>
      <c r="AJ121" s="6"/>
      <c r="AK121" s="11"/>
      <c r="AL121" s="24"/>
    </row>
    <row r="122" ht="15.75" customHeight="1">
      <c r="A122" s="190" t="s">
        <v>153</v>
      </c>
      <c r="B122" s="191" t="s">
        <v>983</v>
      </c>
      <c r="C122" s="182">
        <v>34696.0</v>
      </c>
      <c r="D122" s="40" t="s">
        <v>984</v>
      </c>
      <c r="E122" s="40" t="s">
        <v>471</v>
      </c>
      <c r="F122" s="81" t="s">
        <v>985</v>
      </c>
      <c r="G122" s="83"/>
      <c r="H122" s="83"/>
      <c r="I122" s="144" t="s">
        <v>18</v>
      </c>
      <c r="J122" s="83"/>
      <c r="K122" s="144" t="s">
        <v>27</v>
      </c>
      <c r="L122" s="83"/>
      <c r="M122" s="144" t="s">
        <v>27</v>
      </c>
      <c r="N122" s="83"/>
      <c r="O122" s="83"/>
      <c r="P122" s="144" t="s">
        <v>27</v>
      </c>
      <c r="Q122" s="83"/>
      <c r="R122" s="144" t="s">
        <v>27</v>
      </c>
      <c r="S122" s="76"/>
      <c r="T122" s="76"/>
      <c r="U122" s="83"/>
      <c r="V122" s="83"/>
      <c r="W122" s="83"/>
      <c r="X122" s="172" t="s">
        <v>27</v>
      </c>
      <c r="Y122" s="83"/>
      <c r="Z122" s="172" t="s">
        <v>27</v>
      </c>
      <c r="AA122" s="83"/>
      <c r="AB122" s="172" t="s">
        <v>27</v>
      </c>
      <c r="AC122" s="83"/>
      <c r="AD122" s="83"/>
      <c r="AE122" s="172" t="s">
        <v>27</v>
      </c>
      <c r="AF122" s="83"/>
      <c r="AG122" s="172" t="s">
        <v>27</v>
      </c>
      <c r="AH122" s="83"/>
      <c r="AI122" s="172" t="s">
        <v>32</v>
      </c>
      <c r="AJ122" s="83"/>
      <c r="AK122" s="83"/>
      <c r="AL122" s="24"/>
    </row>
    <row r="123" ht="15.75" customHeight="1">
      <c r="A123" s="535" t="s">
        <v>986</v>
      </c>
      <c r="B123" s="6"/>
      <c r="C123" s="6"/>
      <c r="D123" s="6"/>
      <c r="E123" s="6"/>
      <c r="F123" s="6"/>
      <c r="G123" s="6"/>
      <c r="H123" s="6"/>
      <c r="I123" s="6"/>
      <c r="J123" s="6"/>
      <c r="K123" s="6"/>
      <c r="L123" s="6"/>
      <c r="M123" s="6"/>
      <c r="N123" s="6"/>
      <c r="O123" s="6"/>
      <c r="P123" s="6"/>
      <c r="Q123" s="6"/>
      <c r="R123" s="6"/>
      <c r="S123" s="6"/>
      <c r="T123" s="6"/>
      <c r="U123" s="6"/>
      <c r="V123" s="6"/>
      <c r="W123" s="6"/>
      <c r="X123" s="6"/>
      <c r="Y123" s="6"/>
      <c r="Z123" s="6"/>
      <c r="AA123" s="6"/>
      <c r="AB123" s="6"/>
      <c r="AC123" s="6"/>
      <c r="AD123" s="6"/>
      <c r="AE123" s="6"/>
      <c r="AF123" s="6"/>
      <c r="AG123" s="6"/>
      <c r="AH123" s="6"/>
      <c r="AI123" s="6"/>
      <c r="AJ123" s="6"/>
      <c r="AK123" s="11"/>
      <c r="AL123" s="24"/>
    </row>
    <row r="124" ht="15.75" customHeight="1">
      <c r="A124" s="551" t="s">
        <v>230</v>
      </c>
      <c r="B124" s="317" t="s">
        <v>788</v>
      </c>
      <c r="C124" s="217">
        <v>33106.0</v>
      </c>
      <c r="D124" s="217" t="s">
        <v>791</v>
      </c>
      <c r="E124" s="66" t="s">
        <v>938</v>
      </c>
      <c r="F124" s="552" t="s">
        <v>789</v>
      </c>
      <c r="G124" s="553"/>
      <c r="H124" s="553"/>
      <c r="I124" s="554"/>
      <c r="J124" s="553"/>
      <c r="K124" s="554"/>
      <c r="L124" s="553"/>
      <c r="M124" s="553"/>
      <c r="N124" s="553"/>
      <c r="O124" s="83"/>
      <c r="P124" s="548" t="s">
        <v>19</v>
      </c>
      <c r="Q124" s="548" t="s">
        <v>19</v>
      </c>
      <c r="R124" s="548" t="s">
        <v>19</v>
      </c>
      <c r="S124" s="548" t="s">
        <v>19</v>
      </c>
      <c r="T124" s="548" t="s">
        <v>19</v>
      </c>
      <c r="U124" s="83"/>
      <c r="V124" s="83"/>
      <c r="W124" s="83"/>
      <c r="X124" s="91" t="s">
        <v>19</v>
      </c>
      <c r="Y124" s="91" t="s">
        <v>19</v>
      </c>
      <c r="Z124" s="91" t="s">
        <v>19</v>
      </c>
      <c r="AA124" s="91" t="s">
        <v>19</v>
      </c>
      <c r="AB124" s="91" t="s">
        <v>19</v>
      </c>
      <c r="AC124" s="91" t="s">
        <v>19</v>
      </c>
      <c r="AD124" s="91" t="s">
        <v>19</v>
      </c>
      <c r="AE124" s="91" t="s">
        <v>19</v>
      </c>
      <c r="AF124" s="83"/>
      <c r="AG124" s="91" t="s">
        <v>19</v>
      </c>
      <c r="AH124" s="83"/>
      <c r="AI124" s="91" t="s">
        <v>19</v>
      </c>
      <c r="AJ124" s="83"/>
      <c r="AK124" s="83"/>
      <c r="AN124" s="211"/>
      <c r="AO124" s="60"/>
      <c r="AP124" s="60"/>
      <c r="AQ124" s="60"/>
      <c r="AR124" s="60"/>
      <c r="AS124" s="60"/>
      <c r="AT124" s="221"/>
      <c r="AU124" s="36"/>
    </row>
    <row r="125" ht="15.75" customHeight="1">
      <c r="A125" s="551" t="s">
        <v>990</v>
      </c>
      <c r="B125" s="317" t="s">
        <v>991</v>
      </c>
      <c r="C125" s="217">
        <v>33689.0</v>
      </c>
      <c r="D125" s="217" t="s">
        <v>992</v>
      </c>
      <c r="E125" s="217" t="s">
        <v>993</v>
      </c>
      <c r="F125" s="552" t="s">
        <v>994</v>
      </c>
      <c r="G125" s="83"/>
      <c r="H125" s="83"/>
      <c r="I125" s="84" t="s">
        <v>27</v>
      </c>
      <c r="J125" s="83"/>
      <c r="K125" s="84" t="s">
        <v>27</v>
      </c>
      <c r="L125" s="83"/>
      <c r="M125" s="172" t="s">
        <v>27</v>
      </c>
      <c r="N125" s="83"/>
      <c r="O125" s="83"/>
      <c r="P125" s="144" t="s">
        <v>27</v>
      </c>
      <c r="Q125" s="83"/>
      <c r="R125" s="144" t="s">
        <v>27</v>
      </c>
      <c r="S125" s="83"/>
      <c r="T125" s="144" t="s">
        <v>27</v>
      </c>
      <c r="U125" s="83"/>
      <c r="V125" s="83"/>
      <c r="W125" s="83"/>
      <c r="X125" s="172" t="s">
        <v>27</v>
      </c>
      <c r="Y125" s="83"/>
      <c r="Z125" s="172" t="s">
        <v>27</v>
      </c>
      <c r="AA125" s="83"/>
      <c r="AB125" s="172" t="s">
        <v>27</v>
      </c>
      <c r="AC125" s="83"/>
      <c r="AD125" s="83"/>
      <c r="AE125" s="172" t="s">
        <v>27</v>
      </c>
      <c r="AF125" s="83"/>
      <c r="AG125" s="172" t="s">
        <v>27</v>
      </c>
      <c r="AH125" s="83"/>
      <c r="AI125" s="172" t="s">
        <v>27</v>
      </c>
      <c r="AJ125" s="83"/>
      <c r="AK125" s="83"/>
      <c r="AL125" s="24"/>
      <c r="AN125" s="211" t="str">
        <f t="shared" ref="AN125:AN132" si="29">IFS(AO125&gt;3,"NO CORRESPONDE FRANCO",AT125&gt;0,"NO CORRESPONDE FRANCO",AT125=0,"")</f>
        <v/>
      </c>
      <c r="AO125" s="60">
        <f t="shared" ref="AO125:AO132" si="30">COUNTIF($G125:$AK125,"LLT")</f>
        <v>0</v>
      </c>
      <c r="AP125" s="60">
        <f t="shared" ref="AP125:AP132" si="31">COUNTIF($G125:$AK125,"LM")</f>
        <v>0</v>
      </c>
      <c r="AQ125" s="60">
        <f t="shared" ref="AQ125:AQ132" si="32">COUNTIF($G125:$AK125,"FaC")</f>
        <v>0</v>
      </c>
      <c r="AR125" s="60">
        <f t="shared" ref="AR125:AR132" si="33">COUNTIF($G125:$AK125,"LxE")</f>
        <v>0</v>
      </c>
      <c r="AS125" s="60">
        <f t="shared" ref="AS125:AS132" si="34">COUNTIF($G125:$AK125,"LA")</f>
        <v>0</v>
      </c>
      <c r="AT125" s="221">
        <f t="shared" ref="AT125:AT132" si="35">SUM(AP125:AS125)</f>
        <v>0</v>
      </c>
      <c r="AU125" s="36"/>
    </row>
    <row r="126" ht="15.75" customHeight="1">
      <c r="A126" s="76" t="s">
        <v>23</v>
      </c>
      <c r="B126" s="263" t="s">
        <v>995</v>
      </c>
      <c r="C126" s="76">
        <v>13769.0</v>
      </c>
      <c r="D126" s="66" t="s">
        <v>996</v>
      </c>
      <c r="E126" s="66" t="s">
        <v>997</v>
      </c>
      <c r="F126" s="223" t="s">
        <v>998</v>
      </c>
      <c r="G126" s="83"/>
      <c r="H126" s="83"/>
      <c r="I126" s="144" t="s">
        <v>27</v>
      </c>
      <c r="J126" s="83"/>
      <c r="K126" s="144" t="s">
        <v>27</v>
      </c>
      <c r="L126" s="83"/>
      <c r="M126" s="144" t="s">
        <v>27</v>
      </c>
      <c r="N126" s="83"/>
      <c r="O126" s="83"/>
      <c r="P126" s="144" t="s">
        <v>27</v>
      </c>
      <c r="Q126" s="83"/>
      <c r="R126" s="144" t="s">
        <v>27</v>
      </c>
      <c r="S126" s="83"/>
      <c r="T126" s="144" t="s">
        <v>27</v>
      </c>
      <c r="U126" s="83"/>
      <c r="V126" s="83"/>
      <c r="W126" s="83"/>
      <c r="X126" s="172" t="s">
        <v>27</v>
      </c>
      <c r="Y126" s="83"/>
      <c r="Z126" s="172" t="s">
        <v>27</v>
      </c>
      <c r="AA126" s="83"/>
      <c r="AB126" s="86" t="s">
        <v>32</v>
      </c>
      <c r="AC126" s="83"/>
      <c r="AD126" s="83"/>
      <c r="AE126" s="172" t="s">
        <v>27</v>
      </c>
      <c r="AF126" s="83"/>
      <c r="AG126" s="172" t="s">
        <v>27</v>
      </c>
      <c r="AH126" s="83"/>
      <c r="AI126" s="86" t="s">
        <v>32</v>
      </c>
      <c r="AJ126" s="83"/>
      <c r="AK126" s="83"/>
      <c r="AL126" s="24"/>
      <c r="AN126" s="211" t="str">
        <f t="shared" si="29"/>
        <v/>
      </c>
      <c r="AO126" s="60">
        <f t="shared" si="30"/>
        <v>0</v>
      </c>
      <c r="AP126" s="60">
        <f t="shared" si="31"/>
        <v>0</v>
      </c>
      <c r="AQ126" s="60">
        <f t="shared" si="32"/>
        <v>0</v>
      </c>
      <c r="AR126" s="60">
        <f t="shared" si="33"/>
        <v>0</v>
      </c>
      <c r="AS126" s="60">
        <f t="shared" si="34"/>
        <v>0</v>
      </c>
      <c r="AT126" s="221">
        <f t="shared" si="35"/>
        <v>0</v>
      </c>
      <c r="AU126" s="36"/>
    </row>
    <row r="127" ht="15.75" customHeight="1">
      <c r="A127" s="76" t="s">
        <v>23</v>
      </c>
      <c r="B127" s="251" t="s">
        <v>999</v>
      </c>
      <c r="C127" s="76">
        <v>13764.0</v>
      </c>
      <c r="D127" s="76" t="s">
        <v>1000</v>
      </c>
      <c r="E127" s="66" t="s">
        <v>938</v>
      </c>
      <c r="F127" s="81" t="s">
        <v>1001</v>
      </c>
      <c r="G127" s="83"/>
      <c r="H127" s="83"/>
      <c r="I127" s="548" t="s">
        <v>19</v>
      </c>
      <c r="J127" s="548" t="s">
        <v>19</v>
      </c>
      <c r="K127" s="548" t="s">
        <v>19</v>
      </c>
      <c r="L127" s="83"/>
      <c r="M127" s="144" t="s">
        <v>27</v>
      </c>
      <c r="N127" s="83"/>
      <c r="O127" s="83"/>
      <c r="P127" s="86" t="s">
        <v>32</v>
      </c>
      <c r="Q127" s="83"/>
      <c r="R127" s="144" t="s">
        <v>27</v>
      </c>
      <c r="S127" s="83"/>
      <c r="T127" s="144" t="s">
        <v>27</v>
      </c>
      <c r="U127" s="83"/>
      <c r="V127" s="83"/>
      <c r="W127" s="83"/>
      <c r="X127" s="548" t="s">
        <v>19</v>
      </c>
      <c r="Y127" s="83"/>
      <c r="Z127" s="172" t="s">
        <v>27</v>
      </c>
      <c r="AA127" s="83"/>
      <c r="AB127" s="86" t="s">
        <v>32</v>
      </c>
      <c r="AC127" s="83"/>
      <c r="AD127" s="83"/>
      <c r="AE127" s="172" t="s">
        <v>27</v>
      </c>
      <c r="AF127" s="83"/>
      <c r="AG127" s="172" t="s">
        <v>27</v>
      </c>
      <c r="AH127" s="83"/>
      <c r="AI127" s="91" t="s">
        <v>19</v>
      </c>
      <c r="AJ127" s="83"/>
      <c r="AK127" s="83"/>
      <c r="AL127" s="24"/>
      <c r="AN127" s="211" t="str">
        <f t="shared" si="29"/>
        <v>NO CORRESPONDE FRANCO</v>
      </c>
      <c r="AO127" s="60">
        <f t="shared" si="30"/>
        <v>0</v>
      </c>
      <c r="AP127" s="60">
        <f t="shared" si="31"/>
        <v>5</v>
      </c>
      <c r="AQ127" s="60">
        <f t="shared" si="32"/>
        <v>0</v>
      </c>
      <c r="AR127" s="60">
        <f t="shared" si="33"/>
        <v>0</v>
      </c>
      <c r="AS127" s="60">
        <f t="shared" si="34"/>
        <v>0</v>
      </c>
      <c r="AT127" s="221">
        <f t="shared" si="35"/>
        <v>5</v>
      </c>
      <c r="AU127" s="36"/>
    </row>
    <row r="128" ht="15.75" customHeight="1">
      <c r="A128" s="66" t="s">
        <v>23</v>
      </c>
      <c r="B128" s="78" t="s">
        <v>1003</v>
      </c>
      <c r="C128" s="66">
        <v>13521.0</v>
      </c>
      <c r="D128" s="66" t="s">
        <v>1004</v>
      </c>
      <c r="E128" s="66" t="s">
        <v>938</v>
      </c>
      <c r="F128" s="223" t="s">
        <v>1005</v>
      </c>
      <c r="G128" s="83"/>
      <c r="H128" s="83"/>
      <c r="I128" s="144" t="s">
        <v>27</v>
      </c>
      <c r="J128" s="83"/>
      <c r="K128" s="144" t="s">
        <v>27</v>
      </c>
      <c r="L128" s="83"/>
      <c r="M128" s="86" t="s">
        <v>32</v>
      </c>
      <c r="N128" s="83"/>
      <c r="O128" s="83"/>
      <c r="P128" s="144" t="s">
        <v>27</v>
      </c>
      <c r="Q128" s="83"/>
      <c r="R128" s="144" t="s">
        <v>27</v>
      </c>
      <c r="S128" s="83"/>
      <c r="T128" s="144" t="s">
        <v>27</v>
      </c>
      <c r="U128" s="83"/>
      <c r="V128" s="83"/>
      <c r="W128" s="83"/>
      <c r="X128" s="172" t="s">
        <v>27</v>
      </c>
      <c r="Y128" s="83"/>
      <c r="Z128" s="172" t="s">
        <v>27</v>
      </c>
      <c r="AA128" s="83"/>
      <c r="AB128" s="172" t="s">
        <v>27</v>
      </c>
      <c r="AC128" s="83"/>
      <c r="AD128" s="83"/>
      <c r="AE128" s="172" t="s">
        <v>27</v>
      </c>
      <c r="AF128" s="83"/>
      <c r="AG128" s="172" t="s">
        <v>27</v>
      </c>
      <c r="AH128" s="83"/>
      <c r="AI128" s="172" t="s">
        <v>27</v>
      </c>
      <c r="AJ128" s="83"/>
      <c r="AK128" s="83"/>
      <c r="AL128" s="24"/>
      <c r="AN128" s="211" t="str">
        <f t="shared" si="29"/>
        <v/>
      </c>
      <c r="AO128" s="60">
        <f t="shared" si="30"/>
        <v>0</v>
      </c>
      <c r="AP128" s="60">
        <f t="shared" si="31"/>
        <v>0</v>
      </c>
      <c r="AQ128" s="60">
        <f t="shared" si="32"/>
        <v>0</v>
      </c>
      <c r="AR128" s="60">
        <f t="shared" si="33"/>
        <v>0</v>
      </c>
      <c r="AS128" s="60">
        <f t="shared" si="34"/>
        <v>0</v>
      </c>
      <c r="AT128" s="221">
        <f t="shared" si="35"/>
        <v>0</v>
      </c>
      <c r="AU128" s="36"/>
    </row>
    <row r="129" ht="15.75" customHeight="1">
      <c r="A129" s="66" t="s">
        <v>33</v>
      </c>
      <c r="B129" s="78" t="s">
        <v>1006</v>
      </c>
      <c r="C129" s="76">
        <v>3.5335213E7</v>
      </c>
      <c r="D129" s="76" t="s">
        <v>1007</v>
      </c>
      <c r="E129" s="66" t="s">
        <v>533</v>
      </c>
      <c r="F129" s="223" t="s">
        <v>1008</v>
      </c>
      <c r="G129" s="83"/>
      <c r="H129" s="83"/>
      <c r="I129" s="555"/>
      <c r="J129" s="83"/>
      <c r="K129" s="273" t="s">
        <v>198</v>
      </c>
      <c r="L129" s="83"/>
      <c r="M129" s="144" t="s">
        <v>27</v>
      </c>
      <c r="N129" s="83"/>
      <c r="O129" s="83"/>
      <c r="P129" s="144" t="s">
        <v>198</v>
      </c>
      <c r="Q129" s="83"/>
      <c r="R129" s="144" t="s">
        <v>27</v>
      </c>
      <c r="S129" s="83"/>
      <c r="T129" s="144" t="s">
        <v>18</v>
      </c>
      <c r="U129" s="83"/>
      <c r="V129" s="83"/>
      <c r="W129" s="83"/>
      <c r="X129" s="556"/>
      <c r="Y129" s="83"/>
      <c r="Z129" s="96" t="s">
        <v>22</v>
      </c>
      <c r="AA129" s="96" t="s">
        <v>22</v>
      </c>
      <c r="AB129" s="96" t="s">
        <v>22</v>
      </c>
      <c r="AC129" s="96" t="s">
        <v>22</v>
      </c>
      <c r="AD129" s="96" t="s">
        <v>22</v>
      </c>
      <c r="AE129" s="96" t="s">
        <v>22</v>
      </c>
      <c r="AF129" s="96" t="s">
        <v>22</v>
      </c>
      <c r="AG129" s="86" t="s">
        <v>32</v>
      </c>
      <c r="AH129" s="83"/>
      <c r="AI129" s="86" t="s">
        <v>32</v>
      </c>
      <c r="AJ129" s="83"/>
      <c r="AK129" s="83"/>
      <c r="AL129" s="24"/>
      <c r="AN129" s="211" t="str">
        <f t="shared" si="29"/>
        <v>NO CORRESPONDE FRANCO</v>
      </c>
      <c r="AO129" s="60">
        <f t="shared" si="30"/>
        <v>1</v>
      </c>
      <c r="AP129" s="60">
        <f t="shared" si="31"/>
        <v>0</v>
      </c>
      <c r="AQ129" s="60">
        <f t="shared" si="32"/>
        <v>0</v>
      </c>
      <c r="AR129" s="60">
        <f t="shared" si="33"/>
        <v>0</v>
      </c>
      <c r="AS129" s="60">
        <f t="shared" si="34"/>
        <v>7</v>
      </c>
      <c r="AT129" s="221">
        <f t="shared" si="35"/>
        <v>7</v>
      </c>
      <c r="AU129" s="36"/>
    </row>
    <row r="130" ht="15.75" customHeight="1">
      <c r="A130" s="115" t="s">
        <v>33</v>
      </c>
      <c r="B130" s="412" t="s">
        <v>970</v>
      </c>
      <c r="C130" s="88">
        <v>3.5092747E7</v>
      </c>
      <c r="D130" s="88" t="s">
        <v>971</v>
      </c>
      <c r="E130" s="66" t="s">
        <v>938</v>
      </c>
      <c r="F130" s="447" t="s">
        <v>972</v>
      </c>
      <c r="G130" s="83"/>
      <c r="H130" s="83"/>
      <c r="I130" s="192" t="s">
        <v>22</v>
      </c>
      <c r="J130" s="192" t="s">
        <v>22</v>
      </c>
      <c r="K130" s="87" t="s">
        <v>22</v>
      </c>
      <c r="L130" s="557" t="s">
        <v>1012</v>
      </c>
      <c r="M130" s="6"/>
      <c r="N130" s="6"/>
      <c r="O130" s="6"/>
      <c r="P130" s="6"/>
      <c r="Q130" s="6"/>
      <c r="R130" s="6"/>
      <c r="S130" s="6"/>
      <c r="T130" s="6"/>
      <c r="U130" s="6"/>
      <c r="V130" s="6"/>
      <c r="W130" s="6"/>
      <c r="X130" s="6"/>
      <c r="Y130" s="6"/>
      <c r="Z130" s="6"/>
      <c r="AA130" s="6"/>
      <c r="AB130" s="6"/>
      <c r="AC130" s="6"/>
      <c r="AD130" s="6"/>
      <c r="AE130" s="6"/>
      <c r="AF130" s="6"/>
      <c r="AG130" s="6"/>
      <c r="AH130" s="6"/>
      <c r="AI130" s="6"/>
      <c r="AJ130" s="6"/>
      <c r="AK130" s="11"/>
      <c r="AL130" s="24"/>
      <c r="AN130" s="211" t="str">
        <f t="shared" si="29"/>
        <v>NO CORRESPONDE FRANCO</v>
      </c>
      <c r="AO130" s="60">
        <f t="shared" si="30"/>
        <v>0</v>
      </c>
      <c r="AP130" s="60">
        <f t="shared" si="31"/>
        <v>0</v>
      </c>
      <c r="AQ130" s="60">
        <f t="shared" si="32"/>
        <v>0</v>
      </c>
      <c r="AR130" s="60">
        <f t="shared" si="33"/>
        <v>0</v>
      </c>
      <c r="AS130" s="60">
        <f t="shared" si="34"/>
        <v>3</v>
      </c>
      <c r="AT130" s="221">
        <f t="shared" si="35"/>
        <v>3</v>
      </c>
      <c r="AU130" s="36"/>
    </row>
    <row r="131" ht="15.75" customHeight="1">
      <c r="A131" s="66" t="s">
        <v>33</v>
      </c>
      <c r="B131" s="78" t="s">
        <v>1013</v>
      </c>
      <c r="C131" s="66">
        <v>4.4339059E7</v>
      </c>
      <c r="D131" s="66" t="s">
        <v>1014</v>
      </c>
      <c r="E131" s="76" t="s">
        <v>938</v>
      </c>
      <c r="F131" s="223" t="s">
        <v>1015</v>
      </c>
      <c r="G131" s="83"/>
      <c r="H131" s="83"/>
      <c r="I131" s="144" t="s">
        <v>27</v>
      </c>
      <c r="J131" s="83"/>
      <c r="K131" s="144" t="s">
        <v>27</v>
      </c>
      <c r="L131" s="83"/>
      <c r="M131" s="86" t="s">
        <v>32</v>
      </c>
      <c r="N131" s="83"/>
      <c r="O131" s="83"/>
      <c r="P131" s="144" t="s">
        <v>27</v>
      </c>
      <c r="Q131" s="83"/>
      <c r="R131" s="144" t="s">
        <v>27</v>
      </c>
      <c r="S131" s="83"/>
      <c r="T131" s="86" t="s">
        <v>32</v>
      </c>
      <c r="U131" s="83"/>
      <c r="V131" s="83"/>
      <c r="W131" s="83"/>
      <c r="X131" s="172" t="s">
        <v>27</v>
      </c>
      <c r="Y131" s="83"/>
      <c r="Z131" s="172" t="s">
        <v>27</v>
      </c>
      <c r="AA131" s="83"/>
      <c r="AB131" s="172" t="s">
        <v>27</v>
      </c>
      <c r="AC131" s="83"/>
      <c r="AD131" s="83"/>
      <c r="AE131" s="172" t="s">
        <v>27</v>
      </c>
      <c r="AF131" s="83"/>
      <c r="AG131" s="555"/>
      <c r="AH131" s="83"/>
      <c r="AI131" s="172" t="s">
        <v>27</v>
      </c>
      <c r="AJ131" s="83"/>
      <c r="AK131" s="83"/>
      <c r="AL131" s="24"/>
      <c r="AN131" s="211" t="str">
        <f t="shared" si="29"/>
        <v/>
      </c>
      <c r="AO131" s="60">
        <f t="shared" si="30"/>
        <v>0</v>
      </c>
      <c r="AP131" s="60">
        <f t="shared" si="31"/>
        <v>0</v>
      </c>
      <c r="AQ131" s="60">
        <f t="shared" si="32"/>
        <v>0</v>
      </c>
      <c r="AR131" s="60">
        <f t="shared" si="33"/>
        <v>0</v>
      </c>
      <c r="AS131" s="60">
        <f t="shared" si="34"/>
        <v>0</v>
      </c>
      <c r="AT131" s="221">
        <f t="shared" si="35"/>
        <v>0</v>
      </c>
      <c r="AU131" s="36"/>
    </row>
    <row r="132" ht="15.75" customHeight="1">
      <c r="A132" s="76" t="s">
        <v>33</v>
      </c>
      <c r="B132" s="251" t="s">
        <v>1016</v>
      </c>
      <c r="C132" s="76">
        <v>4.2434727E7</v>
      </c>
      <c r="D132" s="76" t="s">
        <v>1017</v>
      </c>
      <c r="E132" s="76" t="s">
        <v>938</v>
      </c>
      <c r="F132" s="81" t="s">
        <v>1018</v>
      </c>
      <c r="G132" s="144" t="s">
        <v>27</v>
      </c>
      <c r="H132" s="83"/>
      <c r="I132" s="83"/>
      <c r="J132" s="172" t="s">
        <v>27</v>
      </c>
      <c r="K132" s="83"/>
      <c r="L132" s="172" t="s">
        <v>27</v>
      </c>
      <c r="M132" s="83"/>
      <c r="N132" s="172" t="s">
        <v>27</v>
      </c>
      <c r="O132" s="83"/>
      <c r="P132" s="83"/>
      <c r="Q132" s="172" t="s">
        <v>27</v>
      </c>
      <c r="R132" s="83"/>
      <c r="S132" s="172" t="s">
        <v>27</v>
      </c>
      <c r="T132" s="83"/>
      <c r="U132" s="172" t="s">
        <v>27</v>
      </c>
      <c r="V132" s="83"/>
      <c r="W132" s="83"/>
      <c r="X132" s="172" t="s">
        <v>27</v>
      </c>
      <c r="Y132" s="83"/>
      <c r="Z132" s="172" t="s">
        <v>18</v>
      </c>
      <c r="AA132" s="83"/>
      <c r="AB132" s="172" t="s">
        <v>27</v>
      </c>
      <c r="AC132" s="83"/>
      <c r="AD132" s="83"/>
      <c r="AE132" s="172" t="s">
        <v>27</v>
      </c>
      <c r="AF132" s="83"/>
      <c r="AG132" s="86" t="s">
        <v>32</v>
      </c>
      <c r="AH132" s="83"/>
      <c r="AI132" s="86" t="s">
        <v>32</v>
      </c>
      <c r="AJ132" s="83"/>
      <c r="AK132" s="172" t="s">
        <v>27</v>
      </c>
      <c r="AL132" s="193" t="s">
        <v>1019</v>
      </c>
      <c r="AN132" s="211" t="str">
        <f t="shared" si="29"/>
        <v/>
      </c>
      <c r="AO132" s="60">
        <f t="shared" si="30"/>
        <v>1</v>
      </c>
      <c r="AP132" s="60">
        <f t="shared" si="31"/>
        <v>0</v>
      </c>
      <c r="AQ132" s="60">
        <f t="shared" si="32"/>
        <v>0</v>
      </c>
      <c r="AR132" s="60">
        <f t="shared" si="33"/>
        <v>0</v>
      </c>
      <c r="AS132" s="60">
        <f t="shared" si="34"/>
        <v>0</v>
      </c>
      <c r="AT132" s="221">
        <f t="shared" si="35"/>
        <v>0</v>
      </c>
      <c r="AU132" s="36"/>
    </row>
    <row r="133" ht="15.75" customHeight="1">
      <c r="B133" s="399"/>
      <c r="F133" s="399"/>
      <c r="G133" s="399"/>
      <c r="H133" s="399"/>
      <c r="I133" s="399"/>
      <c r="J133" s="399"/>
      <c r="K133" s="399"/>
      <c r="L133" s="399"/>
      <c r="M133" s="399"/>
      <c r="N133" s="399"/>
      <c r="O133" s="399"/>
      <c r="P133" s="399"/>
      <c r="Q133" s="399"/>
      <c r="R133" s="399"/>
      <c r="S133" s="399"/>
      <c r="T133" s="399"/>
      <c r="U133" s="399"/>
      <c r="V133" s="399"/>
      <c r="W133" s="399"/>
      <c r="X133" s="399"/>
      <c r="Y133" s="399"/>
      <c r="Z133" s="399"/>
      <c r="AA133" s="399"/>
      <c r="AB133" s="399"/>
      <c r="AC133" s="399"/>
      <c r="AD133" s="399"/>
      <c r="AE133" s="399"/>
      <c r="AF133" s="399"/>
      <c r="AG133" s="399"/>
      <c r="AH133" s="399"/>
      <c r="AI133" s="399"/>
      <c r="AJ133" s="399"/>
      <c r="AK133" s="399"/>
      <c r="AL133" s="24"/>
    </row>
    <row r="134" ht="15.75" customHeight="1">
      <c r="A134" s="65" t="s">
        <v>1021</v>
      </c>
      <c r="B134" s="6"/>
      <c r="C134" s="6"/>
      <c r="D134" s="6"/>
      <c r="E134" s="6"/>
      <c r="F134" s="6"/>
      <c r="G134" s="6"/>
      <c r="H134" s="6"/>
      <c r="I134" s="6"/>
      <c r="J134" s="6"/>
      <c r="K134" s="6"/>
      <c r="L134" s="6"/>
      <c r="M134" s="6"/>
      <c r="N134" s="6"/>
      <c r="O134" s="6"/>
      <c r="P134" s="6"/>
      <c r="Q134" s="6"/>
      <c r="R134" s="6"/>
      <c r="S134" s="6"/>
      <c r="T134" s="6"/>
      <c r="U134" s="6"/>
      <c r="V134" s="6"/>
      <c r="W134" s="6"/>
      <c r="X134" s="6"/>
      <c r="Y134" s="6"/>
      <c r="Z134" s="6"/>
      <c r="AA134" s="6"/>
      <c r="AB134" s="6"/>
      <c r="AC134" s="6"/>
      <c r="AD134" s="6"/>
      <c r="AE134" s="6"/>
      <c r="AF134" s="6"/>
      <c r="AG134" s="6"/>
      <c r="AH134" s="6"/>
      <c r="AI134" s="6"/>
      <c r="AJ134" s="6"/>
      <c r="AK134" s="11"/>
      <c r="AL134" s="24"/>
    </row>
    <row r="135" ht="15.75" customHeight="1">
      <c r="A135" s="560" t="s">
        <v>1022</v>
      </c>
      <c r="B135" s="2"/>
      <c r="C135" s="2"/>
      <c r="D135" s="2"/>
      <c r="E135" s="2"/>
      <c r="F135" s="3"/>
      <c r="G135" s="9">
        <v>1.0</v>
      </c>
      <c r="H135" s="9">
        <v>2.0</v>
      </c>
      <c r="I135" s="9">
        <v>3.0</v>
      </c>
      <c r="J135" s="9">
        <v>4.0</v>
      </c>
      <c r="K135" s="9">
        <v>5.0</v>
      </c>
      <c r="L135" s="9">
        <v>6.0</v>
      </c>
      <c r="M135" s="9">
        <v>7.0</v>
      </c>
      <c r="N135" s="9">
        <v>8.0</v>
      </c>
      <c r="O135" s="9">
        <v>9.0</v>
      </c>
      <c r="P135" s="9">
        <v>10.0</v>
      </c>
      <c r="Q135" s="9">
        <v>11.0</v>
      </c>
      <c r="R135" s="9">
        <v>12.0</v>
      </c>
      <c r="S135" s="9">
        <v>13.0</v>
      </c>
      <c r="T135" s="9">
        <v>14.0</v>
      </c>
      <c r="U135" s="9">
        <v>15.0</v>
      </c>
      <c r="V135" s="9">
        <v>16.0</v>
      </c>
      <c r="W135" s="9">
        <v>17.0</v>
      </c>
      <c r="X135" s="9">
        <v>18.0</v>
      </c>
      <c r="Y135" s="9">
        <v>19.0</v>
      </c>
      <c r="Z135" s="9">
        <v>20.0</v>
      </c>
      <c r="AA135" s="9">
        <v>21.0</v>
      </c>
      <c r="AB135" s="9">
        <v>22.0</v>
      </c>
      <c r="AC135" s="9">
        <v>23.0</v>
      </c>
      <c r="AD135" s="9">
        <v>24.0</v>
      </c>
      <c r="AE135" s="9">
        <v>25.0</v>
      </c>
      <c r="AF135" s="9">
        <v>26.0</v>
      </c>
      <c r="AG135" s="9">
        <v>27.0</v>
      </c>
      <c r="AH135" s="9">
        <v>28.0</v>
      </c>
      <c r="AI135" s="9">
        <v>29.0</v>
      </c>
      <c r="AJ135" s="9">
        <v>30.0</v>
      </c>
      <c r="AK135" s="9">
        <v>31.0</v>
      </c>
      <c r="AL135" s="24"/>
    </row>
    <row r="136" ht="15.75" customHeight="1">
      <c r="A136" s="390" t="s">
        <v>4</v>
      </c>
      <c r="B136" s="408" t="s">
        <v>5</v>
      </c>
      <c r="C136" s="390" t="s">
        <v>6</v>
      </c>
      <c r="D136" s="390" t="s">
        <v>8</v>
      </c>
      <c r="E136" s="390" t="s">
        <v>30</v>
      </c>
      <c r="F136" s="408" t="s">
        <v>7</v>
      </c>
      <c r="G136" s="9" t="s">
        <v>9</v>
      </c>
      <c r="H136" s="9" t="s">
        <v>10</v>
      </c>
      <c r="I136" s="9" t="s">
        <v>11</v>
      </c>
      <c r="J136" s="9" t="s">
        <v>12</v>
      </c>
      <c r="K136" s="9" t="s">
        <v>12</v>
      </c>
      <c r="L136" s="9" t="s">
        <v>13</v>
      </c>
      <c r="M136" s="9" t="s">
        <v>15</v>
      </c>
      <c r="N136" s="9" t="s">
        <v>9</v>
      </c>
      <c r="O136" s="9" t="s">
        <v>10</v>
      </c>
      <c r="P136" s="9" t="s">
        <v>11</v>
      </c>
      <c r="Q136" s="9" t="s">
        <v>12</v>
      </c>
      <c r="R136" s="9" t="s">
        <v>12</v>
      </c>
      <c r="S136" s="9" t="s">
        <v>13</v>
      </c>
      <c r="T136" s="9" t="s">
        <v>15</v>
      </c>
      <c r="U136" s="9" t="s">
        <v>9</v>
      </c>
      <c r="V136" s="9" t="s">
        <v>10</v>
      </c>
      <c r="W136" s="9" t="s">
        <v>11</v>
      </c>
      <c r="X136" s="9" t="s">
        <v>12</v>
      </c>
      <c r="Y136" s="9" t="s">
        <v>12</v>
      </c>
      <c r="Z136" s="9" t="s">
        <v>13</v>
      </c>
      <c r="AA136" s="9" t="s">
        <v>15</v>
      </c>
      <c r="AB136" s="9" t="s">
        <v>9</v>
      </c>
      <c r="AC136" s="9" t="s">
        <v>10</v>
      </c>
      <c r="AD136" s="9" t="s">
        <v>11</v>
      </c>
      <c r="AE136" s="9" t="s">
        <v>12</v>
      </c>
      <c r="AF136" s="9" t="s">
        <v>12</v>
      </c>
      <c r="AG136" s="9" t="s">
        <v>13</v>
      </c>
      <c r="AH136" s="13" t="s">
        <v>15</v>
      </c>
      <c r="AI136" s="9" t="s">
        <v>9</v>
      </c>
      <c r="AJ136" s="9" t="s">
        <v>10</v>
      </c>
      <c r="AK136" s="9" t="s">
        <v>11</v>
      </c>
      <c r="AL136" s="24"/>
    </row>
    <row r="137" ht="15.75" customHeight="1">
      <c r="A137" s="455" t="s">
        <v>1027</v>
      </c>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c r="AB137" s="2"/>
      <c r="AC137" s="2"/>
      <c r="AD137" s="2"/>
      <c r="AE137" s="2"/>
      <c r="AF137" s="2"/>
      <c r="AG137" s="2"/>
      <c r="AH137" s="2"/>
      <c r="AI137" s="2"/>
      <c r="AJ137" s="561"/>
      <c r="AK137" s="71"/>
      <c r="AL137" s="24"/>
    </row>
    <row r="138" ht="15.75" customHeight="1">
      <c r="A138" s="38" t="s">
        <v>505</v>
      </c>
      <c r="B138" s="423" t="s">
        <v>1028</v>
      </c>
      <c r="C138" s="88">
        <v>3784.0</v>
      </c>
      <c r="D138" s="40" t="s">
        <v>671</v>
      </c>
      <c r="E138" s="40" t="s">
        <v>80</v>
      </c>
      <c r="F138" s="418" t="s">
        <v>672</v>
      </c>
      <c r="G138" s="83"/>
      <c r="H138" s="83"/>
      <c r="I138" s="144" t="s">
        <v>27</v>
      </c>
      <c r="J138" s="83"/>
      <c r="K138" s="83"/>
      <c r="L138" s="144" t="s">
        <v>27</v>
      </c>
      <c r="M138" s="83"/>
      <c r="N138" s="144" t="s">
        <v>27</v>
      </c>
      <c r="O138" s="144" t="s">
        <v>27</v>
      </c>
      <c r="P138" s="83"/>
      <c r="Q138" s="83"/>
      <c r="R138" s="144" t="s">
        <v>27</v>
      </c>
      <c r="S138" s="83"/>
      <c r="T138" s="83"/>
      <c r="U138" s="144" t="s">
        <v>27</v>
      </c>
      <c r="V138" s="83"/>
      <c r="W138" s="83"/>
      <c r="X138" s="144" t="s">
        <v>27</v>
      </c>
      <c r="Y138" s="83"/>
      <c r="Z138" s="83"/>
      <c r="AA138" s="144" t="s">
        <v>27</v>
      </c>
      <c r="AB138" s="83"/>
      <c r="AC138" s="83"/>
      <c r="AD138" s="86" t="s">
        <v>32</v>
      </c>
      <c r="AE138" s="121" t="s">
        <v>1029</v>
      </c>
      <c r="AF138" s="6"/>
      <c r="AG138" s="6"/>
      <c r="AH138" s="6"/>
      <c r="AI138" s="6"/>
      <c r="AJ138" s="6"/>
      <c r="AK138" s="11"/>
      <c r="AL138" s="24"/>
    </row>
    <row r="139" ht="15.75" customHeight="1">
      <c r="A139" s="190" t="s">
        <v>59</v>
      </c>
      <c r="B139" s="317" t="s">
        <v>1030</v>
      </c>
      <c r="C139" s="182">
        <v>5691.0</v>
      </c>
      <c r="D139" s="182" t="s">
        <v>1031</v>
      </c>
      <c r="E139" s="182" t="s">
        <v>35</v>
      </c>
      <c r="F139" s="562" t="s">
        <v>1032</v>
      </c>
      <c r="G139" s="121" t="s">
        <v>1033</v>
      </c>
      <c r="H139" s="6"/>
      <c r="I139" s="6"/>
      <c r="J139" s="6"/>
      <c r="K139" s="6"/>
      <c r="L139" s="6"/>
      <c r="M139" s="6"/>
      <c r="N139" s="6"/>
      <c r="O139" s="6"/>
      <c r="P139" s="6"/>
      <c r="Q139" s="6"/>
      <c r="R139" s="6"/>
      <c r="S139" s="6"/>
      <c r="T139" s="6"/>
      <c r="U139" s="6"/>
      <c r="V139" s="6"/>
      <c r="W139" s="6"/>
      <c r="X139" s="6"/>
      <c r="Y139" s="6"/>
      <c r="Z139" s="6"/>
      <c r="AA139" s="6"/>
      <c r="AB139" s="11"/>
      <c r="AC139" s="83"/>
      <c r="AD139" s="144" t="s">
        <v>27</v>
      </c>
      <c r="AE139" s="83"/>
      <c r="AF139" s="83"/>
      <c r="AG139" s="144" t="s">
        <v>27</v>
      </c>
      <c r="AH139" s="83"/>
      <c r="AI139" s="144" t="s">
        <v>27</v>
      </c>
      <c r="AJ139" s="144" t="s">
        <v>27</v>
      </c>
      <c r="AK139" s="83"/>
      <c r="AL139" s="24"/>
    </row>
    <row r="140" ht="15.75" customHeight="1">
      <c r="A140" s="65" t="s">
        <v>52</v>
      </c>
      <c r="B140" s="6"/>
      <c r="C140" s="6"/>
      <c r="D140" s="6"/>
      <c r="E140" s="6"/>
      <c r="F140" s="6"/>
      <c r="G140" s="6"/>
      <c r="H140" s="6"/>
      <c r="I140" s="6"/>
      <c r="J140" s="6"/>
      <c r="K140" s="6"/>
      <c r="L140" s="6"/>
      <c r="M140" s="6"/>
      <c r="N140" s="6"/>
      <c r="O140" s="6"/>
      <c r="P140" s="6"/>
      <c r="Q140" s="6"/>
      <c r="R140" s="6"/>
      <c r="S140" s="6"/>
      <c r="T140" s="6"/>
      <c r="U140" s="6"/>
      <c r="V140" s="6"/>
      <c r="W140" s="6"/>
      <c r="X140" s="6"/>
      <c r="Y140" s="6"/>
      <c r="Z140" s="6"/>
      <c r="AA140" s="6"/>
      <c r="AB140" s="6"/>
      <c r="AC140" s="6"/>
      <c r="AD140" s="6"/>
      <c r="AE140" s="6"/>
      <c r="AF140" s="6"/>
      <c r="AG140" s="6"/>
      <c r="AH140" s="6"/>
      <c r="AI140" s="6"/>
      <c r="AJ140" s="6"/>
      <c r="AK140" s="11"/>
      <c r="AL140" s="24"/>
    </row>
    <row r="141" ht="15.75" customHeight="1">
      <c r="A141" s="190" t="s">
        <v>1035</v>
      </c>
      <c r="B141" s="191" t="s">
        <v>1036</v>
      </c>
      <c r="C141" s="182">
        <v>6002.0</v>
      </c>
      <c r="D141" s="217" t="s">
        <v>1037</v>
      </c>
      <c r="E141" s="143" t="s">
        <v>80</v>
      </c>
      <c r="F141" s="566" t="s">
        <v>1038</v>
      </c>
      <c r="G141" s="83"/>
      <c r="H141" s="83"/>
      <c r="I141" s="144" t="s">
        <v>27</v>
      </c>
      <c r="J141" s="83"/>
      <c r="K141" s="83"/>
      <c r="L141" s="124" t="s">
        <v>22</v>
      </c>
      <c r="M141" s="124" t="s">
        <v>22</v>
      </c>
      <c r="N141" s="124" t="s">
        <v>22</v>
      </c>
      <c r="O141" s="124" t="s">
        <v>22</v>
      </c>
      <c r="P141" s="124" t="s">
        <v>22</v>
      </c>
      <c r="Q141" s="124" t="s">
        <v>22</v>
      </c>
      <c r="R141" s="124" t="s">
        <v>22</v>
      </c>
      <c r="S141" s="124" t="s">
        <v>22</v>
      </c>
      <c r="T141" s="124" t="s">
        <v>22</v>
      </c>
      <c r="U141" s="124" t="s">
        <v>22</v>
      </c>
      <c r="V141" s="124" t="s">
        <v>22</v>
      </c>
      <c r="W141" s="124" t="s">
        <v>22</v>
      </c>
      <c r="X141" s="124" t="s">
        <v>22</v>
      </c>
      <c r="Y141" s="124" t="s">
        <v>22</v>
      </c>
      <c r="Z141" s="124" t="s">
        <v>22</v>
      </c>
      <c r="AA141" s="124" t="s">
        <v>22</v>
      </c>
      <c r="AB141" s="83"/>
      <c r="AC141" s="83"/>
      <c r="AD141" s="144" t="s">
        <v>27</v>
      </c>
      <c r="AE141" s="83"/>
      <c r="AF141" s="83"/>
      <c r="AG141" s="144" t="s">
        <v>27</v>
      </c>
      <c r="AH141" s="83"/>
      <c r="AI141" s="144" t="s">
        <v>27</v>
      </c>
      <c r="AJ141" s="144" t="s">
        <v>27</v>
      </c>
      <c r="AK141" s="83"/>
      <c r="AL141" s="24"/>
    </row>
    <row r="142" ht="15.75" customHeight="1">
      <c r="A142" s="76" t="s">
        <v>124</v>
      </c>
      <c r="B142" s="263" t="s">
        <v>1039</v>
      </c>
      <c r="C142" s="76">
        <v>11064.0</v>
      </c>
      <c r="D142" s="76">
        <v>1.168062984E9</v>
      </c>
      <c r="E142" s="98" t="s">
        <v>80</v>
      </c>
      <c r="F142" s="263" t="s">
        <v>1040</v>
      </c>
      <c r="G142" s="172" t="s">
        <v>27</v>
      </c>
      <c r="H142" s="83"/>
      <c r="I142" s="144" t="s">
        <v>18</v>
      </c>
      <c r="J142" s="83"/>
      <c r="K142" s="83"/>
      <c r="L142" s="144" t="s">
        <v>27</v>
      </c>
      <c r="M142" s="83"/>
      <c r="N142" s="86" t="s">
        <v>32</v>
      </c>
      <c r="O142" s="144" t="s">
        <v>120</v>
      </c>
      <c r="P142" s="83"/>
      <c r="Q142" s="83"/>
      <c r="R142" s="144" t="s">
        <v>27</v>
      </c>
      <c r="S142" s="83"/>
      <c r="T142" s="96" t="s">
        <v>22</v>
      </c>
      <c r="U142" s="96" t="s">
        <v>22</v>
      </c>
      <c r="V142" s="96" t="s">
        <v>22</v>
      </c>
      <c r="W142" s="96" t="s">
        <v>22</v>
      </c>
      <c r="X142" s="96" t="s">
        <v>22</v>
      </c>
      <c r="Y142" s="96" t="s">
        <v>22</v>
      </c>
      <c r="Z142" s="96" t="s">
        <v>22</v>
      </c>
      <c r="AA142" s="96" t="s">
        <v>22</v>
      </c>
      <c r="AB142" s="96" t="s">
        <v>22</v>
      </c>
      <c r="AC142" s="96" t="s">
        <v>22</v>
      </c>
      <c r="AD142" s="96" t="s">
        <v>22</v>
      </c>
      <c r="AE142" s="96" t="s">
        <v>22</v>
      </c>
      <c r="AF142" s="83"/>
      <c r="AG142" s="144" t="s">
        <v>27</v>
      </c>
      <c r="AH142" s="83"/>
      <c r="AI142" s="144" t="s">
        <v>27</v>
      </c>
      <c r="AJ142" s="144" t="s">
        <v>27</v>
      </c>
      <c r="AK142" s="83"/>
      <c r="AL142" s="24"/>
    </row>
    <row r="143" ht="15.75" customHeight="1">
      <c r="A143" s="38" t="s">
        <v>153</v>
      </c>
      <c r="B143" s="412" t="s">
        <v>1044</v>
      </c>
      <c r="C143" s="40">
        <v>42139.0</v>
      </c>
      <c r="D143" s="40" t="s">
        <v>1045</v>
      </c>
      <c r="E143" s="515" t="s">
        <v>148</v>
      </c>
      <c r="F143" s="251" t="s">
        <v>1046</v>
      </c>
      <c r="G143" s="83"/>
      <c r="H143" s="83"/>
      <c r="I143" s="144" t="s">
        <v>27</v>
      </c>
      <c r="J143" s="83"/>
      <c r="K143" s="83"/>
      <c r="L143" s="144" t="s">
        <v>27</v>
      </c>
      <c r="M143" s="83"/>
      <c r="N143" s="144" t="s">
        <v>27</v>
      </c>
      <c r="O143" s="144" t="s">
        <v>27</v>
      </c>
      <c r="P143" s="83"/>
      <c r="Q143" s="83"/>
      <c r="R143" s="144" t="s">
        <v>120</v>
      </c>
      <c r="S143" s="83"/>
      <c r="T143" s="83"/>
      <c r="U143" s="144" t="s">
        <v>27</v>
      </c>
      <c r="V143" s="83"/>
      <c r="W143" s="83"/>
      <c r="X143" s="144" t="s">
        <v>27</v>
      </c>
      <c r="Y143" s="83"/>
      <c r="Z143" s="83"/>
      <c r="AA143" s="144" t="s">
        <v>27</v>
      </c>
      <c r="AB143" s="83"/>
      <c r="AC143" s="83"/>
      <c r="AD143" s="162" t="s">
        <v>22</v>
      </c>
      <c r="AE143" s="162" t="s">
        <v>22</v>
      </c>
      <c r="AF143" s="162" t="s">
        <v>22</v>
      </c>
      <c r="AG143" s="162" t="s">
        <v>22</v>
      </c>
      <c r="AH143" s="162" t="s">
        <v>22</v>
      </c>
      <c r="AI143" s="162" t="s">
        <v>22</v>
      </c>
      <c r="AJ143" s="162" t="s">
        <v>22</v>
      </c>
      <c r="AK143" s="162" t="s">
        <v>22</v>
      </c>
      <c r="AL143" s="162" t="s">
        <v>22</v>
      </c>
    </row>
    <row r="144" ht="15.75" customHeight="1">
      <c r="A144" s="93" t="s">
        <v>162</v>
      </c>
      <c r="B144" s="94" t="s">
        <v>1047</v>
      </c>
      <c r="C144" s="93">
        <v>73971.0</v>
      </c>
      <c r="D144" s="93" t="s">
        <v>1048</v>
      </c>
      <c r="E144" s="143" t="s">
        <v>707</v>
      </c>
      <c r="F144" s="567" t="s">
        <v>1049</v>
      </c>
      <c r="G144" s="83"/>
      <c r="H144" s="83"/>
      <c r="I144" s="144" t="s">
        <v>27</v>
      </c>
      <c r="J144" s="83"/>
      <c r="K144" s="83"/>
      <c r="L144" s="144" t="s">
        <v>27</v>
      </c>
      <c r="M144" s="83"/>
      <c r="N144" s="144" t="s">
        <v>27</v>
      </c>
      <c r="O144" s="144" t="s">
        <v>27</v>
      </c>
      <c r="P144" s="83"/>
      <c r="Q144" s="83"/>
      <c r="R144" s="144" t="s">
        <v>27</v>
      </c>
      <c r="S144" s="83"/>
      <c r="T144" s="83"/>
      <c r="U144" s="144" t="s">
        <v>27</v>
      </c>
      <c r="V144" s="83"/>
      <c r="W144" s="83"/>
      <c r="X144" s="144" t="s">
        <v>27</v>
      </c>
      <c r="Y144" s="83"/>
      <c r="Z144" s="83"/>
      <c r="AA144" s="144" t="s">
        <v>27</v>
      </c>
      <c r="AB144" s="83"/>
      <c r="AC144" s="83"/>
      <c r="AD144" s="144" t="s">
        <v>27</v>
      </c>
      <c r="AE144" s="83"/>
      <c r="AF144" s="83"/>
      <c r="AG144" s="144" t="s">
        <v>27</v>
      </c>
      <c r="AH144" s="83"/>
      <c r="AI144" s="144" t="s">
        <v>27</v>
      </c>
      <c r="AJ144" s="144" t="s">
        <v>27</v>
      </c>
      <c r="AK144" s="83"/>
      <c r="AL144" s="24"/>
    </row>
    <row r="145" ht="15.75" customHeight="1">
      <c r="A145" s="190" t="s">
        <v>162</v>
      </c>
      <c r="B145" s="191" t="s">
        <v>712</v>
      </c>
      <c r="C145" s="182">
        <v>59595.0</v>
      </c>
      <c r="D145" s="182" t="s">
        <v>713</v>
      </c>
      <c r="E145" s="143" t="s">
        <v>80</v>
      </c>
      <c r="F145" s="440" t="s">
        <v>714</v>
      </c>
      <c r="G145" s="121" t="s">
        <v>1050</v>
      </c>
      <c r="H145" s="6"/>
      <c r="I145" s="6"/>
      <c r="J145" s="6"/>
      <c r="K145" s="6"/>
      <c r="L145" s="6"/>
      <c r="M145" s="6"/>
      <c r="N145" s="6"/>
      <c r="O145" s="6"/>
      <c r="P145" s="6"/>
      <c r="Q145" s="6"/>
      <c r="R145" s="6"/>
      <c r="S145" s="6"/>
      <c r="T145" s="6"/>
      <c r="U145" s="6"/>
      <c r="V145" s="6"/>
      <c r="W145" s="6"/>
      <c r="X145" s="6"/>
      <c r="Y145" s="6"/>
      <c r="Z145" s="6"/>
      <c r="AA145" s="6"/>
      <c r="AB145" s="6"/>
      <c r="AC145" s="11"/>
      <c r="AD145" s="131" t="s">
        <v>27</v>
      </c>
      <c r="AE145" s="79"/>
      <c r="AF145" s="79"/>
      <c r="AG145" s="131" t="s">
        <v>27</v>
      </c>
      <c r="AH145" s="79"/>
      <c r="AI145" s="79"/>
      <c r="AJ145" s="79"/>
      <c r="AK145" s="79"/>
      <c r="AL145" s="24"/>
    </row>
    <row r="146" ht="15.75" customHeight="1">
      <c r="A146" s="76" t="s">
        <v>1035</v>
      </c>
      <c r="B146" s="251" t="s">
        <v>1051</v>
      </c>
      <c r="C146" s="76">
        <v>5048.0</v>
      </c>
      <c r="D146" s="76">
        <v>1.167653589E9</v>
      </c>
      <c r="E146" s="76" t="s">
        <v>707</v>
      </c>
      <c r="F146" s="568" t="s">
        <v>1052</v>
      </c>
      <c r="G146" s="121" t="s">
        <v>1053</v>
      </c>
      <c r="H146" s="6"/>
      <c r="I146" s="6"/>
      <c r="J146" s="6"/>
      <c r="K146" s="6"/>
      <c r="L146" s="6"/>
      <c r="M146" s="6"/>
      <c r="N146" s="6"/>
      <c r="O146" s="6"/>
      <c r="P146" s="6"/>
      <c r="Q146" s="6"/>
      <c r="R146" s="6"/>
      <c r="S146" s="6"/>
      <c r="T146" s="6"/>
      <c r="U146" s="6"/>
      <c r="V146" s="6"/>
      <c r="W146" s="6"/>
      <c r="X146" s="6"/>
      <c r="Y146" s="6"/>
      <c r="Z146" s="6"/>
      <c r="AA146" s="11"/>
      <c r="AB146" s="83"/>
      <c r="AC146" s="172" t="s">
        <v>27</v>
      </c>
      <c r="AD146" s="144" t="s">
        <v>27</v>
      </c>
      <c r="AE146" s="83"/>
      <c r="AF146" s="83"/>
      <c r="AG146" s="144" t="s">
        <v>27</v>
      </c>
      <c r="AH146" s="83"/>
      <c r="AI146" s="113" t="s">
        <v>79</v>
      </c>
      <c r="AJ146" s="113" t="s">
        <v>79</v>
      </c>
      <c r="AK146" s="83"/>
      <c r="AL146" s="24"/>
    </row>
    <row r="147" ht="15.75" customHeight="1">
      <c r="A147" s="4"/>
      <c r="B147" s="6"/>
      <c r="C147" s="6"/>
      <c r="D147" s="6"/>
      <c r="E147" s="6"/>
      <c r="F147" s="6"/>
      <c r="G147" s="6"/>
      <c r="H147" s="6"/>
      <c r="I147" s="6"/>
      <c r="J147" s="6"/>
      <c r="K147" s="6"/>
      <c r="L147" s="6"/>
      <c r="M147" s="6"/>
      <c r="N147" s="6"/>
      <c r="O147" s="6"/>
      <c r="P147" s="6"/>
      <c r="Q147" s="6"/>
      <c r="R147" s="6"/>
      <c r="S147" s="6"/>
      <c r="T147" s="6"/>
      <c r="U147" s="6"/>
      <c r="V147" s="6"/>
      <c r="W147" s="6"/>
      <c r="X147" s="6"/>
      <c r="Y147" s="6"/>
      <c r="Z147" s="6"/>
      <c r="AA147" s="6"/>
      <c r="AB147" s="6"/>
      <c r="AC147" s="6"/>
      <c r="AD147" s="6"/>
      <c r="AE147" s="6"/>
      <c r="AF147" s="6"/>
      <c r="AG147" s="6"/>
      <c r="AH147" s="6"/>
      <c r="AI147" s="6"/>
      <c r="AJ147" s="6"/>
      <c r="AK147" s="11"/>
      <c r="AL147" s="50"/>
    </row>
    <row r="148" ht="15.75" customHeight="1">
      <c r="A148" s="143" t="s">
        <v>230</v>
      </c>
      <c r="B148" s="94" t="s">
        <v>1055</v>
      </c>
      <c r="C148" s="143">
        <v>31751.0</v>
      </c>
      <c r="D148" s="143" t="s">
        <v>1056</v>
      </c>
      <c r="E148" s="93" t="s">
        <v>303</v>
      </c>
      <c r="F148" s="350" t="s">
        <v>1057</v>
      </c>
      <c r="G148" s="83"/>
      <c r="H148" s="83"/>
      <c r="I148" s="144" t="s">
        <v>27</v>
      </c>
      <c r="J148" s="83"/>
      <c r="K148" s="83"/>
      <c r="L148" s="144" t="s">
        <v>27</v>
      </c>
      <c r="M148" s="83"/>
      <c r="N148" s="144" t="s">
        <v>27</v>
      </c>
      <c r="O148" s="144" t="s">
        <v>198</v>
      </c>
      <c r="P148" s="83"/>
      <c r="Q148" s="83"/>
      <c r="R148" s="144" t="s">
        <v>198</v>
      </c>
      <c r="S148" s="83"/>
      <c r="T148" s="83"/>
      <c r="U148" s="144" t="s">
        <v>27</v>
      </c>
      <c r="V148" s="83"/>
      <c r="W148" s="83"/>
      <c r="X148" s="144" t="s">
        <v>27</v>
      </c>
      <c r="Y148" s="83"/>
      <c r="Z148" s="83"/>
      <c r="AA148" s="96" t="s">
        <v>22</v>
      </c>
      <c r="AB148" s="96" t="s">
        <v>22</v>
      </c>
      <c r="AC148" s="96" t="s">
        <v>22</v>
      </c>
      <c r="AD148" s="96" t="s">
        <v>22</v>
      </c>
      <c r="AE148" s="96" t="s">
        <v>22</v>
      </c>
      <c r="AF148" s="96" t="s">
        <v>22</v>
      </c>
      <c r="AG148" s="96" t="s">
        <v>22</v>
      </c>
      <c r="AH148" s="96" t="s">
        <v>22</v>
      </c>
      <c r="AI148" s="96" t="s">
        <v>22</v>
      </c>
      <c r="AJ148" s="96" t="s">
        <v>22</v>
      </c>
      <c r="AK148" s="96" t="s">
        <v>22</v>
      </c>
      <c r="AL148" s="96" t="s">
        <v>22</v>
      </c>
      <c r="AN148" s="211" t="str">
        <f t="shared" ref="AN148:AN168" si="36">IFS(AO148&gt;3,"NO CORRESPONDE FRANCO",AT148&gt;0,"NO CORRESPONDE FRANCO",AT148=0,"")</f>
        <v>NO CORRESPONDE FRANCO</v>
      </c>
      <c r="AO148" s="60">
        <f t="shared" ref="AO148:AO168" si="37">COUNTIF($G148:$AK148,"LLT")</f>
        <v>0</v>
      </c>
      <c r="AP148" s="60">
        <f t="shared" ref="AP148:AP168" si="38">COUNTIF($G148:$AK148,"LM")</f>
        <v>0</v>
      </c>
      <c r="AQ148" s="60">
        <f t="shared" ref="AQ148:AQ168" si="39">COUNTIF($G148:$AK148,"FaC")</f>
        <v>0</v>
      </c>
      <c r="AR148" s="60">
        <f t="shared" ref="AR148:AR168" si="40">COUNTIF($G148:$AK148,"LxE")</f>
        <v>0</v>
      </c>
      <c r="AS148" s="60">
        <f t="shared" ref="AS148:AS168" si="41">COUNTIF($G148:$AK148,"LA")</f>
        <v>11</v>
      </c>
      <c r="AT148" s="221">
        <f t="shared" ref="AT148:AT168" si="42">SUM(AP148:AS148)</f>
        <v>11</v>
      </c>
      <c r="AU148" s="36"/>
    </row>
    <row r="149" ht="15.75" customHeight="1">
      <c r="A149" s="537" t="s">
        <v>990</v>
      </c>
      <c r="B149" s="94" t="s">
        <v>1062</v>
      </c>
      <c r="C149" s="537">
        <v>30771.0</v>
      </c>
      <c r="D149" s="143" t="s">
        <v>1063</v>
      </c>
      <c r="E149" s="93" t="s">
        <v>233</v>
      </c>
      <c r="F149" s="350" t="s">
        <v>1064</v>
      </c>
      <c r="G149" s="83"/>
      <c r="H149" s="83"/>
      <c r="I149" s="144" t="s">
        <v>27</v>
      </c>
      <c r="J149" s="83"/>
      <c r="K149" s="83"/>
      <c r="L149" s="144" t="s">
        <v>27</v>
      </c>
      <c r="M149" s="83"/>
      <c r="N149" s="144" t="s">
        <v>198</v>
      </c>
      <c r="O149" s="144" t="s">
        <v>27</v>
      </c>
      <c r="P149" s="83"/>
      <c r="Q149" s="83"/>
      <c r="R149" s="86" t="s">
        <v>32</v>
      </c>
      <c r="S149" s="83"/>
      <c r="T149" s="83"/>
      <c r="U149" s="144" t="s">
        <v>27</v>
      </c>
      <c r="V149" s="83"/>
      <c r="W149" s="83"/>
      <c r="X149" s="96" t="s">
        <v>22</v>
      </c>
      <c r="Y149" s="96" t="s">
        <v>22</v>
      </c>
      <c r="Z149" s="96" t="s">
        <v>22</v>
      </c>
      <c r="AA149" s="96" t="s">
        <v>22</v>
      </c>
      <c r="AB149" s="96" t="s">
        <v>22</v>
      </c>
      <c r="AC149" s="96" t="s">
        <v>22</v>
      </c>
      <c r="AD149" s="96" t="s">
        <v>22</v>
      </c>
      <c r="AE149" s="96" t="s">
        <v>22</v>
      </c>
      <c r="AF149" s="96" t="s">
        <v>22</v>
      </c>
      <c r="AG149" s="96" t="s">
        <v>22</v>
      </c>
      <c r="AH149" s="96" t="s">
        <v>22</v>
      </c>
      <c r="AI149" s="144" t="s">
        <v>27</v>
      </c>
      <c r="AJ149" s="144" t="s">
        <v>18</v>
      </c>
      <c r="AK149" s="83"/>
      <c r="AL149" s="24"/>
      <c r="AN149" s="211" t="str">
        <f t="shared" si="36"/>
        <v>NO CORRESPONDE FRANCO</v>
      </c>
      <c r="AO149" s="60">
        <f t="shared" si="37"/>
        <v>1</v>
      </c>
      <c r="AP149" s="60">
        <f t="shared" si="38"/>
        <v>0</v>
      </c>
      <c r="AQ149" s="60">
        <f t="shared" si="39"/>
        <v>0</v>
      </c>
      <c r="AR149" s="60">
        <f t="shared" si="40"/>
        <v>0</v>
      </c>
      <c r="AS149" s="60">
        <f t="shared" si="41"/>
        <v>11</v>
      </c>
      <c r="AT149" s="221">
        <f t="shared" si="42"/>
        <v>11</v>
      </c>
      <c r="AU149" s="36"/>
    </row>
    <row r="150" ht="15.75" customHeight="1">
      <c r="A150" s="143" t="s">
        <v>269</v>
      </c>
      <c r="B150" s="94" t="s">
        <v>1065</v>
      </c>
      <c r="C150" s="143">
        <v>12598.0</v>
      </c>
      <c r="D150" s="143" t="s">
        <v>1066</v>
      </c>
      <c r="E150" s="93" t="s">
        <v>303</v>
      </c>
      <c r="F150" s="571" t="s">
        <v>1067</v>
      </c>
      <c r="G150" s="83"/>
      <c r="H150" s="83"/>
      <c r="I150" s="144" t="s">
        <v>18</v>
      </c>
      <c r="J150" s="83"/>
      <c r="K150" s="83"/>
      <c r="L150" s="144" t="s">
        <v>27</v>
      </c>
      <c r="M150" s="83"/>
      <c r="N150" s="144" t="s">
        <v>198</v>
      </c>
      <c r="O150" s="144" t="s">
        <v>27</v>
      </c>
      <c r="P150" s="83"/>
      <c r="Q150" s="83"/>
      <c r="R150" s="86" t="s">
        <v>32</v>
      </c>
      <c r="S150" s="83"/>
      <c r="T150" s="83"/>
      <c r="U150" s="144" t="s">
        <v>18</v>
      </c>
      <c r="V150" s="83"/>
      <c r="W150" s="83"/>
      <c r="X150" s="144" t="s">
        <v>27</v>
      </c>
      <c r="Y150" s="83"/>
      <c r="Z150" s="83"/>
      <c r="AA150" s="144" t="s">
        <v>198</v>
      </c>
      <c r="AB150" s="83"/>
      <c r="AC150" s="83"/>
      <c r="AD150" s="144" t="s">
        <v>27</v>
      </c>
      <c r="AE150" s="83"/>
      <c r="AF150" s="83"/>
      <c r="AG150" s="144" t="s">
        <v>27</v>
      </c>
      <c r="AH150" s="83"/>
      <c r="AI150" s="144" t="s">
        <v>27</v>
      </c>
      <c r="AJ150" s="144" t="s">
        <v>120</v>
      </c>
      <c r="AK150" s="83"/>
      <c r="AL150" s="24"/>
      <c r="AN150" s="211" t="str">
        <f t="shared" si="36"/>
        <v/>
      </c>
      <c r="AO150" s="60">
        <f t="shared" si="37"/>
        <v>2</v>
      </c>
      <c r="AP150" s="60">
        <f t="shared" si="38"/>
        <v>0</v>
      </c>
      <c r="AQ150" s="60">
        <f t="shared" si="39"/>
        <v>0</v>
      </c>
      <c r="AR150" s="60">
        <f t="shared" si="40"/>
        <v>0</v>
      </c>
      <c r="AS150" s="60">
        <f t="shared" si="41"/>
        <v>0</v>
      </c>
      <c r="AT150" s="221">
        <f t="shared" si="42"/>
        <v>0</v>
      </c>
      <c r="AU150" s="36"/>
    </row>
    <row r="151" ht="15.75" customHeight="1">
      <c r="A151" s="143" t="s">
        <v>23</v>
      </c>
      <c r="B151" s="94" t="s">
        <v>1069</v>
      </c>
      <c r="C151" s="143">
        <v>13807.0</v>
      </c>
      <c r="D151" s="143" t="s">
        <v>1070</v>
      </c>
      <c r="E151" s="143" t="s">
        <v>233</v>
      </c>
      <c r="F151" s="350" t="s">
        <v>1071</v>
      </c>
      <c r="G151" s="83"/>
      <c r="H151" s="83"/>
      <c r="I151" s="144" t="s">
        <v>27</v>
      </c>
      <c r="J151" s="83"/>
      <c r="K151" s="83"/>
      <c r="L151" s="144" t="s">
        <v>27</v>
      </c>
      <c r="M151" s="83"/>
      <c r="N151" s="144" t="s">
        <v>27</v>
      </c>
      <c r="O151" s="144" t="s">
        <v>27</v>
      </c>
      <c r="P151" s="83"/>
      <c r="Q151" s="83"/>
      <c r="R151" s="144" t="s">
        <v>27</v>
      </c>
      <c r="S151" s="83"/>
      <c r="T151" s="83"/>
      <c r="U151" s="144" t="s">
        <v>27</v>
      </c>
      <c r="V151" s="83"/>
      <c r="W151" s="83"/>
      <c r="X151" s="144" t="s">
        <v>27</v>
      </c>
      <c r="Y151" s="83"/>
      <c r="Z151" s="83"/>
      <c r="AA151" s="144" t="s">
        <v>27</v>
      </c>
      <c r="AB151" s="83"/>
      <c r="AC151" s="83"/>
      <c r="AD151" s="144" t="s">
        <v>27</v>
      </c>
      <c r="AE151" s="83"/>
      <c r="AF151" s="83"/>
      <c r="AG151" s="144" t="s">
        <v>27</v>
      </c>
      <c r="AH151" s="83"/>
      <c r="AI151" s="144" t="s">
        <v>27</v>
      </c>
      <c r="AJ151" s="144" t="s">
        <v>27</v>
      </c>
      <c r="AK151" s="83"/>
      <c r="AL151" s="86" t="s">
        <v>32</v>
      </c>
      <c r="AM151" s="573">
        <v>46270.0</v>
      </c>
      <c r="AN151" s="211" t="str">
        <f t="shared" si="36"/>
        <v/>
      </c>
      <c r="AO151" s="60">
        <f t="shared" si="37"/>
        <v>0</v>
      </c>
      <c r="AP151" s="60">
        <f t="shared" si="38"/>
        <v>0</v>
      </c>
      <c r="AQ151" s="60">
        <f t="shared" si="39"/>
        <v>0</v>
      </c>
      <c r="AR151" s="60">
        <f t="shared" si="40"/>
        <v>0</v>
      </c>
      <c r="AS151" s="60">
        <f t="shared" si="41"/>
        <v>0</v>
      </c>
      <c r="AT151" s="221">
        <f t="shared" si="42"/>
        <v>0</v>
      </c>
      <c r="AU151" s="36"/>
    </row>
    <row r="152" ht="15.75" customHeight="1">
      <c r="A152" s="143" t="s">
        <v>33</v>
      </c>
      <c r="B152" s="94" t="s">
        <v>1072</v>
      </c>
      <c r="C152" s="143">
        <v>4.3180231E7</v>
      </c>
      <c r="D152" s="143" t="s">
        <v>1073</v>
      </c>
      <c r="E152" s="93" t="s">
        <v>233</v>
      </c>
      <c r="F152" s="350" t="s">
        <v>1074</v>
      </c>
      <c r="G152" s="83"/>
      <c r="H152" s="83"/>
      <c r="I152" s="144" t="s">
        <v>27</v>
      </c>
      <c r="J152" s="83"/>
      <c r="K152" s="83"/>
      <c r="L152" s="144" t="s">
        <v>198</v>
      </c>
      <c r="M152" s="83"/>
      <c r="N152" s="86" t="s">
        <v>32</v>
      </c>
      <c r="O152" s="144" t="s">
        <v>198</v>
      </c>
      <c r="P152" s="83"/>
      <c r="Q152" s="83"/>
      <c r="R152" s="144" t="s">
        <v>27</v>
      </c>
      <c r="S152" s="83"/>
      <c r="T152" s="83"/>
      <c r="U152" s="144" t="s">
        <v>27</v>
      </c>
      <c r="V152" s="83"/>
      <c r="W152" s="83"/>
      <c r="X152" s="144" t="s">
        <v>27</v>
      </c>
      <c r="Y152" s="83"/>
      <c r="Z152" s="83"/>
      <c r="AA152" s="144" t="s">
        <v>27</v>
      </c>
      <c r="AB152" s="83"/>
      <c r="AC152" s="83"/>
      <c r="AD152" s="144" t="s">
        <v>198</v>
      </c>
      <c r="AE152" s="83"/>
      <c r="AF152" s="83"/>
      <c r="AG152" s="144" t="s">
        <v>27</v>
      </c>
      <c r="AH152" s="83"/>
      <c r="AI152" s="144" t="s">
        <v>27</v>
      </c>
      <c r="AJ152" s="144" t="s">
        <v>18</v>
      </c>
      <c r="AK152" s="83"/>
      <c r="AL152" s="24"/>
      <c r="AN152" s="211" t="str">
        <f t="shared" si="36"/>
        <v/>
      </c>
      <c r="AO152" s="60">
        <f t="shared" si="37"/>
        <v>1</v>
      </c>
      <c r="AP152" s="60">
        <f t="shared" si="38"/>
        <v>0</v>
      </c>
      <c r="AQ152" s="60">
        <f t="shared" si="39"/>
        <v>0</v>
      </c>
      <c r="AR152" s="60">
        <f t="shared" si="40"/>
        <v>0</v>
      </c>
      <c r="AS152" s="60">
        <f t="shared" si="41"/>
        <v>0</v>
      </c>
      <c r="AT152" s="221">
        <f t="shared" si="42"/>
        <v>0</v>
      </c>
      <c r="AU152" s="36"/>
    </row>
    <row r="153">
      <c r="A153" s="143" t="s">
        <v>33</v>
      </c>
      <c r="B153" s="94" t="s">
        <v>1075</v>
      </c>
      <c r="C153" s="143">
        <v>4.2662009E7</v>
      </c>
      <c r="D153" s="143" t="s">
        <v>1076</v>
      </c>
      <c r="E153" s="93" t="s">
        <v>1077</v>
      </c>
      <c r="F153" s="350" t="s">
        <v>1079</v>
      </c>
      <c r="G153" s="83"/>
      <c r="H153" s="83"/>
      <c r="I153" s="144" t="s">
        <v>27</v>
      </c>
      <c r="J153" s="83"/>
      <c r="K153" s="83"/>
      <c r="L153" s="144" t="s">
        <v>27</v>
      </c>
      <c r="M153" s="83"/>
      <c r="N153" s="144" t="s">
        <v>27</v>
      </c>
      <c r="O153" s="86" t="s">
        <v>32</v>
      </c>
      <c r="P153" s="83"/>
      <c r="Q153" s="83"/>
      <c r="R153" s="144" t="s">
        <v>27</v>
      </c>
      <c r="S153" s="83"/>
      <c r="T153" s="83"/>
      <c r="U153" s="144" t="s">
        <v>27</v>
      </c>
      <c r="V153" s="83"/>
      <c r="W153" s="83"/>
      <c r="X153" s="144" t="s">
        <v>27</v>
      </c>
      <c r="Y153" s="83"/>
      <c r="Z153" s="83"/>
      <c r="AA153" s="144" t="s">
        <v>198</v>
      </c>
      <c r="AB153" s="83"/>
      <c r="AC153" s="83"/>
      <c r="AD153" s="144" t="s">
        <v>27</v>
      </c>
      <c r="AE153" s="83"/>
      <c r="AF153" s="83"/>
      <c r="AG153" s="144" t="s">
        <v>27</v>
      </c>
      <c r="AH153" s="83"/>
      <c r="AI153" s="144" t="s">
        <v>27</v>
      </c>
      <c r="AJ153" s="144" t="s">
        <v>27</v>
      </c>
      <c r="AK153" s="83"/>
      <c r="AL153" s="24"/>
      <c r="AN153" s="211" t="str">
        <f t="shared" si="36"/>
        <v/>
      </c>
      <c r="AO153" s="60">
        <f t="shared" si="37"/>
        <v>0</v>
      </c>
      <c r="AP153" s="60">
        <f t="shared" si="38"/>
        <v>0</v>
      </c>
      <c r="AQ153" s="60">
        <f t="shared" si="39"/>
        <v>0</v>
      </c>
      <c r="AR153" s="60">
        <f t="shared" si="40"/>
        <v>0</v>
      </c>
      <c r="AS153" s="60">
        <f t="shared" si="41"/>
        <v>0</v>
      </c>
      <c r="AT153" s="221">
        <f t="shared" si="42"/>
        <v>0</v>
      </c>
      <c r="AU153" s="36"/>
    </row>
    <row r="154" ht="15.75" customHeight="1">
      <c r="A154" s="374" t="s">
        <v>33</v>
      </c>
      <c r="B154" s="94" t="s">
        <v>1083</v>
      </c>
      <c r="C154" s="93">
        <v>3.6297775E7</v>
      </c>
      <c r="D154" s="374" t="s">
        <v>1084</v>
      </c>
      <c r="E154" s="93" t="s">
        <v>303</v>
      </c>
      <c r="F154" s="94" t="s">
        <v>1085</v>
      </c>
      <c r="G154" s="144" t="s">
        <v>27</v>
      </c>
      <c r="H154" s="83"/>
      <c r="I154" s="144" t="s">
        <v>18</v>
      </c>
      <c r="J154" s="83"/>
      <c r="K154" s="83"/>
      <c r="L154" s="144" t="s">
        <v>198</v>
      </c>
      <c r="M154" s="83"/>
      <c r="N154" s="113" t="s">
        <v>79</v>
      </c>
      <c r="O154" s="144" t="s">
        <v>27</v>
      </c>
      <c r="P154" s="83"/>
      <c r="Q154" s="83"/>
      <c r="R154" s="144" t="s">
        <v>27</v>
      </c>
      <c r="S154" s="83"/>
      <c r="T154" s="83"/>
      <c r="U154" s="144" t="s">
        <v>27</v>
      </c>
      <c r="V154" s="83"/>
      <c r="W154" s="83"/>
      <c r="X154" s="144" t="s">
        <v>27</v>
      </c>
      <c r="Y154" s="83"/>
      <c r="Z154" s="83"/>
      <c r="AA154" s="144" t="s">
        <v>27</v>
      </c>
      <c r="AB154" s="144" t="s">
        <v>18</v>
      </c>
      <c r="AC154" s="83"/>
      <c r="AD154" s="144" t="s">
        <v>27</v>
      </c>
      <c r="AE154" s="83"/>
      <c r="AF154" s="222" t="s">
        <v>19</v>
      </c>
      <c r="AG154" s="222" t="s">
        <v>19</v>
      </c>
      <c r="AH154" s="83"/>
      <c r="AI154" s="113" t="s">
        <v>79</v>
      </c>
      <c r="AJ154" s="144" t="s">
        <v>27</v>
      </c>
      <c r="AK154" s="83"/>
      <c r="AL154" s="24"/>
      <c r="AN154" s="211" t="str">
        <f t="shared" si="36"/>
        <v>NO CORRESPONDE FRANCO</v>
      </c>
      <c r="AO154" s="60">
        <f t="shared" si="37"/>
        <v>2</v>
      </c>
      <c r="AP154" s="60">
        <f t="shared" si="38"/>
        <v>2</v>
      </c>
      <c r="AQ154" s="60">
        <f t="shared" si="39"/>
        <v>0</v>
      </c>
      <c r="AR154" s="60">
        <f t="shared" si="40"/>
        <v>0</v>
      </c>
      <c r="AS154" s="60">
        <f t="shared" si="41"/>
        <v>0</v>
      </c>
      <c r="AT154" s="221">
        <f t="shared" si="42"/>
        <v>2</v>
      </c>
      <c r="AU154" s="36"/>
    </row>
    <row r="155" ht="15.75" customHeight="1">
      <c r="A155" s="143" t="s">
        <v>33</v>
      </c>
      <c r="B155" s="94" t="s">
        <v>976</v>
      </c>
      <c r="C155" s="143">
        <v>3.430923E7</v>
      </c>
      <c r="D155" s="93" t="s">
        <v>977</v>
      </c>
      <c r="E155" s="93" t="s">
        <v>303</v>
      </c>
      <c r="F155" s="469" t="s">
        <v>978</v>
      </c>
      <c r="G155" s="83"/>
      <c r="H155" s="83"/>
      <c r="I155" s="548" t="s">
        <v>19</v>
      </c>
      <c r="J155" s="83"/>
      <c r="K155" s="83"/>
      <c r="L155" s="576"/>
      <c r="M155" s="576"/>
      <c r="N155" s="576"/>
      <c r="O155" s="576"/>
      <c r="P155" s="576"/>
      <c r="Q155" s="576"/>
      <c r="R155" s="576"/>
      <c r="S155" s="577" t="s">
        <v>1012</v>
      </c>
      <c r="T155" s="576"/>
      <c r="U155" s="576"/>
      <c r="V155" s="576"/>
      <c r="W155" s="576"/>
      <c r="X155" s="576"/>
      <c r="Y155" s="576"/>
      <c r="Z155" s="576"/>
      <c r="AA155" s="576"/>
      <c r="AB155" s="576"/>
      <c r="AC155" s="576"/>
      <c r="AD155" s="576"/>
      <c r="AE155" s="576"/>
      <c r="AF155" s="576"/>
      <c r="AG155" s="576"/>
      <c r="AH155" s="576"/>
      <c r="AI155" s="576"/>
      <c r="AJ155" s="576"/>
      <c r="AK155" s="576"/>
      <c r="AL155" s="24"/>
      <c r="AN155" s="211" t="str">
        <f t="shared" si="36"/>
        <v>NO CORRESPONDE FRANCO</v>
      </c>
      <c r="AO155" s="60">
        <f t="shared" si="37"/>
        <v>0</v>
      </c>
      <c r="AP155" s="60">
        <f t="shared" si="38"/>
        <v>1</v>
      </c>
      <c r="AQ155" s="60">
        <f t="shared" si="39"/>
        <v>0</v>
      </c>
      <c r="AR155" s="60">
        <f t="shared" si="40"/>
        <v>0</v>
      </c>
      <c r="AS155" s="60">
        <f t="shared" si="41"/>
        <v>0</v>
      </c>
      <c r="AT155" s="221">
        <f t="shared" si="42"/>
        <v>1</v>
      </c>
      <c r="AU155" s="36"/>
    </row>
    <row r="156" ht="15.75" customHeight="1">
      <c r="A156" s="143" t="s">
        <v>33</v>
      </c>
      <c r="B156" s="94" t="s">
        <v>1088</v>
      </c>
      <c r="C156" s="537">
        <v>4.2630793E7</v>
      </c>
      <c r="D156" s="143" t="s">
        <v>1089</v>
      </c>
      <c r="E156" s="93" t="s">
        <v>233</v>
      </c>
      <c r="F156" s="350" t="s">
        <v>1091</v>
      </c>
      <c r="G156" s="83"/>
      <c r="H156" s="83"/>
      <c r="I156" s="144" t="s">
        <v>27</v>
      </c>
      <c r="J156" s="83"/>
      <c r="K156" s="83"/>
      <c r="L156" s="124" t="s">
        <v>22</v>
      </c>
      <c r="M156" s="124" t="s">
        <v>22</v>
      </c>
      <c r="N156" s="124" t="s">
        <v>22</v>
      </c>
      <c r="O156" s="124" t="s">
        <v>22</v>
      </c>
      <c r="P156" s="124" t="s">
        <v>22</v>
      </c>
      <c r="Q156" s="124" t="s">
        <v>22</v>
      </c>
      <c r="R156" s="124" t="s">
        <v>22</v>
      </c>
      <c r="S156" s="83"/>
      <c r="T156" s="83"/>
      <c r="U156" s="86" t="s">
        <v>32</v>
      </c>
      <c r="V156" s="83"/>
      <c r="W156" s="83"/>
      <c r="X156" s="86" t="s">
        <v>32</v>
      </c>
      <c r="Y156" s="83"/>
      <c r="Z156" s="83"/>
      <c r="AA156" s="144" t="s">
        <v>27</v>
      </c>
      <c r="AB156" s="83"/>
      <c r="AC156" s="83"/>
      <c r="AD156" s="144" t="s">
        <v>27</v>
      </c>
      <c r="AE156" s="83"/>
      <c r="AF156" s="83"/>
      <c r="AG156" s="144" t="s">
        <v>27</v>
      </c>
      <c r="AH156" s="83"/>
      <c r="AI156" s="144" t="s">
        <v>27</v>
      </c>
      <c r="AJ156" s="144" t="s">
        <v>27</v>
      </c>
      <c r="AK156" s="83"/>
      <c r="AL156" s="86" t="s">
        <v>1092</v>
      </c>
      <c r="AN156" s="211" t="str">
        <f t="shared" si="36"/>
        <v>NO CORRESPONDE FRANCO</v>
      </c>
      <c r="AO156" s="60">
        <f t="shared" si="37"/>
        <v>0</v>
      </c>
      <c r="AP156" s="60">
        <f t="shared" si="38"/>
        <v>0</v>
      </c>
      <c r="AQ156" s="60">
        <f t="shared" si="39"/>
        <v>0</v>
      </c>
      <c r="AR156" s="60">
        <f t="shared" si="40"/>
        <v>0</v>
      </c>
      <c r="AS156" s="60">
        <f t="shared" si="41"/>
        <v>7</v>
      </c>
      <c r="AT156" s="221">
        <f t="shared" si="42"/>
        <v>7</v>
      </c>
      <c r="AU156" s="36"/>
    </row>
    <row r="157" ht="15.75" customHeight="1">
      <c r="A157" s="374" t="s">
        <v>33</v>
      </c>
      <c r="B157" s="94" t="s">
        <v>1093</v>
      </c>
      <c r="C157" s="374">
        <v>4.6285009E7</v>
      </c>
      <c r="D157" s="93" t="s">
        <v>1094</v>
      </c>
      <c r="E157" s="93" t="s">
        <v>303</v>
      </c>
      <c r="F157" s="94" t="s">
        <v>1095</v>
      </c>
      <c r="G157" s="83"/>
      <c r="H157" s="83"/>
      <c r="I157" s="144" t="s">
        <v>18</v>
      </c>
      <c r="J157" s="83"/>
      <c r="K157" s="83"/>
      <c r="L157" s="144" t="s">
        <v>27</v>
      </c>
      <c r="M157" s="83"/>
      <c r="N157" s="144" t="s">
        <v>27</v>
      </c>
      <c r="O157" s="144" t="s">
        <v>198</v>
      </c>
      <c r="P157" s="83"/>
      <c r="Q157" s="83"/>
      <c r="R157" s="144" t="s">
        <v>198</v>
      </c>
      <c r="S157" s="83"/>
      <c r="T157" s="83"/>
      <c r="U157" s="86" t="s">
        <v>32</v>
      </c>
      <c r="V157" s="83"/>
      <c r="W157" s="83"/>
      <c r="X157" s="144" t="s">
        <v>18</v>
      </c>
      <c r="Y157" s="83"/>
      <c r="Z157" s="83"/>
      <c r="AA157" s="144" t="s">
        <v>27</v>
      </c>
      <c r="AB157" s="83"/>
      <c r="AC157" s="83"/>
      <c r="AD157" s="144" t="s">
        <v>27</v>
      </c>
      <c r="AE157" s="83"/>
      <c r="AF157" s="83"/>
      <c r="AG157" s="144" t="s">
        <v>27</v>
      </c>
      <c r="AH157" s="83"/>
      <c r="AI157" s="144" t="s">
        <v>27</v>
      </c>
      <c r="AJ157" s="144" t="s">
        <v>27</v>
      </c>
      <c r="AK157" s="83"/>
      <c r="AL157" s="24"/>
      <c r="AN157" s="211" t="str">
        <f t="shared" si="36"/>
        <v/>
      </c>
      <c r="AO157" s="60">
        <f t="shared" si="37"/>
        <v>2</v>
      </c>
      <c r="AP157" s="60">
        <f t="shared" si="38"/>
        <v>0</v>
      </c>
      <c r="AQ157" s="60">
        <f t="shared" si="39"/>
        <v>0</v>
      </c>
      <c r="AR157" s="60">
        <f t="shared" si="40"/>
        <v>0</v>
      </c>
      <c r="AS157" s="60">
        <f t="shared" si="41"/>
        <v>0</v>
      </c>
      <c r="AT157" s="221">
        <f t="shared" si="42"/>
        <v>0</v>
      </c>
      <c r="AU157" s="36"/>
    </row>
    <row r="158" ht="15.75" customHeight="1">
      <c r="A158" s="93" t="s">
        <v>33</v>
      </c>
      <c r="B158" s="94" t="s">
        <v>1096</v>
      </c>
      <c r="C158" s="143">
        <v>4.2099755E7</v>
      </c>
      <c r="D158" s="93" t="s">
        <v>1097</v>
      </c>
      <c r="E158" s="93" t="s">
        <v>1098</v>
      </c>
      <c r="F158" s="469" t="s">
        <v>1099</v>
      </c>
      <c r="G158" s="83"/>
      <c r="H158" s="83"/>
      <c r="I158" s="144" t="s">
        <v>27</v>
      </c>
      <c r="J158" s="83"/>
      <c r="K158" s="83"/>
      <c r="L158" s="144" t="s">
        <v>27</v>
      </c>
      <c r="M158" s="83"/>
      <c r="N158" s="144" t="s">
        <v>27</v>
      </c>
      <c r="O158" s="144" t="s">
        <v>198</v>
      </c>
      <c r="P158" s="83"/>
      <c r="Q158" s="83"/>
      <c r="R158" s="548" t="s">
        <v>19</v>
      </c>
      <c r="S158" s="83"/>
      <c r="T158" s="83"/>
      <c r="U158" s="144" t="s">
        <v>18</v>
      </c>
      <c r="V158" s="83"/>
      <c r="W158" s="83"/>
      <c r="X158" s="144" t="s">
        <v>27</v>
      </c>
      <c r="Y158" s="83"/>
      <c r="Z158" s="83"/>
      <c r="AA158" s="144" t="s">
        <v>27</v>
      </c>
      <c r="AB158" s="83"/>
      <c r="AC158" s="83"/>
      <c r="AD158" s="144" t="s">
        <v>27</v>
      </c>
      <c r="AE158" s="83"/>
      <c r="AF158" s="83"/>
      <c r="AG158" s="144" t="s">
        <v>27</v>
      </c>
      <c r="AH158" s="83"/>
      <c r="AI158" s="144" t="s">
        <v>27</v>
      </c>
      <c r="AJ158" s="144" t="s">
        <v>18</v>
      </c>
      <c r="AK158" s="83"/>
      <c r="AL158" s="24"/>
      <c r="AN158" s="211" t="str">
        <f t="shared" si="36"/>
        <v>NO CORRESPONDE FRANCO</v>
      </c>
      <c r="AO158" s="60">
        <f t="shared" si="37"/>
        <v>2</v>
      </c>
      <c r="AP158" s="60">
        <f t="shared" si="38"/>
        <v>1</v>
      </c>
      <c r="AQ158" s="60">
        <f t="shared" si="39"/>
        <v>0</v>
      </c>
      <c r="AR158" s="60">
        <f t="shared" si="40"/>
        <v>0</v>
      </c>
      <c r="AS158" s="60">
        <f t="shared" si="41"/>
        <v>0</v>
      </c>
      <c r="AT158" s="221">
        <f t="shared" si="42"/>
        <v>1</v>
      </c>
      <c r="AU158" s="36"/>
    </row>
    <row r="159" ht="15.75" customHeight="1">
      <c r="A159" s="580" t="s">
        <v>33</v>
      </c>
      <c r="B159" s="500" t="s">
        <v>1100</v>
      </c>
      <c r="C159" s="580">
        <v>4.0883284E7</v>
      </c>
      <c r="D159" s="581">
        <v>1.157715072E9</v>
      </c>
      <c r="E159" s="93" t="s">
        <v>1098</v>
      </c>
      <c r="F159" s="582" t="s">
        <v>1101</v>
      </c>
      <c r="G159" s="83"/>
      <c r="H159" s="83"/>
      <c r="I159" s="144" t="s">
        <v>27</v>
      </c>
      <c r="J159" s="83"/>
      <c r="K159" s="83"/>
      <c r="L159" s="144" t="s">
        <v>27</v>
      </c>
      <c r="M159" s="83"/>
      <c r="N159" s="144" t="s">
        <v>27</v>
      </c>
      <c r="O159" s="144" t="s">
        <v>27</v>
      </c>
      <c r="P159" s="83"/>
      <c r="Q159" s="83"/>
      <c r="R159" s="144" t="s">
        <v>198</v>
      </c>
      <c r="S159" s="83"/>
      <c r="T159" s="83"/>
      <c r="U159" s="144" t="s">
        <v>27</v>
      </c>
      <c r="V159" s="83"/>
      <c r="W159" s="83"/>
      <c r="X159" s="144" t="s">
        <v>27</v>
      </c>
      <c r="Y159" s="83"/>
      <c r="Z159" s="83"/>
      <c r="AA159" s="144" t="s">
        <v>27</v>
      </c>
      <c r="AB159" s="83"/>
      <c r="AC159" s="83"/>
      <c r="AD159" s="144" t="s">
        <v>27</v>
      </c>
      <c r="AE159" s="83"/>
      <c r="AF159" s="83"/>
      <c r="AG159" s="144" t="s">
        <v>27</v>
      </c>
      <c r="AH159" s="83"/>
      <c r="AI159" s="144" t="s">
        <v>27</v>
      </c>
      <c r="AJ159" s="86" t="s">
        <v>32</v>
      </c>
      <c r="AK159" s="83"/>
      <c r="AL159" s="24"/>
      <c r="AN159" s="211" t="str">
        <f t="shared" si="36"/>
        <v/>
      </c>
      <c r="AO159" s="60">
        <f t="shared" si="37"/>
        <v>0</v>
      </c>
      <c r="AP159" s="60">
        <f t="shared" si="38"/>
        <v>0</v>
      </c>
      <c r="AQ159" s="60">
        <f t="shared" si="39"/>
        <v>0</v>
      </c>
      <c r="AR159" s="60">
        <f t="shared" si="40"/>
        <v>0</v>
      </c>
      <c r="AS159" s="60">
        <f t="shared" si="41"/>
        <v>0</v>
      </c>
      <c r="AT159" s="221">
        <f t="shared" si="42"/>
        <v>0</v>
      </c>
      <c r="AU159" s="36"/>
    </row>
    <row r="160" ht="15.75" customHeight="1">
      <c r="A160" s="76" t="s">
        <v>33</v>
      </c>
      <c r="B160" s="583" t="s">
        <v>1102</v>
      </c>
      <c r="C160" s="100">
        <v>2.7678067E7</v>
      </c>
      <c r="D160" s="584" t="s">
        <v>1103</v>
      </c>
      <c r="E160" s="66" t="s">
        <v>233</v>
      </c>
      <c r="F160" s="251" t="s">
        <v>1104</v>
      </c>
      <c r="G160" s="83"/>
      <c r="H160" s="83"/>
      <c r="I160" s="144" t="s">
        <v>27</v>
      </c>
      <c r="J160" s="83"/>
      <c r="K160" s="83"/>
      <c r="L160" s="144" t="s">
        <v>18</v>
      </c>
      <c r="M160" s="83"/>
      <c r="N160" s="144" t="s">
        <v>27</v>
      </c>
      <c r="O160" s="144" t="s">
        <v>27</v>
      </c>
      <c r="P160" s="83"/>
      <c r="Q160" s="83"/>
      <c r="R160" s="86" t="s">
        <v>32</v>
      </c>
      <c r="S160" s="83"/>
      <c r="T160" s="83"/>
      <c r="U160" s="86" t="s">
        <v>32</v>
      </c>
      <c r="V160" s="83"/>
      <c r="W160" s="83"/>
      <c r="X160" s="144" t="s">
        <v>27</v>
      </c>
      <c r="Y160" s="83"/>
      <c r="Z160" s="83"/>
      <c r="AA160" s="144" t="s">
        <v>27</v>
      </c>
      <c r="AB160" s="83"/>
      <c r="AC160" s="83"/>
      <c r="AD160" s="144" t="s">
        <v>27</v>
      </c>
      <c r="AE160" s="83"/>
      <c r="AF160" s="83"/>
      <c r="AG160" s="144" t="s">
        <v>27</v>
      </c>
      <c r="AH160" s="83"/>
      <c r="AI160" s="144" t="s">
        <v>27</v>
      </c>
      <c r="AJ160" s="144" t="s">
        <v>27</v>
      </c>
      <c r="AK160" s="83"/>
      <c r="AL160" s="24"/>
      <c r="AN160" s="211" t="str">
        <f t="shared" si="36"/>
        <v/>
      </c>
      <c r="AO160" s="60">
        <f t="shared" si="37"/>
        <v>1</v>
      </c>
      <c r="AP160" s="60">
        <f t="shared" si="38"/>
        <v>0</v>
      </c>
      <c r="AQ160" s="60">
        <f t="shared" si="39"/>
        <v>0</v>
      </c>
      <c r="AR160" s="60">
        <f t="shared" si="40"/>
        <v>0</v>
      </c>
      <c r="AS160" s="60">
        <f t="shared" si="41"/>
        <v>0</v>
      </c>
      <c r="AT160" s="221">
        <f t="shared" si="42"/>
        <v>0</v>
      </c>
      <c r="AU160" s="36"/>
    </row>
    <row r="161" ht="15.75" customHeight="1">
      <c r="A161" s="472" t="s">
        <v>33</v>
      </c>
      <c r="B161" s="585" t="s">
        <v>1105</v>
      </c>
      <c r="C161" s="586">
        <v>4.1837088E7</v>
      </c>
      <c r="D161" s="586" t="s">
        <v>1106</v>
      </c>
      <c r="E161" s="182" t="s">
        <v>1107</v>
      </c>
      <c r="F161" s="585" t="s">
        <v>1108</v>
      </c>
      <c r="G161" s="587" t="s">
        <v>1109</v>
      </c>
      <c r="H161" s="587" t="s">
        <v>1109</v>
      </c>
      <c r="I161" s="587" t="s">
        <v>1109</v>
      </c>
      <c r="J161" s="587" t="s">
        <v>1109</v>
      </c>
      <c r="K161" s="587" t="s">
        <v>1109</v>
      </c>
      <c r="L161" s="587" t="s">
        <v>1109</v>
      </c>
      <c r="M161" s="587" t="s">
        <v>1109</v>
      </c>
      <c r="N161" s="587" t="s">
        <v>1109</v>
      </c>
      <c r="O161" s="587" t="s">
        <v>1109</v>
      </c>
      <c r="P161" s="587" t="s">
        <v>1109</v>
      </c>
      <c r="Q161" s="587" t="s">
        <v>1109</v>
      </c>
      <c r="R161" s="587" t="s">
        <v>1109</v>
      </c>
      <c r="S161" s="587" t="s">
        <v>1109</v>
      </c>
      <c r="T161" s="587" t="s">
        <v>1109</v>
      </c>
      <c r="U161" s="587" t="s">
        <v>1109</v>
      </c>
      <c r="V161" s="587" t="s">
        <v>1109</v>
      </c>
      <c r="W161" s="587" t="s">
        <v>1109</v>
      </c>
      <c r="X161" s="587" t="s">
        <v>1109</v>
      </c>
      <c r="Y161" s="587" t="s">
        <v>1109</v>
      </c>
      <c r="Z161" s="587" t="s">
        <v>1109</v>
      </c>
      <c r="AA161" s="587" t="s">
        <v>1109</v>
      </c>
      <c r="AB161" s="587" t="s">
        <v>1109</v>
      </c>
      <c r="AC161" s="587" t="s">
        <v>1109</v>
      </c>
      <c r="AD161" s="587" t="s">
        <v>1109</v>
      </c>
      <c r="AE161" s="587" t="s">
        <v>1109</v>
      </c>
      <c r="AF161" s="587" t="s">
        <v>1109</v>
      </c>
      <c r="AG161" s="587" t="s">
        <v>1109</v>
      </c>
      <c r="AH161" s="587" t="s">
        <v>1109</v>
      </c>
      <c r="AI161" s="587" t="s">
        <v>1109</v>
      </c>
      <c r="AJ161" s="587" t="s">
        <v>1109</v>
      </c>
      <c r="AK161" s="587" t="s">
        <v>1109</v>
      </c>
      <c r="AL161" s="587" t="s">
        <v>1110</v>
      </c>
      <c r="AN161" s="211" t="str">
        <f t="shared" si="36"/>
        <v/>
      </c>
      <c r="AO161" s="60">
        <f t="shared" si="37"/>
        <v>0</v>
      </c>
      <c r="AP161" s="60">
        <f t="shared" si="38"/>
        <v>0</v>
      </c>
      <c r="AQ161" s="60">
        <f t="shared" si="39"/>
        <v>0</v>
      </c>
      <c r="AR161" s="60">
        <f t="shared" si="40"/>
        <v>0</v>
      </c>
      <c r="AS161" s="60">
        <f t="shared" si="41"/>
        <v>0</v>
      </c>
      <c r="AT161" s="221">
        <f t="shared" si="42"/>
        <v>0</v>
      </c>
      <c r="AU161" s="36"/>
    </row>
    <row r="162" ht="15.75" customHeight="1">
      <c r="A162" s="143" t="s">
        <v>33</v>
      </c>
      <c r="B162" s="94" t="s">
        <v>1111</v>
      </c>
      <c r="C162" s="143">
        <v>4.0948404E7</v>
      </c>
      <c r="D162" s="143" t="s">
        <v>1112</v>
      </c>
      <c r="E162" s="93" t="s">
        <v>303</v>
      </c>
      <c r="F162" s="350" t="s">
        <v>1113</v>
      </c>
      <c r="G162" s="83"/>
      <c r="H162" s="83"/>
      <c r="I162" s="144" t="s">
        <v>27</v>
      </c>
      <c r="J162" s="83"/>
      <c r="K162" s="83"/>
      <c r="L162" s="144" t="s">
        <v>27</v>
      </c>
      <c r="M162" s="83"/>
      <c r="N162" s="86" t="s">
        <v>32</v>
      </c>
      <c r="O162" s="144" t="s">
        <v>27</v>
      </c>
      <c r="P162" s="83"/>
      <c r="Q162" s="83"/>
      <c r="R162" s="144" t="s">
        <v>120</v>
      </c>
      <c r="S162" s="83"/>
      <c r="T162" s="83"/>
      <c r="U162" s="144" t="s">
        <v>27</v>
      </c>
      <c r="V162" s="83"/>
      <c r="W162" s="83"/>
      <c r="X162" s="144" t="s">
        <v>27</v>
      </c>
      <c r="Y162" s="83"/>
      <c r="Z162" s="83"/>
      <c r="AA162" s="144" t="s">
        <v>198</v>
      </c>
      <c r="AB162" s="83"/>
      <c r="AC162" s="83"/>
      <c r="AD162" s="144" t="s">
        <v>198</v>
      </c>
      <c r="AE162" s="83"/>
      <c r="AF162" s="83"/>
      <c r="AG162" s="144" t="s">
        <v>27</v>
      </c>
      <c r="AH162" s="83"/>
      <c r="AI162" s="144" t="s">
        <v>27</v>
      </c>
      <c r="AJ162" s="144" t="s">
        <v>27</v>
      </c>
      <c r="AK162" s="83"/>
      <c r="AL162" s="24"/>
      <c r="AN162" s="211" t="str">
        <f t="shared" si="36"/>
        <v/>
      </c>
      <c r="AO162" s="60">
        <f t="shared" si="37"/>
        <v>0</v>
      </c>
      <c r="AP162" s="60">
        <f t="shared" si="38"/>
        <v>0</v>
      </c>
      <c r="AQ162" s="60">
        <f t="shared" si="39"/>
        <v>0</v>
      </c>
      <c r="AR162" s="60">
        <f t="shared" si="40"/>
        <v>0</v>
      </c>
      <c r="AS162" s="60">
        <f t="shared" si="41"/>
        <v>0</v>
      </c>
      <c r="AT162" s="221">
        <f t="shared" si="42"/>
        <v>0</v>
      </c>
      <c r="AU162" s="36"/>
    </row>
    <row r="163" ht="15.75" customHeight="1">
      <c r="A163" s="490" t="s">
        <v>33</v>
      </c>
      <c r="B163" s="473" t="s">
        <v>1114</v>
      </c>
      <c r="C163" s="76">
        <v>3.8498586E7</v>
      </c>
      <c r="D163" s="76" t="s">
        <v>1115</v>
      </c>
      <c r="E163" s="66" t="s">
        <v>273</v>
      </c>
      <c r="F163" s="78" t="s">
        <v>1116</v>
      </c>
      <c r="G163" s="83"/>
      <c r="H163" s="83"/>
      <c r="I163" s="144" t="s">
        <v>27</v>
      </c>
      <c r="J163" s="83"/>
      <c r="K163" s="83"/>
      <c r="L163" s="144" t="s">
        <v>27</v>
      </c>
      <c r="M163" s="83"/>
      <c r="N163" s="144" t="s">
        <v>27</v>
      </c>
      <c r="O163" s="144" t="s">
        <v>27</v>
      </c>
      <c r="P163" s="83"/>
      <c r="Q163" s="83"/>
      <c r="R163" s="144" t="s">
        <v>198</v>
      </c>
      <c r="S163" s="83"/>
      <c r="T163" s="83"/>
      <c r="U163" s="144" t="s">
        <v>27</v>
      </c>
      <c r="V163" s="83"/>
      <c r="W163" s="83"/>
      <c r="X163" s="144" t="s">
        <v>27</v>
      </c>
      <c r="Y163" s="83"/>
      <c r="Z163" s="83"/>
      <c r="AA163" s="144" t="s">
        <v>198</v>
      </c>
      <c r="AB163" s="83"/>
      <c r="AC163" s="83"/>
      <c r="AD163" s="144" t="s">
        <v>198</v>
      </c>
      <c r="AE163" s="83"/>
      <c r="AF163" s="83"/>
      <c r="AG163" s="144" t="s">
        <v>27</v>
      </c>
      <c r="AH163" s="83"/>
      <c r="AI163" s="144" t="s">
        <v>27</v>
      </c>
      <c r="AJ163" s="144" t="s">
        <v>27</v>
      </c>
      <c r="AK163" s="83"/>
      <c r="AL163" s="24"/>
      <c r="AN163" s="211" t="str">
        <f t="shared" si="36"/>
        <v/>
      </c>
      <c r="AO163" s="60">
        <f t="shared" si="37"/>
        <v>0</v>
      </c>
      <c r="AP163" s="60">
        <f t="shared" si="38"/>
        <v>0</v>
      </c>
      <c r="AQ163" s="60">
        <f t="shared" si="39"/>
        <v>0</v>
      </c>
      <c r="AR163" s="60">
        <f t="shared" si="40"/>
        <v>0</v>
      </c>
      <c r="AS163" s="60">
        <f t="shared" si="41"/>
        <v>0</v>
      </c>
      <c r="AT163" s="221">
        <f t="shared" si="42"/>
        <v>0</v>
      </c>
      <c r="AU163" s="36"/>
    </row>
    <row r="164" ht="15.75" customHeight="1">
      <c r="A164" s="76" t="s">
        <v>33</v>
      </c>
      <c r="B164" s="251" t="s">
        <v>1117</v>
      </c>
      <c r="C164" s="76">
        <v>4.7085696E7</v>
      </c>
      <c r="D164" s="76" t="s">
        <v>1118</v>
      </c>
      <c r="E164" s="76" t="s">
        <v>303</v>
      </c>
      <c r="F164" s="251" t="s">
        <v>1119</v>
      </c>
      <c r="G164" s="83"/>
      <c r="H164" s="83"/>
      <c r="I164" s="144" t="s">
        <v>27</v>
      </c>
      <c r="J164" s="83"/>
      <c r="K164" s="83"/>
      <c r="L164" s="144" t="s">
        <v>27</v>
      </c>
      <c r="M164" s="83"/>
      <c r="N164" s="144" t="s">
        <v>18</v>
      </c>
      <c r="O164" s="144" t="s">
        <v>27</v>
      </c>
      <c r="P164" s="83"/>
      <c r="Q164" s="83"/>
      <c r="R164" s="144" t="s">
        <v>120</v>
      </c>
      <c r="S164" s="83"/>
      <c r="T164" s="83"/>
      <c r="U164" s="144" t="s">
        <v>27</v>
      </c>
      <c r="V164" s="83"/>
      <c r="W164" s="83"/>
      <c r="X164" s="144" t="s">
        <v>27</v>
      </c>
      <c r="Y164" s="83"/>
      <c r="Z164" s="83"/>
      <c r="AA164" s="144" t="s">
        <v>27</v>
      </c>
      <c r="AB164" s="83"/>
      <c r="AC164" s="83"/>
      <c r="AD164" s="144" t="s">
        <v>27</v>
      </c>
      <c r="AE164" s="83"/>
      <c r="AF164" s="83"/>
      <c r="AG164" s="144" t="s">
        <v>27</v>
      </c>
      <c r="AH164" s="83"/>
      <c r="AI164" s="144" t="s">
        <v>27</v>
      </c>
      <c r="AJ164" s="144" t="s">
        <v>27</v>
      </c>
      <c r="AK164" s="83"/>
      <c r="AL164" s="24"/>
      <c r="AN164" s="211" t="str">
        <f t="shared" si="36"/>
        <v/>
      </c>
      <c r="AO164" s="60">
        <f t="shared" si="37"/>
        <v>1</v>
      </c>
      <c r="AP164" s="60">
        <f t="shared" si="38"/>
        <v>0</v>
      </c>
      <c r="AQ164" s="60">
        <f t="shared" si="39"/>
        <v>0</v>
      </c>
      <c r="AR164" s="60">
        <f t="shared" si="40"/>
        <v>0</v>
      </c>
      <c r="AS164" s="60">
        <f t="shared" si="41"/>
        <v>0</v>
      </c>
      <c r="AT164" s="221">
        <f t="shared" si="42"/>
        <v>0</v>
      </c>
      <c r="AU164" s="36"/>
    </row>
    <row r="165" ht="15.75" customHeight="1">
      <c r="A165" s="130" t="s">
        <v>33</v>
      </c>
      <c r="B165" s="251" t="s">
        <v>1120</v>
      </c>
      <c r="C165" s="76">
        <v>4.6280094E7</v>
      </c>
      <c r="D165" s="66" t="s">
        <v>1121</v>
      </c>
      <c r="E165" s="76" t="s">
        <v>273</v>
      </c>
      <c r="F165" s="251" t="s">
        <v>1122</v>
      </c>
      <c r="G165" s="83"/>
      <c r="H165" s="83"/>
      <c r="I165" s="144" t="s">
        <v>27</v>
      </c>
      <c r="J165" s="83"/>
      <c r="K165" s="83"/>
      <c r="L165" s="144" t="s">
        <v>27</v>
      </c>
      <c r="M165" s="83"/>
      <c r="N165" s="144" t="s">
        <v>27</v>
      </c>
      <c r="O165" s="144" t="s">
        <v>198</v>
      </c>
      <c r="P165" s="83"/>
      <c r="Q165" s="83"/>
      <c r="R165" s="144" t="s">
        <v>120</v>
      </c>
      <c r="S165" s="83"/>
      <c r="T165" s="83"/>
      <c r="U165" s="144" t="s">
        <v>27</v>
      </c>
      <c r="V165" s="83"/>
      <c r="W165" s="83"/>
      <c r="X165" s="144" t="s">
        <v>27</v>
      </c>
      <c r="Y165" s="83"/>
      <c r="Z165" s="83"/>
      <c r="AA165" s="144" t="s">
        <v>198</v>
      </c>
      <c r="AB165" s="83"/>
      <c r="AC165" s="83"/>
      <c r="AD165" s="144" t="s">
        <v>27</v>
      </c>
      <c r="AE165" s="83"/>
      <c r="AF165" s="83"/>
      <c r="AG165" s="144" t="s">
        <v>27</v>
      </c>
      <c r="AH165" s="83"/>
      <c r="AI165" s="144" t="s">
        <v>27</v>
      </c>
      <c r="AJ165" s="144" t="s">
        <v>27</v>
      </c>
      <c r="AK165" s="83"/>
      <c r="AL165" s="24"/>
      <c r="AN165" s="211" t="str">
        <f t="shared" si="36"/>
        <v/>
      </c>
      <c r="AO165" s="60">
        <f t="shared" si="37"/>
        <v>0</v>
      </c>
      <c r="AP165" s="60">
        <f t="shared" si="38"/>
        <v>0</v>
      </c>
      <c r="AQ165" s="60">
        <f t="shared" si="39"/>
        <v>0</v>
      </c>
      <c r="AR165" s="60">
        <f t="shared" si="40"/>
        <v>0</v>
      </c>
      <c r="AS165" s="60">
        <f t="shared" si="41"/>
        <v>0</v>
      </c>
      <c r="AT165" s="221">
        <f t="shared" si="42"/>
        <v>0</v>
      </c>
      <c r="AU165" s="36"/>
    </row>
    <row r="166" ht="15.75" customHeight="1">
      <c r="A166" s="108" t="s">
        <v>33</v>
      </c>
      <c r="B166" s="588" t="s">
        <v>1123</v>
      </c>
      <c r="C166" s="292">
        <v>4.7491259E7</v>
      </c>
      <c r="D166" s="292" t="s">
        <v>1124</v>
      </c>
      <c r="E166" s="93" t="s">
        <v>443</v>
      </c>
      <c r="F166" s="385" t="s">
        <v>1125</v>
      </c>
      <c r="G166" s="83"/>
      <c r="H166" s="83"/>
      <c r="I166" s="144" t="s">
        <v>27</v>
      </c>
      <c r="J166" s="83"/>
      <c r="K166" s="83"/>
      <c r="L166" s="144" t="s">
        <v>18</v>
      </c>
      <c r="M166" s="83"/>
      <c r="N166" s="144" t="s">
        <v>27</v>
      </c>
      <c r="O166" s="144" t="s">
        <v>27</v>
      </c>
      <c r="P166" s="83"/>
      <c r="Q166" s="83"/>
      <c r="R166" s="144" t="s">
        <v>120</v>
      </c>
      <c r="S166" s="83"/>
      <c r="T166" s="83"/>
      <c r="U166" s="86" t="s">
        <v>32</v>
      </c>
      <c r="V166" s="83"/>
      <c r="W166" s="83"/>
      <c r="X166" s="172" t="s">
        <v>27</v>
      </c>
      <c r="Y166" s="83"/>
      <c r="Z166" s="83"/>
      <c r="AA166" s="86" t="s">
        <v>32</v>
      </c>
      <c r="AB166" s="83"/>
      <c r="AC166" s="83"/>
      <c r="AD166" s="144" t="s">
        <v>27</v>
      </c>
      <c r="AE166" s="83"/>
      <c r="AF166" s="83"/>
      <c r="AG166" s="86" t="s">
        <v>32</v>
      </c>
      <c r="AH166" s="83"/>
      <c r="AI166" s="144" t="s">
        <v>27</v>
      </c>
      <c r="AJ166" s="144" t="s">
        <v>18</v>
      </c>
      <c r="AK166" s="83"/>
      <c r="AL166" s="24"/>
      <c r="AN166" s="211" t="str">
        <f t="shared" si="36"/>
        <v/>
      </c>
      <c r="AO166" s="60">
        <f t="shared" si="37"/>
        <v>2</v>
      </c>
      <c r="AP166" s="60">
        <f t="shared" si="38"/>
        <v>0</v>
      </c>
      <c r="AQ166" s="60">
        <f t="shared" si="39"/>
        <v>0</v>
      </c>
      <c r="AR166" s="60">
        <f t="shared" si="40"/>
        <v>0</v>
      </c>
      <c r="AS166" s="60">
        <f t="shared" si="41"/>
        <v>0</v>
      </c>
      <c r="AT166" s="221">
        <f t="shared" si="42"/>
        <v>0</v>
      </c>
      <c r="AU166" s="36"/>
    </row>
    <row r="167" ht="15.75" customHeight="1">
      <c r="A167" s="108" t="s">
        <v>33</v>
      </c>
      <c r="B167" s="578" t="s">
        <v>1126</v>
      </c>
      <c r="C167" s="286">
        <v>4.303236E7</v>
      </c>
      <c r="D167" s="292" t="s">
        <v>1124</v>
      </c>
      <c r="E167" s="93" t="s">
        <v>443</v>
      </c>
      <c r="F167" s="579" t="s">
        <v>1127</v>
      </c>
      <c r="G167" s="83"/>
      <c r="H167" s="83"/>
      <c r="I167" s="144" t="s">
        <v>27</v>
      </c>
      <c r="J167" s="83"/>
      <c r="K167" s="83"/>
      <c r="L167" s="144" t="s">
        <v>198</v>
      </c>
      <c r="M167" s="83"/>
      <c r="N167" s="144" t="s">
        <v>18</v>
      </c>
      <c r="O167" s="144" t="s">
        <v>27</v>
      </c>
      <c r="P167" s="83"/>
      <c r="Q167" s="83"/>
      <c r="R167" s="144" t="s">
        <v>198</v>
      </c>
      <c r="S167" s="83"/>
      <c r="T167" s="83"/>
      <c r="U167" s="144" t="s">
        <v>18</v>
      </c>
      <c r="V167" s="83"/>
      <c r="W167" s="83"/>
      <c r="X167" s="86" t="s">
        <v>32</v>
      </c>
      <c r="Y167" s="83"/>
      <c r="Z167" s="83"/>
      <c r="AA167" s="96" t="s">
        <v>22</v>
      </c>
      <c r="AB167" s="96" t="s">
        <v>22</v>
      </c>
      <c r="AC167" s="96" t="s">
        <v>22</v>
      </c>
      <c r="AD167" s="96" t="s">
        <v>22</v>
      </c>
      <c r="AE167" s="96" t="s">
        <v>22</v>
      </c>
      <c r="AF167" s="96" t="s">
        <v>22</v>
      </c>
      <c r="AG167" s="96" t="s">
        <v>22</v>
      </c>
      <c r="AH167" s="83"/>
      <c r="AI167" s="144" t="s">
        <v>18</v>
      </c>
      <c r="AJ167" s="144" t="s">
        <v>27</v>
      </c>
      <c r="AK167" s="83"/>
      <c r="AL167" s="24"/>
      <c r="AN167" s="211" t="str">
        <f t="shared" si="36"/>
        <v>NO CORRESPONDE FRANCO</v>
      </c>
      <c r="AO167" s="60">
        <f t="shared" si="37"/>
        <v>3</v>
      </c>
      <c r="AP167" s="60">
        <f t="shared" si="38"/>
        <v>0</v>
      </c>
      <c r="AQ167" s="60">
        <f t="shared" si="39"/>
        <v>0</v>
      </c>
      <c r="AR167" s="60">
        <f t="shared" si="40"/>
        <v>0</v>
      </c>
      <c r="AS167" s="60">
        <f t="shared" si="41"/>
        <v>7</v>
      </c>
      <c r="AT167" s="221">
        <f t="shared" si="42"/>
        <v>7</v>
      </c>
      <c r="AU167" s="36"/>
    </row>
    <row r="168" ht="15.75" customHeight="1">
      <c r="A168" s="194" t="s">
        <v>33</v>
      </c>
      <c r="B168" s="63" t="s">
        <v>1128</v>
      </c>
      <c r="C168" s="64">
        <v>3.7358594E7</v>
      </c>
      <c r="D168" s="40" t="s">
        <v>1129</v>
      </c>
      <c r="E168" s="93" t="s">
        <v>233</v>
      </c>
      <c r="F168" s="589" t="s">
        <v>1130</v>
      </c>
      <c r="G168" s="83"/>
      <c r="H168" s="83"/>
      <c r="I168" s="144" t="s">
        <v>27</v>
      </c>
      <c r="J168" s="83"/>
      <c r="K168" s="83"/>
      <c r="L168" s="144" t="s">
        <v>27</v>
      </c>
      <c r="M168" s="83"/>
      <c r="N168" s="144" t="s">
        <v>120</v>
      </c>
      <c r="O168" s="144" t="s">
        <v>27</v>
      </c>
      <c r="P168" s="83"/>
      <c r="Q168" s="83"/>
      <c r="R168" s="144" t="s">
        <v>120</v>
      </c>
      <c r="S168" s="83"/>
      <c r="T168" s="83"/>
      <c r="U168" s="144" t="s">
        <v>27</v>
      </c>
      <c r="V168" s="83"/>
      <c r="W168" s="83"/>
      <c r="X168" s="86" t="s">
        <v>32</v>
      </c>
      <c r="Y168" s="83"/>
      <c r="Z168" s="83"/>
      <c r="AA168" s="144" t="s">
        <v>27</v>
      </c>
      <c r="AB168" s="83"/>
      <c r="AC168" s="83"/>
      <c r="AD168" s="144" t="s">
        <v>27</v>
      </c>
      <c r="AE168" s="83"/>
      <c r="AF168" s="83"/>
      <c r="AG168" s="144" t="s">
        <v>198</v>
      </c>
      <c r="AH168" s="83"/>
      <c r="AI168" s="144" t="s">
        <v>27</v>
      </c>
      <c r="AJ168" s="144" t="s">
        <v>27</v>
      </c>
      <c r="AK168" s="83"/>
      <c r="AL168" s="24"/>
      <c r="AN168" s="211" t="str">
        <f t="shared" si="36"/>
        <v/>
      </c>
      <c r="AO168" s="60">
        <f t="shared" si="37"/>
        <v>0</v>
      </c>
      <c r="AP168" s="60">
        <f t="shared" si="38"/>
        <v>0</v>
      </c>
      <c r="AQ168" s="60">
        <f t="shared" si="39"/>
        <v>0</v>
      </c>
      <c r="AR168" s="60">
        <f t="shared" si="40"/>
        <v>0</v>
      </c>
      <c r="AS168" s="60">
        <f t="shared" si="41"/>
        <v>0</v>
      </c>
      <c r="AT168" s="221">
        <f t="shared" si="42"/>
        <v>0</v>
      </c>
      <c r="AU168" s="36"/>
    </row>
    <row r="169" ht="15.75" customHeight="1">
      <c r="A169" s="590" t="s">
        <v>454</v>
      </c>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c r="AB169" s="2"/>
      <c r="AC169" s="2"/>
      <c r="AD169" s="2"/>
      <c r="AE169" s="2"/>
      <c r="AF169" s="2"/>
      <c r="AG169" s="2"/>
      <c r="AH169" s="2"/>
      <c r="AI169" s="2"/>
      <c r="AJ169" s="2"/>
      <c r="AK169" s="3"/>
      <c r="AL169" s="24"/>
    </row>
    <row r="170" ht="15.75" customHeight="1">
      <c r="A170" s="143" t="s">
        <v>124</v>
      </c>
      <c r="B170" s="350" t="s">
        <v>1131</v>
      </c>
      <c r="C170" s="143">
        <v>7416.0</v>
      </c>
      <c r="D170" s="143" t="s">
        <v>1132</v>
      </c>
      <c r="E170" s="143" t="s">
        <v>148</v>
      </c>
      <c r="F170" s="94" t="s">
        <v>1133</v>
      </c>
      <c r="G170" s="83"/>
      <c r="H170" s="83"/>
      <c r="I170" s="144" t="s">
        <v>27</v>
      </c>
      <c r="J170" s="83"/>
      <c r="K170" s="83"/>
      <c r="L170" s="144" t="s">
        <v>27</v>
      </c>
      <c r="M170" s="83"/>
      <c r="N170" s="144" t="s">
        <v>27</v>
      </c>
      <c r="O170" s="144" t="s">
        <v>27</v>
      </c>
      <c r="P170" s="83"/>
      <c r="Q170" s="83"/>
      <c r="R170" s="144" t="s">
        <v>120</v>
      </c>
      <c r="S170" s="83"/>
      <c r="T170" s="83"/>
      <c r="U170" s="144" t="s">
        <v>27</v>
      </c>
      <c r="V170" s="83"/>
      <c r="W170" s="83"/>
      <c r="X170" s="144" t="s">
        <v>27</v>
      </c>
      <c r="Y170" s="83"/>
      <c r="Z170" s="83"/>
      <c r="AA170" s="144" t="s">
        <v>27</v>
      </c>
      <c r="AB170" s="83"/>
      <c r="AC170" s="83"/>
      <c r="AD170" s="144" t="s">
        <v>27</v>
      </c>
      <c r="AE170" s="83"/>
      <c r="AF170" s="83"/>
      <c r="AG170" s="144" t="s">
        <v>27</v>
      </c>
      <c r="AH170" s="83"/>
      <c r="AI170" s="144" t="s">
        <v>27</v>
      </c>
      <c r="AJ170" s="144" t="s">
        <v>27</v>
      </c>
      <c r="AK170" s="83"/>
      <c r="AL170" s="24"/>
    </row>
    <row r="171" ht="15.75" customHeight="1">
      <c r="A171" s="537" t="s">
        <v>1134</v>
      </c>
      <c r="B171" s="94" t="s">
        <v>1135</v>
      </c>
      <c r="C171" s="537">
        <v>77084.0</v>
      </c>
      <c r="D171" s="143" t="s">
        <v>1136</v>
      </c>
      <c r="E171" s="93" t="s">
        <v>303</v>
      </c>
      <c r="F171" s="591" t="s">
        <v>1137</v>
      </c>
      <c r="G171" s="83"/>
      <c r="H171" s="83"/>
      <c r="I171" s="144" t="s">
        <v>27</v>
      </c>
      <c r="J171" s="83"/>
      <c r="K171" s="83"/>
      <c r="L171" s="144" t="s">
        <v>27</v>
      </c>
      <c r="M171" s="83"/>
      <c r="N171" s="144" t="s">
        <v>27</v>
      </c>
      <c r="O171" s="144" t="s">
        <v>27</v>
      </c>
      <c r="P171" s="83"/>
      <c r="Q171" s="83"/>
      <c r="R171" s="144" t="s">
        <v>120</v>
      </c>
      <c r="S171" s="83"/>
      <c r="T171" s="83"/>
      <c r="U171" s="144" t="s">
        <v>27</v>
      </c>
      <c r="V171" s="83"/>
      <c r="W171" s="83"/>
      <c r="X171" s="144" t="s">
        <v>27</v>
      </c>
      <c r="Y171" s="83"/>
      <c r="Z171" s="83"/>
      <c r="AA171" s="144" t="s">
        <v>27</v>
      </c>
      <c r="AB171" s="83"/>
      <c r="AC171" s="83"/>
      <c r="AD171" s="144" t="s">
        <v>27</v>
      </c>
      <c r="AE171" s="83"/>
      <c r="AF171" s="83"/>
      <c r="AG171" s="144" t="s">
        <v>27</v>
      </c>
      <c r="AH171" s="83"/>
      <c r="AI171" s="144" t="s">
        <v>27</v>
      </c>
      <c r="AJ171" s="144" t="s">
        <v>27</v>
      </c>
      <c r="AK171" s="83"/>
      <c r="AL171" s="24"/>
      <c r="AN171" s="211" t="str">
        <f>IFS(AO171&gt;3,"NO CORRESPONDE FRANCO",AT171&gt;0,"NO CORRESPONDE FRANCO",AT171=0,"")</f>
        <v/>
      </c>
      <c r="AO171" s="60">
        <f>COUNTIF($G171:$AK171,"LLT")</f>
        <v>0</v>
      </c>
      <c r="AP171" s="60">
        <f>COUNTIF($G171:$AK171,"LM")</f>
        <v>0</v>
      </c>
      <c r="AQ171" s="60">
        <f>COUNTIF($G171:$AK171,"FaC")</f>
        <v>0</v>
      </c>
      <c r="AR171" s="60">
        <f>COUNTIF($G171:$AK171,"LxE")</f>
        <v>0</v>
      </c>
      <c r="AS171" s="60">
        <f>COUNTIF($G171:$AK171,"LA")</f>
        <v>0</v>
      </c>
      <c r="AT171" s="221">
        <f>SUM(AP171:AS171)</f>
        <v>0</v>
      </c>
      <c r="AU171" s="36"/>
    </row>
    <row r="172" ht="15.75" customHeight="1">
      <c r="A172" s="592" t="s">
        <v>495</v>
      </c>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c r="AB172" s="2"/>
      <c r="AC172" s="2"/>
      <c r="AD172" s="2"/>
      <c r="AE172" s="2"/>
      <c r="AF172" s="2"/>
      <c r="AG172" s="2"/>
      <c r="AH172" s="2"/>
      <c r="AI172" s="2"/>
      <c r="AJ172" s="2"/>
      <c r="AK172" s="3"/>
      <c r="AL172" s="24"/>
    </row>
    <row r="173" ht="15.75" customHeight="1">
      <c r="A173" s="76" t="s">
        <v>153</v>
      </c>
      <c r="B173" s="251" t="s">
        <v>1138</v>
      </c>
      <c r="C173" s="66">
        <v>10784.0</v>
      </c>
      <c r="D173" s="76" t="s">
        <v>1139</v>
      </c>
      <c r="E173" s="76" t="s">
        <v>707</v>
      </c>
      <c r="F173" s="251" t="s">
        <v>1140</v>
      </c>
      <c r="G173" s="83"/>
      <c r="H173" s="83"/>
      <c r="I173" s="144" t="s">
        <v>27</v>
      </c>
      <c r="J173" s="83"/>
      <c r="K173" s="83"/>
      <c r="L173" s="144" t="s">
        <v>27</v>
      </c>
      <c r="M173" s="83"/>
      <c r="N173" s="144" t="s">
        <v>27</v>
      </c>
      <c r="O173" s="144" t="s">
        <v>27</v>
      </c>
      <c r="P173" s="83"/>
      <c r="Q173" s="83"/>
      <c r="R173" s="86" t="s">
        <v>32</v>
      </c>
      <c r="S173" s="83"/>
      <c r="T173" s="83"/>
      <c r="U173" s="172" t="s">
        <v>120</v>
      </c>
      <c r="V173" s="172" t="s">
        <v>27</v>
      </c>
      <c r="W173" s="83"/>
      <c r="X173" s="144" t="s">
        <v>27</v>
      </c>
      <c r="Y173" s="83"/>
      <c r="Z173" s="83"/>
      <c r="AA173" s="144" t="s">
        <v>27</v>
      </c>
      <c r="AB173" s="83"/>
      <c r="AC173" s="83"/>
      <c r="AD173" s="144" t="s">
        <v>27</v>
      </c>
      <c r="AE173" s="83"/>
      <c r="AF173" s="83"/>
      <c r="AG173" s="144" t="s">
        <v>27</v>
      </c>
      <c r="AH173" s="83"/>
      <c r="AI173" s="144" t="s">
        <v>27</v>
      </c>
      <c r="AJ173" s="144" t="s">
        <v>27</v>
      </c>
      <c r="AK173" s="83"/>
      <c r="AL173" s="24"/>
    </row>
    <row r="174" ht="15.75" customHeight="1">
      <c r="A174" s="66" t="s">
        <v>43</v>
      </c>
      <c r="B174" s="78" t="s">
        <v>1141</v>
      </c>
      <c r="C174" s="66">
        <v>2724.0</v>
      </c>
      <c r="D174" s="66">
        <v>1.159921999E9</v>
      </c>
      <c r="E174" s="66" t="s">
        <v>80</v>
      </c>
      <c r="F174" s="593" t="s">
        <v>1142</v>
      </c>
      <c r="G174" s="83"/>
      <c r="H174" s="83"/>
      <c r="I174" s="144" t="s">
        <v>27</v>
      </c>
      <c r="J174" s="83"/>
      <c r="K174" s="83"/>
      <c r="L174" s="144" t="s">
        <v>27</v>
      </c>
      <c r="M174" s="83"/>
      <c r="N174" s="144" t="s">
        <v>27</v>
      </c>
      <c r="O174" s="144" t="s">
        <v>27</v>
      </c>
      <c r="P174" s="83"/>
      <c r="Q174" s="83"/>
      <c r="R174" s="144" t="s">
        <v>120</v>
      </c>
      <c r="S174" s="83"/>
      <c r="T174" s="83"/>
      <c r="U174" s="144" t="s">
        <v>27</v>
      </c>
      <c r="V174" s="83"/>
      <c r="W174" s="83"/>
      <c r="X174" s="144" t="s">
        <v>27</v>
      </c>
      <c r="Y174" s="83"/>
      <c r="Z174" s="83"/>
      <c r="AA174" s="144" t="s">
        <v>27</v>
      </c>
      <c r="AB174" s="83"/>
      <c r="AC174" s="83"/>
      <c r="AD174" s="144" t="s">
        <v>27</v>
      </c>
      <c r="AE174" s="83"/>
      <c r="AF174" s="83"/>
      <c r="AG174" s="144" t="s">
        <v>27</v>
      </c>
      <c r="AH174" s="83"/>
      <c r="AI174" s="144" t="s">
        <v>27</v>
      </c>
      <c r="AJ174" s="144" t="s">
        <v>27</v>
      </c>
      <c r="AK174" s="83"/>
      <c r="AL174" s="24"/>
    </row>
    <row r="175" ht="15.75" customHeight="1">
      <c r="A175" s="93" t="s">
        <v>230</v>
      </c>
      <c r="B175" s="94" t="s">
        <v>1143</v>
      </c>
      <c r="C175" s="93">
        <v>34488.0</v>
      </c>
      <c r="D175" s="93" t="s">
        <v>1144</v>
      </c>
      <c r="E175" s="93" t="s">
        <v>1145</v>
      </c>
      <c r="F175" s="94" t="s">
        <v>1146</v>
      </c>
      <c r="G175" s="83"/>
      <c r="H175" s="83"/>
      <c r="I175" s="144" t="s">
        <v>27</v>
      </c>
      <c r="J175" s="83"/>
      <c r="K175" s="83"/>
      <c r="L175" s="144" t="s">
        <v>27</v>
      </c>
      <c r="M175" s="83"/>
      <c r="N175" s="144" t="s">
        <v>27</v>
      </c>
      <c r="O175" s="144" t="s">
        <v>27</v>
      </c>
      <c r="P175" s="83"/>
      <c r="Q175" s="83"/>
      <c r="R175" s="144" t="s">
        <v>27</v>
      </c>
      <c r="S175" s="83"/>
      <c r="T175" s="83"/>
      <c r="U175" s="144" t="s">
        <v>27</v>
      </c>
      <c r="V175" s="83"/>
      <c r="W175" s="83"/>
      <c r="X175" s="144" t="s">
        <v>27</v>
      </c>
      <c r="Y175" s="83"/>
      <c r="Z175" s="83"/>
      <c r="AA175" s="86" t="s">
        <v>32</v>
      </c>
      <c r="AB175" s="83"/>
      <c r="AC175" s="83"/>
      <c r="AD175" s="144" t="s">
        <v>27</v>
      </c>
      <c r="AE175" s="83"/>
      <c r="AF175" s="83"/>
      <c r="AG175" s="144" t="s">
        <v>27</v>
      </c>
      <c r="AH175" s="83"/>
      <c r="AI175" s="144" t="s">
        <v>27</v>
      </c>
      <c r="AJ175" s="144" t="s">
        <v>27</v>
      </c>
      <c r="AK175" s="83"/>
      <c r="AN175" s="211" t="str">
        <f>IFS(AO175&gt;3,"NO CORRESPONDE FRANCO",AT175&gt;0,"NO CORRESPONDE FRANCO",AT175=0,"")</f>
        <v/>
      </c>
      <c r="AO175" s="60">
        <f>COUNTIF($G175:$AK175,"LLT")</f>
        <v>0</v>
      </c>
      <c r="AP175" s="60">
        <f>COUNTIF($G175:$AK175,"LM")</f>
        <v>0</v>
      </c>
      <c r="AQ175" s="60">
        <f>COUNTIF($G175:$AK175,"FaC")</f>
        <v>0</v>
      </c>
      <c r="AR175" s="60">
        <f>COUNTIF($G175:$AK175,"LxE")</f>
        <v>0</v>
      </c>
      <c r="AS175" s="60">
        <f>COUNTIF($G175:$AK175,"LA")</f>
        <v>0</v>
      </c>
      <c r="AT175" s="221">
        <f>SUM(AP175:AS175)</f>
        <v>0</v>
      </c>
      <c r="AU175" s="36"/>
    </row>
    <row r="176" ht="15.75" customHeight="1">
      <c r="B176" s="399"/>
      <c r="F176" s="399"/>
      <c r="G176" s="24"/>
      <c r="I176" s="24"/>
      <c r="O176" s="24"/>
      <c r="Q176" s="24"/>
      <c r="R176" s="24"/>
      <c r="U176" s="24"/>
      <c r="X176" s="24"/>
      <c r="Z176" s="24"/>
      <c r="AL176" s="24"/>
    </row>
    <row r="177" ht="15.75" customHeight="1">
      <c r="B177" s="399"/>
      <c r="F177" s="399"/>
      <c r="G177" s="24"/>
      <c r="I177" s="24"/>
      <c r="O177" s="24"/>
      <c r="Q177" s="24"/>
      <c r="R177" s="24"/>
      <c r="U177" s="24"/>
      <c r="X177" s="24"/>
      <c r="Z177" s="24"/>
      <c r="AL177" s="24"/>
    </row>
    <row r="178" ht="15.75" customHeight="1">
      <c r="A178" s="65" t="s">
        <v>1147</v>
      </c>
      <c r="B178" s="6"/>
      <c r="C178" s="6"/>
      <c r="D178" s="6"/>
      <c r="E178" s="6"/>
      <c r="F178" s="6"/>
      <c r="G178" s="6"/>
      <c r="H178" s="6"/>
      <c r="I178" s="6"/>
      <c r="J178" s="6"/>
      <c r="K178" s="6"/>
      <c r="L178" s="6"/>
      <c r="M178" s="6"/>
      <c r="N178" s="6"/>
      <c r="O178" s="6"/>
      <c r="P178" s="6"/>
      <c r="Q178" s="6"/>
      <c r="R178" s="6"/>
      <c r="S178" s="6"/>
      <c r="T178" s="6"/>
      <c r="U178" s="6"/>
      <c r="V178" s="6"/>
      <c r="W178" s="6"/>
      <c r="X178" s="6"/>
      <c r="Y178" s="6"/>
      <c r="Z178" s="6"/>
      <c r="AA178" s="6"/>
      <c r="AB178" s="6"/>
      <c r="AC178" s="6"/>
      <c r="AD178" s="6"/>
      <c r="AE178" s="6"/>
      <c r="AF178" s="6"/>
      <c r="AG178" s="6"/>
      <c r="AH178" s="11"/>
      <c r="AI178" s="459"/>
      <c r="AJ178" s="459"/>
      <c r="AK178" s="459"/>
      <c r="AL178" s="24"/>
    </row>
    <row r="179" ht="15.75" customHeight="1">
      <c r="A179" s="560" t="s">
        <v>1148</v>
      </c>
      <c r="B179" s="2"/>
      <c r="C179" s="2"/>
      <c r="D179" s="2"/>
      <c r="E179" s="2"/>
      <c r="F179" s="3"/>
      <c r="G179" s="9">
        <v>1.0</v>
      </c>
      <c r="H179" s="9">
        <v>2.0</v>
      </c>
      <c r="I179" s="9">
        <v>3.0</v>
      </c>
      <c r="J179" s="9">
        <v>4.0</v>
      </c>
      <c r="K179" s="9">
        <v>5.0</v>
      </c>
      <c r="L179" s="9">
        <v>6.0</v>
      </c>
      <c r="M179" s="9">
        <v>7.0</v>
      </c>
      <c r="N179" s="9">
        <v>8.0</v>
      </c>
      <c r="O179" s="9">
        <v>9.0</v>
      </c>
      <c r="P179" s="9">
        <v>10.0</v>
      </c>
      <c r="Q179" s="9">
        <v>11.0</v>
      </c>
      <c r="R179" s="9">
        <v>12.0</v>
      </c>
      <c r="S179" s="9">
        <v>13.0</v>
      </c>
      <c r="T179" s="9">
        <v>14.0</v>
      </c>
      <c r="U179" s="9">
        <v>15.0</v>
      </c>
      <c r="V179" s="9">
        <v>16.0</v>
      </c>
      <c r="W179" s="9">
        <v>17.0</v>
      </c>
      <c r="X179" s="9">
        <v>18.0</v>
      </c>
      <c r="Y179" s="9">
        <v>19.0</v>
      </c>
      <c r="Z179" s="9">
        <v>20.0</v>
      </c>
      <c r="AA179" s="9">
        <v>21.0</v>
      </c>
      <c r="AB179" s="9">
        <v>22.0</v>
      </c>
      <c r="AC179" s="9">
        <v>23.0</v>
      </c>
      <c r="AD179" s="9">
        <v>24.0</v>
      </c>
      <c r="AE179" s="9">
        <v>25.0</v>
      </c>
      <c r="AF179" s="9">
        <v>26.0</v>
      </c>
      <c r="AG179" s="9">
        <v>27.0</v>
      </c>
      <c r="AH179" s="9">
        <v>28.0</v>
      </c>
      <c r="AI179" s="9">
        <v>29.0</v>
      </c>
      <c r="AJ179" s="9">
        <v>30.0</v>
      </c>
      <c r="AK179" s="9">
        <v>31.0</v>
      </c>
      <c r="AL179" s="24"/>
    </row>
    <row r="180" ht="15.75" customHeight="1">
      <c r="A180" s="384" t="s">
        <v>4</v>
      </c>
      <c r="B180" s="386" t="s">
        <v>5</v>
      </c>
      <c r="C180" s="389" t="s">
        <v>6</v>
      </c>
      <c r="D180" s="389" t="s">
        <v>8</v>
      </c>
      <c r="E180" s="390" t="s">
        <v>30</v>
      </c>
      <c r="F180" s="386" t="s">
        <v>7</v>
      </c>
      <c r="G180" s="9" t="s">
        <v>9</v>
      </c>
      <c r="H180" s="9" t="s">
        <v>10</v>
      </c>
      <c r="I180" s="9" t="s">
        <v>11</v>
      </c>
      <c r="J180" s="9" t="s">
        <v>12</v>
      </c>
      <c r="K180" s="9" t="s">
        <v>12</v>
      </c>
      <c r="L180" s="9" t="s">
        <v>13</v>
      </c>
      <c r="M180" s="9" t="s">
        <v>15</v>
      </c>
      <c r="N180" s="9" t="s">
        <v>9</v>
      </c>
      <c r="O180" s="9" t="s">
        <v>10</v>
      </c>
      <c r="P180" s="9" t="s">
        <v>11</v>
      </c>
      <c r="Q180" s="9" t="s">
        <v>12</v>
      </c>
      <c r="R180" s="9" t="s">
        <v>12</v>
      </c>
      <c r="S180" s="9" t="s">
        <v>13</v>
      </c>
      <c r="T180" s="9" t="s">
        <v>15</v>
      </c>
      <c r="U180" s="9" t="s">
        <v>9</v>
      </c>
      <c r="V180" s="9" t="s">
        <v>10</v>
      </c>
      <c r="W180" s="9" t="s">
        <v>11</v>
      </c>
      <c r="X180" s="9" t="s">
        <v>12</v>
      </c>
      <c r="Y180" s="9" t="s">
        <v>12</v>
      </c>
      <c r="Z180" s="9" t="s">
        <v>13</v>
      </c>
      <c r="AA180" s="9" t="s">
        <v>15</v>
      </c>
      <c r="AB180" s="9" t="s">
        <v>9</v>
      </c>
      <c r="AC180" s="9" t="s">
        <v>10</v>
      </c>
      <c r="AD180" s="9" t="s">
        <v>11</v>
      </c>
      <c r="AE180" s="9" t="s">
        <v>12</v>
      </c>
      <c r="AF180" s="9" t="s">
        <v>12</v>
      </c>
      <c r="AG180" s="9" t="s">
        <v>13</v>
      </c>
      <c r="AH180" s="13" t="s">
        <v>15</v>
      </c>
      <c r="AI180" s="9" t="s">
        <v>9</v>
      </c>
      <c r="AJ180" s="9" t="s">
        <v>10</v>
      </c>
      <c r="AK180" s="9" t="s">
        <v>11</v>
      </c>
      <c r="AL180" s="24"/>
    </row>
    <row r="181" ht="15.75" customHeight="1">
      <c r="A181" s="65" t="s">
        <v>35</v>
      </c>
      <c r="B181" s="6"/>
      <c r="C181" s="6"/>
      <c r="D181" s="6"/>
      <c r="E181" s="6"/>
      <c r="F181" s="6"/>
      <c r="G181" s="6"/>
      <c r="H181" s="6"/>
      <c r="I181" s="6"/>
      <c r="J181" s="6"/>
      <c r="K181" s="6"/>
      <c r="L181" s="6"/>
      <c r="M181" s="6"/>
      <c r="N181" s="6"/>
      <c r="O181" s="6"/>
      <c r="P181" s="6"/>
      <c r="Q181" s="6"/>
      <c r="R181" s="6"/>
      <c r="S181" s="6"/>
      <c r="T181" s="6"/>
      <c r="U181" s="6"/>
      <c r="V181" s="6"/>
      <c r="W181" s="6"/>
      <c r="X181" s="6"/>
      <c r="Y181" s="6"/>
      <c r="Z181" s="6"/>
      <c r="AA181" s="6"/>
      <c r="AB181" s="6"/>
      <c r="AC181" s="6"/>
      <c r="AD181" s="6"/>
      <c r="AE181" s="6"/>
      <c r="AF181" s="6"/>
      <c r="AG181" s="6"/>
      <c r="AH181" s="11"/>
      <c r="AI181" s="459"/>
      <c r="AJ181" s="459"/>
      <c r="AK181" s="71"/>
      <c r="AL181" s="24"/>
    </row>
    <row r="182" ht="15.75" customHeight="1">
      <c r="A182" s="190" t="s">
        <v>59</v>
      </c>
      <c r="B182" s="191" t="s">
        <v>1149</v>
      </c>
      <c r="C182" s="217">
        <v>4591.0</v>
      </c>
      <c r="D182" s="182" t="s">
        <v>1150</v>
      </c>
      <c r="E182" s="463" t="s">
        <v>35</v>
      </c>
      <c r="F182" s="594" t="s">
        <v>1151</v>
      </c>
      <c r="G182" s="144" t="s">
        <v>27</v>
      </c>
      <c r="H182" s="83"/>
      <c r="I182" s="83"/>
      <c r="J182" s="144" t="s">
        <v>27</v>
      </c>
      <c r="K182" s="83"/>
      <c r="L182" s="83"/>
      <c r="M182" s="144" t="s">
        <v>27</v>
      </c>
      <c r="N182" s="83"/>
      <c r="O182" s="83"/>
      <c r="P182" s="144" t="s">
        <v>27</v>
      </c>
      <c r="Q182" s="83"/>
      <c r="R182" s="83"/>
      <c r="S182" s="144" t="s">
        <v>27</v>
      </c>
      <c r="T182" s="83"/>
      <c r="U182" s="144" t="s">
        <v>27</v>
      </c>
      <c r="V182" s="144" t="s">
        <v>27</v>
      </c>
      <c r="W182" s="83"/>
      <c r="X182" s="83"/>
      <c r="Y182" s="144" t="s">
        <v>27</v>
      </c>
      <c r="Z182" s="83"/>
      <c r="AA182" s="83"/>
      <c r="AB182" s="144" t="s">
        <v>27</v>
      </c>
      <c r="AC182" s="83"/>
      <c r="AD182" s="83"/>
      <c r="AE182" s="144" t="s">
        <v>27</v>
      </c>
      <c r="AF182" s="83"/>
      <c r="AG182" s="83"/>
      <c r="AH182" s="144" t="s">
        <v>27</v>
      </c>
      <c r="AI182" s="83"/>
      <c r="AJ182" s="83"/>
      <c r="AK182" s="144" t="s">
        <v>27</v>
      </c>
      <c r="AL182" s="24"/>
      <c r="AN182" s="211" t="str">
        <f t="shared" ref="AN182:AN211" si="43">IFS(AO182&gt;3,"NO CORRESPONDE FRANCO",AT182&gt;0,"NO CORRESPONDE FRANCO",AT182=0,"")</f>
        <v/>
      </c>
    </row>
    <row r="183" ht="15.75" customHeight="1">
      <c r="A183" s="65" t="s">
        <v>52</v>
      </c>
      <c r="B183" s="6"/>
      <c r="C183" s="6"/>
      <c r="D183" s="6"/>
      <c r="E183" s="6"/>
      <c r="F183" s="6"/>
      <c r="G183" s="6"/>
      <c r="H183" s="6"/>
      <c r="I183" s="6"/>
      <c r="J183" s="6"/>
      <c r="K183" s="6"/>
      <c r="L183" s="6"/>
      <c r="M183" s="6"/>
      <c r="N183" s="6"/>
      <c r="O183" s="6"/>
      <c r="P183" s="6"/>
      <c r="Q183" s="6"/>
      <c r="R183" s="6"/>
      <c r="S183" s="6"/>
      <c r="T183" s="6"/>
      <c r="U183" s="6"/>
      <c r="V183" s="6"/>
      <c r="W183" s="6"/>
      <c r="X183" s="6"/>
      <c r="Y183" s="6"/>
      <c r="Z183" s="6"/>
      <c r="AA183" s="6"/>
      <c r="AB183" s="6"/>
      <c r="AC183" s="6"/>
      <c r="AD183" s="6"/>
      <c r="AE183" s="6"/>
      <c r="AF183" s="6"/>
      <c r="AG183" s="6"/>
      <c r="AH183" s="11"/>
      <c r="AI183" s="459"/>
      <c r="AJ183" s="459"/>
      <c r="AK183" s="90"/>
      <c r="AL183" s="24"/>
      <c r="AN183" s="211" t="str">
        <f t="shared" si="43"/>
        <v/>
      </c>
    </row>
    <row r="184" ht="15.75" customHeight="1">
      <c r="A184" s="66" t="s">
        <v>59</v>
      </c>
      <c r="B184" s="251" t="s">
        <v>1152</v>
      </c>
      <c r="C184" s="76">
        <v>5454.0</v>
      </c>
      <c r="D184" s="76" t="s">
        <v>1153</v>
      </c>
      <c r="E184" s="76" t="s">
        <v>1154</v>
      </c>
      <c r="F184" s="568" t="s">
        <v>1155</v>
      </c>
      <c r="G184" s="144" t="s">
        <v>27</v>
      </c>
      <c r="H184" s="83"/>
      <c r="I184" s="83"/>
      <c r="J184" s="144" t="s">
        <v>27</v>
      </c>
      <c r="K184" s="83"/>
      <c r="L184" s="83"/>
      <c r="M184" s="144" t="s">
        <v>27</v>
      </c>
      <c r="N184" s="83"/>
      <c r="O184" s="83"/>
      <c r="P184" s="144" t="s">
        <v>27</v>
      </c>
      <c r="Q184" s="83"/>
      <c r="R184" s="83"/>
      <c r="S184" s="144" t="s">
        <v>27</v>
      </c>
      <c r="T184" s="192" t="s">
        <v>22</v>
      </c>
      <c r="U184" s="192" t="s">
        <v>22</v>
      </c>
      <c r="V184" s="192" t="s">
        <v>22</v>
      </c>
      <c r="W184" s="192" t="s">
        <v>22</v>
      </c>
      <c r="X184" s="192" t="s">
        <v>22</v>
      </c>
      <c r="Y184" s="192" t="s">
        <v>22</v>
      </c>
      <c r="Z184" s="192" t="s">
        <v>22</v>
      </c>
      <c r="AA184" s="192" t="s">
        <v>22</v>
      </c>
      <c r="AB184" s="192" t="s">
        <v>22</v>
      </c>
      <c r="AC184" s="192" t="s">
        <v>22</v>
      </c>
      <c r="AD184" s="192" t="s">
        <v>22</v>
      </c>
      <c r="AE184" s="192" t="s">
        <v>22</v>
      </c>
      <c r="AF184" s="192" t="s">
        <v>22</v>
      </c>
      <c r="AG184" s="192" t="s">
        <v>22</v>
      </c>
      <c r="AH184" s="192" t="s">
        <v>22</v>
      </c>
      <c r="AI184" s="192" t="s">
        <v>22</v>
      </c>
      <c r="AJ184" s="192" t="s">
        <v>22</v>
      </c>
      <c r="AK184" s="192" t="s">
        <v>22</v>
      </c>
      <c r="AL184" s="24"/>
      <c r="AN184" s="211" t="str">
        <f t="shared" si="43"/>
        <v/>
      </c>
    </row>
    <row r="185" ht="15.75" customHeight="1">
      <c r="A185" s="190" t="s">
        <v>1035</v>
      </c>
      <c r="B185" s="462" t="s">
        <v>1156</v>
      </c>
      <c r="C185" s="463">
        <v>71940.0</v>
      </c>
      <c r="D185" s="463" t="s">
        <v>1157</v>
      </c>
      <c r="E185" s="463" t="s">
        <v>707</v>
      </c>
      <c r="F185" s="595" t="s">
        <v>1158</v>
      </c>
      <c r="G185" s="124" t="s">
        <v>22</v>
      </c>
      <c r="H185" s="124" t="s">
        <v>22</v>
      </c>
      <c r="I185" s="124" t="s">
        <v>22</v>
      </c>
      <c r="J185" s="124" t="s">
        <v>22</v>
      </c>
      <c r="K185" s="124" t="s">
        <v>22</v>
      </c>
      <c r="L185" s="124" t="s">
        <v>22</v>
      </c>
      <c r="M185" s="124" t="s">
        <v>22</v>
      </c>
      <c r="N185" s="124" t="s">
        <v>22</v>
      </c>
      <c r="O185" s="124" t="s">
        <v>22</v>
      </c>
      <c r="P185" s="124" t="s">
        <v>22</v>
      </c>
      <c r="Q185" s="124" t="s">
        <v>22</v>
      </c>
      <c r="R185" s="124" t="s">
        <v>22</v>
      </c>
      <c r="S185" s="124" t="s">
        <v>22</v>
      </c>
      <c r="T185" s="83"/>
      <c r="U185" s="144" t="s">
        <v>27</v>
      </c>
      <c r="V185" s="144" t="s">
        <v>27</v>
      </c>
      <c r="W185" s="83"/>
      <c r="X185" s="83"/>
      <c r="Y185" s="144" t="s">
        <v>27</v>
      </c>
      <c r="Z185" s="83"/>
      <c r="AA185" s="83"/>
      <c r="AB185" s="144" t="s">
        <v>27</v>
      </c>
      <c r="AC185" s="83"/>
      <c r="AD185" s="83"/>
      <c r="AE185" s="144" t="s">
        <v>27</v>
      </c>
      <c r="AF185" s="83"/>
      <c r="AG185" s="83"/>
      <c r="AH185" s="144" t="s">
        <v>27</v>
      </c>
      <c r="AI185" s="83"/>
      <c r="AJ185" s="83"/>
      <c r="AK185" s="144" t="s">
        <v>27</v>
      </c>
      <c r="AL185" s="24"/>
      <c r="AN185" s="211" t="str">
        <f t="shared" si="43"/>
        <v/>
      </c>
    </row>
    <row r="186" ht="15.75" customHeight="1">
      <c r="A186" s="76" t="s">
        <v>124</v>
      </c>
      <c r="B186" s="251" t="s">
        <v>1159</v>
      </c>
      <c r="C186" s="76">
        <v>15150.0</v>
      </c>
      <c r="D186" s="76" t="s">
        <v>1160</v>
      </c>
      <c r="E186" s="76" t="s">
        <v>148</v>
      </c>
      <c r="F186" s="568" t="s">
        <v>1161</v>
      </c>
      <c r="G186" s="144" t="s">
        <v>27</v>
      </c>
      <c r="H186" s="83"/>
      <c r="I186" s="83"/>
      <c r="J186" s="144" t="s">
        <v>120</v>
      </c>
      <c r="K186" s="83"/>
      <c r="L186" s="83"/>
      <c r="M186" s="144" t="s">
        <v>27</v>
      </c>
      <c r="N186" s="83"/>
      <c r="O186" s="83"/>
      <c r="P186" s="144" t="s">
        <v>27</v>
      </c>
      <c r="Q186" s="83"/>
      <c r="R186" s="83"/>
      <c r="S186" s="144" t="s">
        <v>27</v>
      </c>
      <c r="T186" s="124" t="s">
        <v>22</v>
      </c>
      <c r="U186" s="124" t="s">
        <v>22</v>
      </c>
      <c r="V186" s="124" t="s">
        <v>22</v>
      </c>
      <c r="W186" s="124" t="s">
        <v>22</v>
      </c>
      <c r="X186" s="124" t="s">
        <v>22</v>
      </c>
      <c r="Y186" s="124" t="s">
        <v>22</v>
      </c>
      <c r="Z186" s="124" t="s">
        <v>22</v>
      </c>
      <c r="AA186" s="124" t="s">
        <v>22</v>
      </c>
      <c r="AB186" s="124" t="s">
        <v>22</v>
      </c>
      <c r="AC186" s="124" t="s">
        <v>22</v>
      </c>
      <c r="AD186" s="124" t="s">
        <v>22</v>
      </c>
      <c r="AE186" s="124" t="s">
        <v>22</v>
      </c>
      <c r="AF186" s="124" t="s">
        <v>22</v>
      </c>
      <c r="AG186" s="124" t="s">
        <v>22</v>
      </c>
      <c r="AH186" s="124" t="s">
        <v>22</v>
      </c>
      <c r="AI186" s="83"/>
      <c r="AJ186" s="83"/>
      <c r="AK186" s="144" t="s">
        <v>27</v>
      </c>
      <c r="AL186" s="135" t="s">
        <v>1162</v>
      </c>
      <c r="AN186" s="211" t="str">
        <f t="shared" si="43"/>
        <v/>
      </c>
    </row>
    <row r="187" ht="15.75" customHeight="1">
      <c r="A187" s="596" t="s">
        <v>124</v>
      </c>
      <c r="B187" s="125" t="s">
        <v>141</v>
      </c>
      <c r="C187" s="127">
        <v>7025.0</v>
      </c>
      <c r="D187" s="127" t="s">
        <v>144</v>
      </c>
      <c r="E187" s="127" t="s">
        <v>148</v>
      </c>
      <c r="F187" s="125" t="s">
        <v>149</v>
      </c>
      <c r="G187" s="131" t="s">
        <v>27</v>
      </c>
      <c r="H187" s="79"/>
      <c r="I187" s="79"/>
      <c r="J187" s="131" t="s">
        <v>27</v>
      </c>
      <c r="K187" s="79"/>
      <c r="L187" s="79"/>
      <c r="M187" s="131" t="s">
        <v>27</v>
      </c>
      <c r="N187" s="79"/>
      <c r="O187" s="79"/>
      <c r="P187" s="131" t="s">
        <v>27</v>
      </c>
      <c r="Q187" s="79"/>
      <c r="R187" s="79"/>
      <c r="S187" s="548" t="s">
        <v>19</v>
      </c>
      <c r="T187" s="548" t="s">
        <v>19</v>
      </c>
      <c r="U187" s="548" t="s">
        <v>19</v>
      </c>
      <c r="V187" s="548" t="s">
        <v>19</v>
      </c>
      <c r="W187" s="548" t="s">
        <v>19</v>
      </c>
      <c r="X187" s="520"/>
      <c r="Y187" s="521" t="s">
        <v>27</v>
      </c>
      <c r="Z187" s="520"/>
      <c r="AA187" s="520"/>
      <c r="AB187" s="597" t="s">
        <v>27</v>
      </c>
      <c r="AC187" s="520"/>
      <c r="AD187" s="520"/>
      <c r="AE187" s="521" t="s">
        <v>27</v>
      </c>
      <c r="AF187" s="520"/>
      <c r="AG187" s="520"/>
      <c r="AH187" s="86" t="s">
        <v>32</v>
      </c>
      <c r="AI187" s="44"/>
      <c r="AJ187" s="44"/>
      <c r="AK187" s="598" t="s">
        <v>1163</v>
      </c>
      <c r="AL187" s="599" t="s">
        <v>1164</v>
      </c>
      <c r="AM187" s="36"/>
      <c r="AN187" s="211" t="str">
        <f t="shared" si="43"/>
        <v/>
      </c>
      <c r="AO187" s="36"/>
      <c r="AP187" s="36"/>
      <c r="AQ187" s="36"/>
      <c r="AR187" s="36"/>
      <c r="AS187" s="36"/>
      <c r="AT187" s="36"/>
      <c r="AU187" s="36"/>
    </row>
    <row r="188" ht="15.75" customHeight="1">
      <c r="A188" s="143" t="s">
        <v>162</v>
      </c>
      <c r="B188" s="462" t="s">
        <v>1165</v>
      </c>
      <c r="C188" s="463">
        <v>9241.0</v>
      </c>
      <c r="D188" s="463" t="s">
        <v>1166</v>
      </c>
      <c r="E188" s="182" t="s">
        <v>148</v>
      </c>
      <c r="F188" s="600" t="s">
        <v>1167</v>
      </c>
      <c r="G188" s="86" t="s">
        <v>32</v>
      </c>
      <c r="H188" s="83"/>
      <c r="I188" s="83"/>
      <c r="J188" s="144" t="s">
        <v>120</v>
      </c>
      <c r="K188" s="83"/>
      <c r="L188" s="83"/>
      <c r="M188" s="144" t="s">
        <v>27</v>
      </c>
      <c r="N188" s="83"/>
      <c r="O188" s="83"/>
      <c r="P188" s="144" t="s">
        <v>27</v>
      </c>
      <c r="Q188" s="83"/>
      <c r="R188" s="83"/>
      <c r="S188" s="144" t="s">
        <v>18</v>
      </c>
      <c r="T188" s="83"/>
      <c r="U188" s="144" t="s">
        <v>27</v>
      </c>
      <c r="V188" s="144" t="s">
        <v>27</v>
      </c>
      <c r="W188" s="83"/>
      <c r="X188" s="83"/>
      <c r="Y188" s="144" t="s">
        <v>27</v>
      </c>
      <c r="Z188" s="83"/>
      <c r="AA188" s="83"/>
      <c r="AB188" s="144" t="s">
        <v>27</v>
      </c>
      <c r="AC188" s="83"/>
      <c r="AD188" s="83"/>
      <c r="AE188" s="144" t="s">
        <v>27</v>
      </c>
      <c r="AF188" s="83"/>
      <c r="AG188" s="83"/>
      <c r="AH188" s="144" t="s">
        <v>27</v>
      </c>
      <c r="AI188" s="83"/>
      <c r="AJ188" s="83"/>
      <c r="AK188" s="144" t="s">
        <v>27</v>
      </c>
      <c r="AL188" s="24"/>
      <c r="AN188" s="211" t="str">
        <f t="shared" si="43"/>
        <v/>
      </c>
    </row>
    <row r="189" ht="15.75" customHeight="1">
      <c r="A189" s="190" t="s">
        <v>162</v>
      </c>
      <c r="B189" s="317" t="s">
        <v>1168</v>
      </c>
      <c r="C189" s="182">
        <v>43661.0</v>
      </c>
      <c r="D189" s="182" t="s">
        <v>1169</v>
      </c>
      <c r="E189" s="463" t="s">
        <v>707</v>
      </c>
      <c r="F189" s="601" t="s">
        <v>1170</v>
      </c>
      <c r="G189" s="119" t="s">
        <v>79</v>
      </c>
      <c r="H189" s="83"/>
      <c r="I189" s="83"/>
      <c r="J189" s="144" t="s">
        <v>120</v>
      </c>
      <c r="K189" s="83"/>
      <c r="L189" s="83"/>
      <c r="M189" s="144" t="s">
        <v>27</v>
      </c>
      <c r="N189" s="83"/>
      <c r="O189" s="83"/>
      <c r="P189" s="144" t="s">
        <v>27</v>
      </c>
      <c r="Q189" s="83"/>
      <c r="R189" s="83"/>
      <c r="S189" s="144" t="s">
        <v>27</v>
      </c>
      <c r="T189" s="83"/>
      <c r="U189" s="144" t="s">
        <v>27</v>
      </c>
      <c r="V189" s="113" t="s">
        <v>79</v>
      </c>
      <c r="W189" s="83"/>
      <c r="X189" s="83"/>
      <c r="Y189" s="144" t="s">
        <v>27</v>
      </c>
      <c r="Z189" s="83"/>
      <c r="AA189" s="83"/>
      <c r="AB189" s="144" t="s">
        <v>27</v>
      </c>
      <c r="AC189" s="83"/>
      <c r="AD189" s="83"/>
      <c r="AE189" s="144" t="s">
        <v>27</v>
      </c>
      <c r="AF189" s="83"/>
      <c r="AG189" s="83"/>
      <c r="AH189" s="144" t="s">
        <v>27</v>
      </c>
      <c r="AI189" s="83"/>
      <c r="AJ189" s="83"/>
      <c r="AK189" s="144" t="s">
        <v>27</v>
      </c>
      <c r="AL189" s="24"/>
      <c r="AN189" s="211" t="str">
        <f t="shared" si="43"/>
        <v/>
      </c>
    </row>
    <row r="190" ht="15.75" customHeight="1">
      <c r="A190" s="38" t="s">
        <v>153</v>
      </c>
      <c r="B190" s="412" t="s">
        <v>1044</v>
      </c>
      <c r="C190" s="40">
        <v>42139.0</v>
      </c>
      <c r="D190" s="40" t="s">
        <v>1045</v>
      </c>
      <c r="E190" s="515" t="s">
        <v>148</v>
      </c>
      <c r="F190" s="251" t="s">
        <v>1046</v>
      </c>
      <c r="G190" s="121" t="s">
        <v>1171</v>
      </c>
      <c r="H190" s="6"/>
      <c r="I190" s="6"/>
      <c r="J190" s="6"/>
      <c r="K190" s="6"/>
      <c r="L190" s="6"/>
      <c r="M190" s="6"/>
      <c r="N190" s="6"/>
      <c r="O190" s="6"/>
      <c r="P190" s="6"/>
      <c r="Q190" s="6"/>
      <c r="R190" s="6"/>
      <c r="S190" s="6"/>
      <c r="T190" s="6"/>
      <c r="U190" s="6"/>
      <c r="V190" s="6"/>
      <c r="W190" s="6"/>
      <c r="X190" s="6"/>
      <c r="Y190" s="6"/>
      <c r="Z190" s="6"/>
      <c r="AA190" s="6"/>
      <c r="AB190" s="6"/>
      <c r="AC190" s="11"/>
      <c r="AD190" s="96" t="s">
        <v>22</v>
      </c>
      <c r="AE190" s="96" t="s">
        <v>22</v>
      </c>
      <c r="AF190" s="96" t="s">
        <v>22</v>
      </c>
      <c r="AG190" s="96" t="s">
        <v>22</v>
      </c>
      <c r="AH190" s="96" t="s">
        <v>22</v>
      </c>
      <c r="AI190" s="96" t="s">
        <v>22</v>
      </c>
      <c r="AJ190" s="96" t="s">
        <v>22</v>
      </c>
      <c r="AK190" s="96" t="s">
        <v>22</v>
      </c>
      <c r="AL190" s="96" t="s">
        <v>1172</v>
      </c>
      <c r="AN190" s="211" t="str">
        <f t="shared" si="43"/>
        <v/>
      </c>
    </row>
    <row r="191" ht="15.75" customHeight="1">
      <c r="A191" s="602" t="s">
        <v>220</v>
      </c>
      <c r="B191" s="6"/>
      <c r="C191" s="6"/>
      <c r="D191" s="6"/>
      <c r="E191" s="6"/>
      <c r="F191" s="6"/>
      <c r="G191" s="6"/>
      <c r="H191" s="6"/>
      <c r="I191" s="6"/>
      <c r="J191" s="6"/>
      <c r="K191" s="6"/>
      <c r="L191" s="6"/>
      <c r="M191" s="6"/>
      <c r="N191" s="6"/>
      <c r="O191" s="6"/>
      <c r="P191" s="6"/>
      <c r="Q191" s="6"/>
      <c r="R191" s="6"/>
      <c r="S191" s="6"/>
      <c r="T191" s="6"/>
      <c r="U191" s="6"/>
      <c r="V191" s="6"/>
      <c r="W191" s="6"/>
      <c r="X191" s="6"/>
      <c r="Y191" s="6"/>
      <c r="Z191" s="6"/>
      <c r="AA191" s="6"/>
      <c r="AB191" s="6"/>
      <c r="AC191" s="6"/>
      <c r="AD191" s="6"/>
      <c r="AE191" s="6"/>
      <c r="AF191" s="6"/>
      <c r="AG191" s="6"/>
      <c r="AH191" s="6"/>
      <c r="AI191" s="6"/>
      <c r="AJ191" s="6"/>
      <c r="AK191" s="11"/>
      <c r="AL191" s="24"/>
      <c r="AN191" s="211" t="str">
        <f t="shared" si="43"/>
        <v/>
      </c>
    </row>
    <row r="192" ht="15.75" customHeight="1">
      <c r="A192" s="190" t="s">
        <v>1173</v>
      </c>
      <c r="B192" s="191" t="s">
        <v>1174</v>
      </c>
      <c r="C192" s="182">
        <v>13762.0</v>
      </c>
      <c r="D192" s="217" t="s">
        <v>1175</v>
      </c>
      <c r="E192" s="217" t="s">
        <v>1176</v>
      </c>
      <c r="F192" s="601" t="s">
        <v>1177</v>
      </c>
      <c r="G192" s="144" t="s">
        <v>27</v>
      </c>
      <c r="H192" s="83"/>
      <c r="I192" s="83"/>
      <c r="J192" s="144" t="s">
        <v>18</v>
      </c>
      <c r="K192" s="83"/>
      <c r="L192" s="83"/>
      <c r="M192" s="144" t="s">
        <v>18</v>
      </c>
      <c r="N192" s="83"/>
      <c r="O192" s="83"/>
      <c r="P192" s="144" t="s">
        <v>27</v>
      </c>
      <c r="Q192" s="83"/>
      <c r="R192" s="83"/>
      <c r="S192" s="144" t="s">
        <v>18</v>
      </c>
      <c r="T192" s="83"/>
      <c r="U192" s="144" t="s">
        <v>27</v>
      </c>
      <c r="V192" s="144" t="s">
        <v>18</v>
      </c>
      <c r="W192" s="83"/>
      <c r="X192" s="83"/>
      <c r="Y192" s="144" t="s">
        <v>27</v>
      </c>
      <c r="Z192" s="83"/>
      <c r="AA192" s="83"/>
      <c r="AB192" s="603" t="s">
        <v>20</v>
      </c>
      <c r="AC192" s="603" t="s">
        <v>20</v>
      </c>
      <c r="AD192" s="83"/>
      <c r="AE192" s="144" t="s">
        <v>27</v>
      </c>
      <c r="AF192" s="83"/>
      <c r="AG192" s="83"/>
      <c r="AH192" s="144" t="s">
        <v>27</v>
      </c>
      <c r="AI192" s="83"/>
      <c r="AJ192" s="83"/>
      <c r="AK192" s="144" t="s">
        <v>27</v>
      </c>
      <c r="AL192" s="604"/>
      <c r="AM192" s="605"/>
      <c r="AN192" s="211" t="str">
        <f t="shared" si="43"/>
        <v>NO CORRESPONDE FRANCO</v>
      </c>
      <c r="AO192" s="60">
        <f t="shared" ref="AO192:AO211" si="44">COUNTIF($G192:$AK192,"LLT")</f>
        <v>4</v>
      </c>
      <c r="AP192" s="60">
        <f t="shared" ref="AP192:AP211" si="45">COUNTIF($G192:$AK192,"LM")</f>
        <v>0</v>
      </c>
      <c r="AQ192" s="606">
        <v>2.0</v>
      </c>
      <c r="AR192" s="60">
        <f t="shared" ref="AR192:AR211" si="46">COUNTIF($G192:$AK192,"LxE")</f>
        <v>0</v>
      </c>
      <c r="AS192" s="60">
        <f t="shared" ref="AS192:AS211" si="47">COUNTIF($G192:$AK192,"LA")</f>
        <v>0</v>
      </c>
      <c r="AT192" s="221">
        <f t="shared" ref="AT192:AT211" si="48">SUM(AP192:AS192)</f>
        <v>2</v>
      </c>
      <c r="AU192" s="36"/>
    </row>
    <row r="193" ht="15.75" customHeight="1">
      <c r="A193" s="190" t="s">
        <v>33</v>
      </c>
      <c r="B193" s="317" t="s">
        <v>1178</v>
      </c>
      <c r="C193" s="217">
        <v>3.56171E7</v>
      </c>
      <c r="D193" s="182" t="s">
        <v>1179</v>
      </c>
      <c r="E193" s="217" t="s">
        <v>273</v>
      </c>
      <c r="F193" s="601" t="s">
        <v>1180</v>
      </c>
      <c r="G193" s="144" t="s">
        <v>198</v>
      </c>
      <c r="H193" s="83"/>
      <c r="I193" s="83"/>
      <c r="J193" s="144" t="s">
        <v>27</v>
      </c>
      <c r="K193" s="83"/>
      <c r="L193" s="83"/>
      <c r="M193" s="144" t="s">
        <v>18</v>
      </c>
      <c r="N193" s="83"/>
      <c r="O193" s="83"/>
      <c r="P193" s="144" t="s">
        <v>27</v>
      </c>
      <c r="Q193" s="83"/>
      <c r="R193" s="83"/>
      <c r="S193" s="144" t="s">
        <v>27</v>
      </c>
      <c r="T193" s="83"/>
      <c r="U193" s="144" t="s">
        <v>27</v>
      </c>
      <c r="V193" s="144" t="s">
        <v>27</v>
      </c>
      <c r="W193" s="83"/>
      <c r="X193" s="83"/>
      <c r="Y193" s="144" t="s">
        <v>27</v>
      </c>
      <c r="Z193" s="83"/>
      <c r="AA193" s="83"/>
      <c r="AB193" s="144" t="s">
        <v>120</v>
      </c>
      <c r="AC193" s="83"/>
      <c r="AD193" s="83"/>
      <c r="AE193" s="144" t="s">
        <v>27</v>
      </c>
      <c r="AF193" s="83"/>
      <c r="AG193" s="83"/>
      <c r="AH193" s="144" t="s">
        <v>27</v>
      </c>
      <c r="AI193" s="83"/>
      <c r="AJ193" s="83"/>
      <c r="AK193" s="144" t="s">
        <v>27</v>
      </c>
      <c r="AL193" s="24"/>
      <c r="AN193" s="211" t="str">
        <f t="shared" si="43"/>
        <v/>
      </c>
      <c r="AO193" s="60">
        <f t="shared" si="44"/>
        <v>1</v>
      </c>
      <c r="AP193" s="60">
        <f t="shared" si="45"/>
        <v>0</v>
      </c>
      <c r="AQ193" s="60">
        <f t="shared" ref="AQ193:AQ211" si="49">COUNTIF($G193:$AK193,"FaC")</f>
        <v>0</v>
      </c>
      <c r="AR193" s="60">
        <f t="shared" si="46"/>
        <v>0</v>
      </c>
      <c r="AS193" s="60">
        <f t="shared" si="47"/>
        <v>0</v>
      </c>
      <c r="AT193" s="221">
        <f t="shared" si="48"/>
        <v>0</v>
      </c>
      <c r="AU193" s="36"/>
    </row>
    <row r="194" ht="15.75" customHeight="1">
      <c r="A194" s="143" t="s">
        <v>33</v>
      </c>
      <c r="B194" s="191" t="s">
        <v>1181</v>
      </c>
      <c r="C194" s="182">
        <v>4.6003114E7</v>
      </c>
      <c r="D194" s="182" t="s">
        <v>1182</v>
      </c>
      <c r="E194" s="217" t="s">
        <v>233</v>
      </c>
      <c r="F194" s="607" t="s">
        <v>1183</v>
      </c>
      <c r="G194" s="144" t="s">
        <v>27</v>
      </c>
      <c r="H194" s="83"/>
      <c r="I194" s="83"/>
      <c r="J194" s="144" t="s">
        <v>27</v>
      </c>
      <c r="K194" s="83"/>
      <c r="L194" s="83"/>
      <c r="M194" s="144" t="s">
        <v>27</v>
      </c>
      <c r="N194" s="83"/>
      <c r="O194" s="83"/>
      <c r="P194" s="144" t="s">
        <v>18</v>
      </c>
      <c r="Q194" s="83"/>
      <c r="R194" s="83"/>
      <c r="S194" s="144" t="s">
        <v>27</v>
      </c>
      <c r="T194" s="83"/>
      <c r="U194" s="144" t="s">
        <v>27</v>
      </c>
      <c r="V194" s="86" t="s">
        <v>32</v>
      </c>
      <c r="W194" s="83"/>
      <c r="X194" s="83"/>
      <c r="Y194" s="172" t="s">
        <v>27</v>
      </c>
      <c r="Z194" s="83"/>
      <c r="AA194" s="83"/>
      <c r="AB194" s="144" t="s">
        <v>27</v>
      </c>
      <c r="AC194" s="83"/>
      <c r="AD194" s="83"/>
      <c r="AE194" s="144" t="s">
        <v>27</v>
      </c>
      <c r="AF194" s="83"/>
      <c r="AG194" s="83"/>
      <c r="AH194" s="144" t="s">
        <v>27</v>
      </c>
      <c r="AI194" s="83"/>
      <c r="AJ194" s="83"/>
      <c r="AK194" s="144" t="s">
        <v>27</v>
      </c>
      <c r="AL194" s="24"/>
      <c r="AN194" s="211" t="str">
        <f t="shared" si="43"/>
        <v/>
      </c>
      <c r="AO194" s="60">
        <f t="shared" si="44"/>
        <v>1</v>
      </c>
      <c r="AP194" s="60">
        <f t="shared" si="45"/>
        <v>0</v>
      </c>
      <c r="AQ194" s="60">
        <f t="shared" si="49"/>
        <v>0</v>
      </c>
      <c r="AR194" s="60">
        <f t="shared" si="46"/>
        <v>0</v>
      </c>
      <c r="AS194" s="60">
        <f t="shared" si="47"/>
        <v>0</v>
      </c>
      <c r="AT194" s="221">
        <f t="shared" si="48"/>
        <v>0</v>
      </c>
      <c r="AU194" s="36"/>
    </row>
    <row r="195" ht="15.75" customHeight="1">
      <c r="A195" s="608" t="s">
        <v>33</v>
      </c>
      <c r="B195" s="191" t="s">
        <v>1184</v>
      </c>
      <c r="C195" s="609">
        <v>3.9418634E7</v>
      </c>
      <c r="D195" s="182" t="s">
        <v>1185</v>
      </c>
      <c r="E195" s="217" t="s">
        <v>303</v>
      </c>
      <c r="F195" s="601" t="s">
        <v>1186</v>
      </c>
      <c r="G195" s="144" t="s">
        <v>198</v>
      </c>
      <c r="H195" s="83"/>
      <c r="I195" s="83"/>
      <c r="J195" s="144" t="s">
        <v>27</v>
      </c>
      <c r="K195" s="83"/>
      <c r="L195" s="83"/>
      <c r="M195" s="144" t="s">
        <v>27</v>
      </c>
      <c r="N195" s="83"/>
      <c r="O195" s="83"/>
      <c r="P195" s="144" t="s">
        <v>27</v>
      </c>
      <c r="Q195" s="83"/>
      <c r="R195" s="83"/>
      <c r="S195" s="144" t="s">
        <v>27</v>
      </c>
      <c r="T195" s="83"/>
      <c r="U195" s="144" t="s">
        <v>27</v>
      </c>
      <c r="V195" s="144" t="s">
        <v>27</v>
      </c>
      <c r="W195" s="83"/>
      <c r="X195" s="83"/>
      <c r="Y195" s="144" t="s">
        <v>27</v>
      </c>
      <c r="Z195" s="83"/>
      <c r="AA195" s="83"/>
      <c r="AB195" s="119" t="s">
        <v>79</v>
      </c>
      <c r="AC195" s="83"/>
      <c r="AD195" s="172" t="s">
        <v>120</v>
      </c>
      <c r="AE195" s="144" t="s">
        <v>27</v>
      </c>
      <c r="AF195" s="83"/>
      <c r="AG195" s="83"/>
      <c r="AH195" s="144" t="s">
        <v>27</v>
      </c>
      <c r="AI195" s="144" t="s">
        <v>27</v>
      </c>
      <c r="AJ195" s="83"/>
      <c r="AK195" s="119" t="s">
        <v>79</v>
      </c>
      <c r="AL195" s="24"/>
      <c r="AN195" s="211" t="str">
        <f t="shared" si="43"/>
        <v/>
      </c>
      <c r="AO195" s="60">
        <f t="shared" si="44"/>
        <v>0</v>
      </c>
      <c r="AP195" s="60">
        <f t="shared" si="45"/>
        <v>0</v>
      </c>
      <c r="AQ195" s="60">
        <f t="shared" si="49"/>
        <v>0</v>
      </c>
      <c r="AR195" s="60">
        <f t="shared" si="46"/>
        <v>0</v>
      </c>
      <c r="AS195" s="60">
        <f t="shared" si="47"/>
        <v>0</v>
      </c>
      <c r="AT195" s="221">
        <f t="shared" si="48"/>
        <v>0</v>
      </c>
      <c r="AU195" s="36"/>
    </row>
    <row r="196" ht="15.75" customHeight="1">
      <c r="A196" s="143" t="s">
        <v>33</v>
      </c>
      <c r="B196" s="462" t="s">
        <v>1187</v>
      </c>
      <c r="C196" s="610">
        <v>4.4484098E7</v>
      </c>
      <c r="D196" s="463" t="s">
        <v>1188</v>
      </c>
      <c r="E196" s="217" t="s">
        <v>303</v>
      </c>
      <c r="F196" s="611" t="s">
        <v>1189</v>
      </c>
      <c r="G196" s="86" t="s">
        <v>32</v>
      </c>
      <c r="H196" s="83"/>
      <c r="I196" s="83"/>
      <c r="J196" s="144" t="s">
        <v>27</v>
      </c>
      <c r="K196" s="83"/>
      <c r="L196" s="83"/>
      <c r="M196" s="144" t="s">
        <v>27</v>
      </c>
      <c r="N196" s="83"/>
      <c r="O196" s="83"/>
      <c r="P196" s="144" t="s">
        <v>27</v>
      </c>
      <c r="Q196" s="83"/>
      <c r="R196" s="83"/>
      <c r="S196" s="144" t="s">
        <v>27</v>
      </c>
      <c r="T196" s="83"/>
      <c r="U196" s="144" t="s">
        <v>27</v>
      </c>
      <c r="V196" s="144" t="s">
        <v>27</v>
      </c>
      <c r="W196" s="83"/>
      <c r="X196" s="83"/>
      <c r="Y196" s="144" t="s">
        <v>27</v>
      </c>
      <c r="Z196" s="83"/>
      <c r="AA196" s="83"/>
      <c r="AB196" s="144" t="s">
        <v>27</v>
      </c>
      <c r="AC196" s="83"/>
      <c r="AD196" s="83"/>
      <c r="AE196" s="144" t="s">
        <v>27</v>
      </c>
      <c r="AF196" s="83"/>
      <c r="AG196" s="83"/>
      <c r="AH196" s="144" t="s">
        <v>27</v>
      </c>
      <c r="AI196" s="83"/>
      <c r="AJ196" s="83"/>
      <c r="AK196" s="144" t="s">
        <v>27</v>
      </c>
      <c r="AL196" s="24"/>
      <c r="AN196" s="211" t="str">
        <f t="shared" si="43"/>
        <v/>
      </c>
      <c r="AO196" s="60">
        <f t="shared" si="44"/>
        <v>0</v>
      </c>
      <c r="AP196" s="60">
        <f t="shared" si="45"/>
        <v>0</v>
      </c>
      <c r="AQ196" s="60">
        <f t="shared" si="49"/>
        <v>0</v>
      </c>
      <c r="AR196" s="60">
        <f t="shared" si="46"/>
        <v>0</v>
      </c>
      <c r="AS196" s="60">
        <f t="shared" si="47"/>
        <v>0</v>
      </c>
      <c r="AT196" s="221">
        <f t="shared" si="48"/>
        <v>0</v>
      </c>
      <c r="AU196" s="36"/>
    </row>
    <row r="197" ht="15.75" customHeight="1">
      <c r="A197" s="190" t="s">
        <v>33</v>
      </c>
      <c r="B197" s="191" t="s">
        <v>1190</v>
      </c>
      <c r="C197" s="182">
        <v>4.501207E7</v>
      </c>
      <c r="D197" s="182" t="s">
        <v>1191</v>
      </c>
      <c r="E197" s="217" t="s">
        <v>303</v>
      </c>
      <c r="F197" s="601" t="s">
        <v>1192</v>
      </c>
      <c r="G197" s="144" t="s">
        <v>27</v>
      </c>
      <c r="H197" s="83"/>
      <c r="I197" s="83"/>
      <c r="J197" s="144" t="s">
        <v>27</v>
      </c>
      <c r="K197" s="83"/>
      <c r="L197" s="83"/>
      <c r="M197" s="144" t="s">
        <v>27</v>
      </c>
      <c r="N197" s="83"/>
      <c r="O197" s="83"/>
      <c r="P197" s="144" t="s">
        <v>27</v>
      </c>
      <c r="Q197" s="83"/>
      <c r="R197" s="83"/>
      <c r="S197" s="144" t="s">
        <v>27</v>
      </c>
      <c r="T197" s="83"/>
      <c r="U197" s="144" t="s">
        <v>27</v>
      </c>
      <c r="V197" s="144" t="s">
        <v>27</v>
      </c>
      <c r="W197" s="83"/>
      <c r="X197" s="83"/>
      <c r="Y197" s="144" t="s">
        <v>27</v>
      </c>
      <c r="Z197" s="83"/>
      <c r="AA197" s="83"/>
      <c r="AB197" s="86" t="s">
        <v>32</v>
      </c>
      <c r="AC197" s="83"/>
      <c r="AD197" s="83"/>
      <c r="AE197" s="144" t="s">
        <v>27</v>
      </c>
      <c r="AF197" s="83"/>
      <c r="AG197" s="83"/>
      <c r="AH197" s="144" t="s">
        <v>27</v>
      </c>
      <c r="AI197" s="83"/>
      <c r="AJ197" s="83"/>
      <c r="AK197" s="144" t="s">
        <v>27</v>
      </c>
      <c r="AL197" s="24"/>
      <c r="AN197" s="211" t="str">
        <f t="shared" si="43"/>
        <v/>
      </c>
      <c r="AO197" s="60">
        <f t="shared" si="44"/>
        <v>0</v>
      </c>
      <c r="AP197" s="60">
        <f t="shared" si="45"/>
        <v>0</v>
      </c>
      <c r="AQ197" s="60">
        <f t="shared" si="49"/>
        <v>0</v>
      </c>
      <c r="AR197" s="60">
        <f t="shared" si="46"/>
        <v>0</v>
      </c>
      <c r="AS197" s="60">
        <f t="shared" si="47"/>
        <v>0</v>
      </c>
      <c r="AT197" s="221">
        <f t="shared" si="48"/>
        <v>0</v>
      </c>
      <c r="AU197" s="36"/>
    </row>
    <row r="198" ht="15.75" customHeight="1">
      <c r="A198" s="143" t="s">
        <v>33</v>
      </c>
      <c r="B198" s="487" t="s">
        <v>1193</v>
      </c>
      <c r="C198" s="463">
        <v>3.5657751E7</v>
      </c>
      <c r="D198" s="463" t="s">
        <v>1194</v>
      </c>
      <c r="E198" s="217" t="s">
        <v>273</v>
      </c>
      <c r="F198" s="600" t="s">
        <v>1195</v>
      </c>
      <c r="G198" s="144" t="s">
        <v>198</v>
      </c>
      <c r="H198" s="83"/>
      <c r="I198" s="83"/>
      <c r="J198" s="144" t="s">
        <v>27</v>
      </c>
      <c r="K198" s="83"/>
      <c r="L198" s="83"/>
      <c r="M198" s="86" t="s">
        <v>32</v>
      </c>
      <c r="N198" s="83"/>
      <c r="O198" s="83"/>
      <c r="P198" s="124" t="s">
        <v>22</v>
      </c>
      <c r="Q198" s="124" t="s">
        <v>22</v>
      </c>
      <c r="R198" s="124" t="s">
        <v>22</v>
      </c>
      <c r="S198" s="124" t="s">
        <v>22</v>
      </c>
      <c r="T198" s="124" t="s">
        <v>22</v>
      </c>
      <c r="U198" s="124" t="s">
        <v>22</v>
      </c>
      <c r="V198" s="124" t="s">
        <v>22</v>
      </c>
      <c r="W198" s="83"/>
      <c r="X198" s="83"/>
      <c r="Y198" s="144" t="s">
        <v>27</v>
      </c>
      <c r="Z198" s="83"/>
      <c r="AA198" s="83"/>
      <c r="AB198" s="144" t="s">
        <v>27</v>
      </c>
      <c r="AC198" s="83"/>
      <c r="AD198" s="83"/>
      <c r="AE198" s="144" t="s">
        <v>27</v>
      </c>
      <c r="AF198" s="83"/>
      <c r="AG198" s="83"/>
      <c r="AH198" s="144" t="s">
        <v>27</v>
      </c>
      <c r="AI198" s="83"/>
      <c r="AJ198" s="83"/>
      <c r="AK198" s="144" t="s">
        <v>18</v>
      </c>
      <c r="AL198" s="24"/>
      <c r="AN198" s="211" t="str">
        <f t="shared" si="43"/>
        <v>NO CORRESPONDE FRANCO</v>
      </c>
      <c r="AO198" s="60">
        <f t="shared" si="44"/>
        <v>1</v>
      </c>
      <c r="AP198" s="60">
        <f t="shared" si="45"/>
        <v>0</v>
      </c>
      <c r="AQ198" s="60">
        <f t="shared" si="49"/>
        <v>0</v>
      </c>
      <c r="AR198" s="60">
        <f t="shared" si="46"/>
        <v>0</v>
      </c>
      <c r="AS198" s="60">
        <f t="shared" si="47"/>
        <v>7</v>
      </c>
      <c r="AT198" s="221">
        <f t="shared" si="48"/>
        <v>7</v>
      </c>
      <c r="AU198" s="36"/>
    </row>
    <row r="199" ht="15.75" customHeight="1">
      <c r="A199" s="314" t="s">
        <v>33</v>
      </c>
      <c r="B199" s="317" t="s">
        <v>1196</v>
      </c>
      <c r="C199" s="612">
        <v>4.5147451E7</v>
      </c>
      <c r="D199" s="217" t="s">
        <v>1197</v>
      </c>
      <c r="E199" s="217" t="s">
        <v>303</v>
      </c>
      <c r="F199" s="613" t="s">
        <v>1198</v>
      </c>
      <c r="G199" s="144" t="s">
        <v>27</v>
      </c>
      <c r="H199" s="83"/>
      <c r="I199" s="83"/>
      <c r="J199" s="144" t="s">
        <v>27</v>
      </c>
      <c r="K199" s="83"/>
      <c r="L199" s="83"/>
      <c r="M199" s="86" t="s">
        <v>32</v>
      </c>
      <c r="N199" s="83"/>
      <c r="O199" s="83"/>
      <c r="P199" s="144" t="s">
        <v>27</v>
      </c>
      <c r="Q199" s="83"/>
      <c r="R199" s="83"/>
      <c r="S199" s="144" t="s">
        <v>27</v>
      </c>
      <c r="T199" s="83"/>
      <c r="U199" s="144" t="s">
        <v>27</v>
      </c>
      <c r="V199" s="144" t="s">
        <v>27</v>
      </c>
      <c r="W199" s="83"/>
      <c r="X199" s="83"/>
      <c r="Y199" s="144" t="s">
        <v>27</v>
      </c>
      <c r="Z199" s="83"/>
      <c r="AA199" s="83"/>
      <c r="AB199" s="144" t="s">
        <v>27</v>
      </c>
      <c r="AC199" s="83"/>
      <c r="AD199" s="83"/>
      <c r="AE199" s="144" t="s">
        <v>27</v>
      </c>
      <c r="AF199" s="83"/>
      <c r="AG199" s="83"/>
      <c r="AH199" s="144" t="s">
        <v>27</v>
      </c>
      <c r="AI199" s="83"/>
      <c r="AJ199" s="83"/>
      <c r="AK199" s="144" t="s">
        <v>18</v>
      </c>
      <c r="AL199" s="24"/>
      <c r="AN199" s="211" t="str">
        <f t="shared" si="43"/>
        <v/>
      </c>
      <c r="AO199" s="60">
        <f t="shared" si="44"/>
        <v>1</v>
      </c>
      <c r="AP199" s="60">
        <f t="shared" si="45"/>
        <v>0</v>
      </c>
      <c r="AQ199" s="60">
        <f t="shared" si="49"/>
        <v>0</v>
      </c>
      <c r="AR199" s="60">
        <f t="shared" si="46"/>
        <v>0</v>
      </c>
      <c r="AS199" s="60">
        <f t="shared" si="47"/>
        <v>0</v>
      </c>
      <c r="AT199" s="221">
        <f t="shared" si="48"/>
        <v>0</v>
      </c>
      <c r="AU199" s="36"/>
    </row>
    <row r="200" ht="15.75" customHeight="1">
      <c r="A200" s="190" t="s">
        <v>33</v>
      </c>
      <c r="B200" s="317" t="s">
        <v>441</v>
      </c>
      <c r="C200" s="182">
        <v>3.4514275E7</v>
      </c>
      <c r="D200" s="182" t="s">
        <v>1199</v>
      </c>
      <c r="E200" s="93" t="s">
        <v>443</v>
      </c>
      <c r="F200" s="331" t="s">
        <v>444</v>
      </c>
      <c r="G200" s="144" t="s">
        <v>27</v>
      </c>
      <c r="H200" s="83"/>
      <c r="I200" s="83"/>
      <c r="J200" s="144" t="s">
        <v>27</v>
      </c>
      <c r="K200" s="83"/>
      <c r="L200" s="83"/>
      <c r="M200" s="144" t="s">
        <v>27</v>
      </c>
      <c r="N200" s="83"/>
      <c r="O200" s="83"/>
      <c r="P200" s="144" t="s">
        <v>27</v>
      </c>
      <c r="Q200" s="83"/>
      <c r="R200" s="79"/>
      <c r="S200" s="79"/>
      <c r="T200" s="79"/>
      <c r="U200" s="79"/>
      <c r="V200" s="131" t="s">
        <v>32</v>
      </c>
      <c r="W200" s="79"/>
      <c r="X200" s="79"/>
      <c r="Y200" s="79"/>
      <c r="Z200" s="79"/>
      <c r="AA200" s="79"/>
      <c r="AB200" s="79"/>
      <c r="AC200" s="79"/>
      <c r="AD200" s="79"/>
      <c r="AE200" s="79"/>
      <c r="AF200" s="79"/>
      <c r="AG200" s="79"/>
      <c r="AH200" s="79"/>
      <c r="AI200" s="79"/>
      <c r="AJ200" s="79"/>
      <c r="AK200" s="79"/>
      <c r="AL200" s="24"/>
      <c r="AN200" s="211" t="str">
        <f t="shared" si="43"/>
        <v/>
      </c>
      <c r="AO200" s="60">
        <f t="shared" si="44"/>
        <v>0</v>
      </c>
      <c r="AP200" s="60">
        <f t="shared" si="45"/>
        <v>0</v>
      </c>
      <c r="AQ200" s="60">
        <f t="shared" si="49"/>
        <v>0</v>
      </c>
      <c r="AR200" s="60">
        <f t="shared" si="46"/>
        <v>0</v>
      </c>
      <c r="AS200" s="60">
        <f t="shared" si="47"/>
        <v>0</v>
      </c>
      <c r="AT200" s="221">
        <f t="shared" si="48"/>
        <v>0</v>
      </c>
      <c r="AU200" s="36"/>
    </row>
    <row r="201" ht="15.75" customHeight="1">
      <c r="A201" s="472" t="s">
        <v>33</v>
      </c>
      <c r="B201" s="614" t="s">
        <v>1200</v>
      </c>
      <c r="C201" s="474">
        <v>9.5728568E7</v>
      </c>
      <c r="D201" s="70" t="s">
        <v>1201</v>
      </c>
      <c r="E201" s="93" t="s">
        <v>273</v>
      </c>
      <c r="F201" s="615" t="s">
        <v>1202</v>
      </c>
      <c r="G201" s="616" t="s">
        <v>32</v>
      </c>
      <c r="H201" s="83"/>
      <c r="I201" s="83"/>
      <c r="J201" s="144" t="s">
        <v>18</v>
      </c>
      <c r="K201" s="83"/>
      <c r="L201" s="83"/>
      <c r="M201" s="144" t="s">
        <v>18</v>
      </c>
      <c r="N201" s="83"/>
      <c r="O201" s="83"/>
      <c r="P201" s="144" t="s">
        <v>18</v>
      </c>
      <c r="Q201" s="83"/>
      <c r="R201" s="83"/>
      <c r="S201" s="144" t="s">
        <v>18</v>
      </c>
      <c r="T201" s="83"/>
      <c r="U201" s="144" t="s">
        <v>18</v>
      </c>
      <c r="V201" s="144" t="s">
        <v>27</v>
      </c>
      <c r="W201" s="83"/>
      <c r="X201" s="83"/>
      <c r="Y201" s="144" t="s">
        <v>27</v>
      </c>
      <c r="Z201" s="83"/>
      <c r="AA201" s="83"/>
      <c r="AB201" s="144" t="s">
        <v>18</v>
      </c>
      <c r="AC201" s="83"/>
      <c r="AD201" s="83"/>
      <c r="AE201" s="124" t="s">
        <v>22</v>
      </c>
      <c r="AF201" s="124" t="s">
        <v>22</v>
      </c>
      <c r="AG201" s="124" t="s">
        <v>22</v>
      </c>
      <c r="AH201" s="124" t="s">
        <v>22</v>
      </c>
      <c r="AI201" s="124" t="s">
        <v>22</v>
      </c>
      <c r="AJ201" s="124" t="s">
        <v>22</v>
      </c>
      <c r="AK201" s="124" t="s">
        <v>22</v>
      </c>
      <c r="AL201" s="24"/>
      <c r="AN201" s="211" t="str">
        <f t="shared" si="43"/>
        <v>NO CORRESPONDE FRANCO</v>
      </c>
      <c r="AO201" s="60">
        <f t="shared" si="44"/>
        <v>6</v>
      </c>
      <c r="AP201" s="60">
        <f t="shared" si="45"/>
        <v>0</v>
      </c>
      <c r="AQ201" s="60">
        <f t="shared" si="49"/>
        <v>0</v>
      </c>
      <c r="AR201" s="60">
        <f t="shared" si="46"/>
        <v>0</v>
      </c>
      <c r="AS201" s="60">
        <f t="shared" si="47"/>
        <v>7</v>
      </c>
      <c r="AT201" s="221">
        <f t="shared" si="48"/>
        <v>7</v>
      </c>
      <c r="AU201" s="36"/>
    </row>
    <row r="202" ht="15.0" customHeight="1">
      <c r="A202" s="580" t="s">
        <v>33</v>
      </c>
      <c r="B202" s="617" t="s">
        <v>1203</v>
      </c>
      <c r="C202" s="580">
        <v>4.4006001E7</v>
      </c>
      <c r="D202" s="490" t="s">
        <v>1204</v>
      </c>
      <c r="E202" s="93" t="s">
        <v>233</v>
      </c>
      <c r="F202" s="618" t="s">
        <v>1205</v>
      </c>
      <c r="G202" s="144" t="s">
        <v>27</v>
      </c>
      <c r="H202" s="83"/>
      <c r="I202" s="83"/>
      <c r="J202" s="144" t="s">
        <v>27</v>
      </c>
      <c r="K202" s="83"/>
      <c r="L202" s="83"/>
      <c r="M202" s="144" t="s">
        <v>27</v>
      </c>
      <c r="N202" s="83"/>
      <c r="O202" s="83"/>
      <c r="P202" s="144" t="s">
        <v>27</v>
      </c>
      <c r="Q202" s="83"/>
      <c r="R202" s="83"/>
      <c r="S202" s="144" t="s">
        <v>27</v>
      </c>
      <c r="T202" s="83"/>
      <c r="U202" s="144" t="s">
        <v>27</v>
      </c>
      <c r="V202" s="144" t="s">
        <v>27</v>
      </c>
      <c r="W202" s="83"/>
      <c r="X202" s="83"/>
      <c r="Y202" s="144" t="s">
        <v>27</v>
      </c>
      <c r="Z202" s="83"/>
      <c r="AA202" s="83"/>
      <c r="AB202" s="86" t="s">
        <v>32</v>
      </c>
      <c r="AC202" s="83"/>
      <c r="AD202" s="83"/>
      <c r="AE202" s="144" t="s">
        <v>27</v>
      </c>
      <c r="AF202" s="83"/>
      <c r="AG202" s="83"/>
      <c r="AH202" s="144" t="s">
        <v>27</v>
      </c>
      <c r="AI202" s="83"/>
      <c r="AJ202" s="83"/>
      <c r="AK202" s="144" t="s">
        <v>27</v>
      </c>
      <c r="AL202" s="24"/>
      <c r="AN202" s="211" t="str">
        <f t="shared" si="43"/>
        <v/>
      </c>
      <c r="AO202" s="60">
        <f t="shared" si="44"/>
        <v>0</v>
      </c>
      <c r="AP202" s="60">
        <f t="shared" si="45"/>
        <v>0</v>
      </c>
      <c r="AQ202" s="60">
        <f t="shared" si="49"/>
        <v>0</v>
      </c>
      <c r="AR202" s="60">
        <f t="shared" si="46"/>
        <v>0</v>
      </c>
      <c r="AS202" s="60">
        <f t="shared" si="47"/>
        <v>0</v>
      </c>
      <c r="AT202" s="221">
        <f t="shared" si="48"/>
        <v>0</v>
      </c>
      <c r="AU202" s="36"/>
    </row>
    <row r="203" ht="15.75" customHeight="1">
      <c r="A203" s="490" t="s">
        <v>33</v>
      </c>
      <c r="B203" s="500" t="s">
        <v>1206</v>
      </c>
      <c r="C203" s="490">
        <v>4.0858014E7</v>
      </c>
      <c r="D203" s="490" t="s">
        <v>1207</v>
      </c>
      <c r="E203" s="93" t="s">
        <v>233</v>
      </c>
      <c r="F203" s="619" t="s">
        <v>1208</v>
      </c>
      <c r="G203" s="144" t="s">
        <v>198</v>
      </c>
      <c r="H203" s="83"/>
      <c r="I203" s="83"/>
      <c r="J203" s="144" t="s">
        <v>27</v>
      </c>
      <c r="K203" s="83"/>
      <c r="L203" s="83"/>
      <c r="M203" s="144" t="s">
        <v>18</v>
      </c>
      <c r="N203" s="83"/>
      <c r="O203" s="83"/>
      <c r="P203" s="144" t="s">
        <v>27</v>
      </c>
      <c r="Q203" s="83"/>
      <c r="R203" s="83"/>
      <c r="S203" s="144" t="s">
        <v>27</v>
      </c>
      <c r="T203" s="83"/>
      <c r="U203" s="144" t="s">
        <v>27</v>
      </c>
      <c r="V203" s="144" t="s">
        <v>27</v>
      </c>
      <c r="W203" s="83"/>
      <c r="X203" s="83"/>
      <c r="Y203" s="144" t="s">
        <v>27</v>
      </c>
      <c r="Z203" s="83"/>
      <c r="AA203" s="83"/>
      <c r="AB203" s="144" t="s">
        <v>27</v>
      </c>
      <c r="AC203" s="83"/>
      <c r="AD203" s="83"/>
      <c r="AE203" s="144" t="s">
        <v>27</v>
      </c>
      <c r="AF203" s="83"/>
      <c r="AG203" s="83"/>
      <c r="AH203" s="144" t="s">
        <v>27</v>
      </c>
      <c r="AI203" s="83"/>
      <c r="AJ203" s="83"/>
      <c r="AK203" s="144" t="s">
        <v>27</v>
      </c>
      <c r="AL203" s="24"/>
      <c r="AN203" s="211" t="str">
        <f t="shared" si="43"/>
        <v/>
      </c>
      <c r="AO203" s="60">
        <f t="shared" si="44"/>
        <v>1</v>
      </c>
      <c r="AP203" s="60">
        <f t="shared" si="45"/>
        <v>0</v>
      </c>
      <c r="AQ203" s="60">
        <f t="shared" si="49"/>
        <v>0</v>
      </c>
      <c r="AR203" s="60">
        <f t="shared" si="46"/>
        <v>0</v>
      </c>
      <c r="AS203" s="60">
        <f t="shared" si="47"/>
        <v>0</v>
      </c>
      <c r="AT203" s="221">
        <f t="shared" si="48"/>
        <v>0</v>
      </c>
      <c r="AU203" s="36"/>
    </row>
    <row r="204" ht="15.75" customHeight="1">
      <c r="A204" s="70" t="s">
        <v>33</v>
      </c>
      <c r="B204" s="473" t="s">
        <v>1209</v>
      </c>
      <c r="C204" s="70">
        <v>3.9849147E7</v>
      </c>
      <c r="D204" s="70" t="s">
        <v>1210</v>
      </c>
      <c r="E204" s="217" t="s">
        <v>303</v>
      </c>
      <c r="F204" s="620" t="s">
        <v>1211</v>
      </c>
      <c r="G204" s="144" t="s">
        <v>27</v>
      </c>
      <c r="H204" s="83"/>
      <c r="I204" s="83"/>
      <c r="J204" s="144" t="s">
        <v>27</v>
      </c>
      <c r="K204" s="83"/>
      <c r="L204" s="83"/>
      <c r="M204" s="144" t="s">
        <v>27</v>
      </c>
      <c r="N204" s="83"/>
      <c r="O204" s="83"/>
      <c r="P204" s="144" t="s">
        <v>27</v>
      </c>
      <c r="Q204" s="83"/>
      <c r="R204" s="83"/>
      <c r="S204" s="144" t="s">
        <v>18</v>
      </c>
      <c r="T204" s="83"/>
      <c r="U204" s="144" t="s">
        <v>27</v>
      </c>
      <c r="V204" s="86" t="s">
        <v>32</v>
      </c>
      <c r="W204" s="83"/>
      <c r="X204" s="83"/>
      <c r="Y204" s="144" t="s">
        <v>27</v>
      </c>
      <c r="Z204" s="83"/>
      <c r="AA204" s="83"/>
      <c r="AB204" s="144" t="s">
        <v>27</v>
      </c>
      <c r="AC204" s="83"/>
      <c r="AD204" s="83"/>
      <c r="AE204" s="144" t="s">
        <v>27</v>
      </c>
      <c r="AF204" s="83"/>
      <c r="AG204" s="83"/>
      <c r="AH204" s="144" t="s">
        <v>27</v>
      </c>
      <c r="AI204" s="83"/>
      <c r="AJ204" s="83"/>
      <c r="AK204" s="144" t="s">
        <v>27</v>
      </c>
      <c r="AL204" s="24"/>
      <c r="AN204" s="211" t="str">
        <f t="shared" si="43"/>
        <v/>
      </c>
      <c r="AO204" s="60">
        <f t="shared" si="44"/>
        <v>1</v>
      </c>
      <c r="AP204" s="60">
        <f t="shared" si="45"/>
        <v>0</v>
      </c>
      <c r="AQ204" s="60">
        <f t="shared" si="49"/>
        <v>0</v>
      </c>
      <c r="AR204" s="60">
        <f t="shared" si="46"/>
        <v>0</v>
      </c>
      <c r="AS204" s="60">
        <f t="shared" si="47"/>
        <v>0</v>
      </c>
      <c r="AT204" s="221">
        <f t="shared" si="48"/>
        <v>0</v>
      </c>
      <c r="AU204" s="36"/>
    </row>
    <row r="205" ht="15.75" customHeight="1">
      <c r="A205" s="66" t="s">
        <v>33</v>
      </c>
      <c r="B205" s="78" t="s">
        <v>679</v>
      </c>
      <c r="C205" s="76">
        <v>2.9382472E7</v>
      </c>
      <c r="D205" s="76" t="s">
        <v>681</v>
      </c>
      <c r="E205" s="76" t="s">
        <v>273</v>
      </c>
      <c r="F205" s="434" t="s">
        <v>680</v>
      </c>
      <c r="G205" s="621" t="s">
        <v>682</v>
      </c>
      <c r="H205" s="144" t="s">
        <v>27</v>
      </c>
      <c r="I205" s="83"/>
      <c r="J205" s="603" t="s">
        <v>20</v>
      </c>
      <c r="K205" s="603" t="s">
        <v>20</v>
      </c>
      <c r="L205" s="603" t="s">
        <v>20</v>
      </c>
      <c r="M205" s="603" t="s">
        <v>20</v>
      </c>
      <c r="N205" s="83"/>
      <c r="O205" s="83"/>
      <c r="P205" s="144" t="s">
        <v>18</v>
      </c>
      <c r="Q205" s="83"/>
      <c r="R205" s="83"/>
      <c r="S205" s="144" t="s">
        <v>18</v>
      </c>
      <c r="T205" s="83"/>
      <c r="U205" s="144" t="s">
        <v>18</v>
      </c>
      <c r="V205" s="144" t="s">
        <v>18</v>
      </c>
      <c r="W205" s="83"/>
      <c r="X205" s="83"/>
      <c r="Y205" s="144" t="s">
        <v>27</v>
      </c>
      <c r="Z205" s="83"/>
      <c r="AA205" s="121" t="s">
        <v>1212</v>
      </c>
      <c r="AB205" s="6"/>
      <c r="AC205" s="6"/>
      <c r="AD205" s="6"/>
      <c r="AE205" s="6"/>
      <c r="AF205" s="6"/>
      <c r="AG205" s="6"/>
      <c r="AH205" s="6"/>
      <c r="AI205" s="6"/>
      <c r="AJ205" s="6"/>
      <c r="AK205" s="11"/>
      <c r="AL205" s="24"/>
      <c r="AN205" s="211" t="str">
        <f t="shared" si="43"/>
        <v>NO CORRESPONDE FRANCO</v>
      </c>
      <c r="AO205" s="60">
        <f t="shared" si="44"/>
        <v>4</v>
      </c>
      <c r="AP205" s="60">
        <f t="shared" si="45"/>
        <v>0</v>
      </c>
      <c r="AQ205" s="60">
        <f t="shared" si="49"/>
        <v>4</v>
      </c>
      <c r="AR205" s="60">
        <f t="shared" si="46"/>
        <v>0</v>
      </c>
      <c r="AS205" s="60">
        <f t="shared" si="47"/>
        <v>0</v>
      </c>
      <c r="AT205" s="221">
        <f t="shared" si="48"/>
        <v>4</v>
      </c>
      <c r="AU205" s="36"/>
    </row>
    <row r="206" ht="15.75" customHeight="1">
      <c r="A206" s="66" t="s">
        <v>33</v>
      </c>
      <c r="B206" s="78" t="s">
        <v>1213</v>
      </c>
      <c r="C206" s="76">
        <v>3.8319746E7</v>
      </c>
      <c r="D206" s="613" t="s">
        <v>1214</v>
      </c>
      <c r="E206" s="38" t="s">
        <v>303</v>
      </c>
      <c r="F206" s="613" t="s">
        <v>1215</v>
      </c>
      <c r="G206" s="144" t="s">
        <v>27</v>
      </c>
      <c r="H206" s="83"/>
      <c r="I206" s="83"/>
      <c r="J206" s="144" t="s">
        <v>27</v>
      </c>
      <c r="K206" s="83"/>
      <c r="L206" s="83"/>
      <c r="M206" s="144" t="s">
        <v>18</v>
      </c>
      <c r="N206" s="83"/>
      <c r="O206" s="83"/>
      <c r="P206" s="144" t="s">
        <v>27</v>
      </c>
      <c r="Q206" s="83"/>
      <c r="R206" s="83"/>
      <c r="S206" s="144" t="s">
        <v>27</v>
      </c>
      <c r="T206" s="83"/>
      <c r="U206" s="144" t="s">
        <v>27</v>
      </c>
      <c r="V206" s="144" t="s">
        <v>27</v>
      </c>
      <c r="W206" s="83"/>
      <c r="X206" s="83"/>
      <c r="Y206" s="144" t="s">
        <v>27</v>
      </c>
      <c r="Z206" s="83"/>
      <c r="AA206" s="83"/>
      <c r="AB206" s="144" t="s">
        <v>27</v>
      </c>
      <c r="AC206" s="83"/>
      <c r="AD206" s="83"/>
      <c r="AE206" s="144" t="s">
        <v>27</v>
      </c>
      <c r="AF206" s="83"/>
      <c r="AG206" s="83"/>
      <c r="AH206" s="144" t="s">
        <v>27</v>
      </c>
      <c r="AI206" s="83"/>
      <c r="AJ206" s="83"/>
      <c r="AK206" s="144" t="s">
        <v>27</v>
      </c>
      <c r="AL206" s="24"/>
      <c r="AN206" s="211" t="str">
        <f t="shared" si="43"/>
        <v/>
      </c>
      <c r="AO206" s="60">
        <f t="shared" si="44"/>
        <v>1</v>
      </c>
      <c r="AP206" s="60">
        <f t="shared" si="45"/>
        <v>0</v>
      </c>
      <c r="AQ206" s="60">
        <f t="shared" si="49"/>
        <v>0</v>
      </c>
      <c r="AR206" s="60">
        <f t="shared" si="46"/>
        <v>0</v>
      </c>
      <c r="AS206" s="60">
        <f t="shared" si="47"/>
        <v>0</v>
      </c>
      <c r="AT206" s="221">
        <f t="shared" si="48"/>
        <v>0</v>
      </c>
      <c r="AU206" s="36"/>
    </row>
    <row r="207" ht="15.75" customHeight="1">
      <c r="A207" s="66" t="s">
        <v>33</v>
      </c>
      <c r="B207" s="78" t="s">
        <v>1216</v>
      </c>
      <c r="C207" s="76">
        <v>3.7786037E7</v>
      </c>
      <c r="D207" s="38" t="s">
        <v>1217</v>
      </c>
      <c r="E207" s="38" t="s">
        <v>303</v>
      </c>
      <c r="F207" s="622" t="s">
        <v>1218</v>
      </c>
      <c r="G207" s="144" t="s">
        <v>27</v>
      </c>
      <c r="H207" s="83"/>
      <c r="I207" s="83"/>
      <c r="J207" s="144" t="s">
        <v>27</v>
      </c>
      <c r="K207" s="83"/>
      <c r="L207" s="83"/>
      <c r="M207" s="144" t="s">
        <v>18</v>
      </c>
      <c r="N207" s="83"/>
      <c r="O207" s="83"/>
      <c r="P207" s="144" t="s">
        <v>27</v>
      </c>
      <c r="Q207" s="83"/>
      <c r="R207" s="83"/>
      <c r="S207" s="144" t="s">
        <v>27</v>
      </c>
      <c r="T207" s="83"/>
      <c r="U207" s="144" t="s">
        <v>27</v>
      </c>
      <c r="V207" s="144" t="s">
        <v>27</v>
      </c>
      <c r="W207" s="83"/>
      <c r="X207" s="83"/>
      <c r="Y207" s="144" t="s">
        <v>27</v>
      </c>
      <c r="Z207" s="83"/>
      <c r="AA207" s="83"/>
      <c r="AB207" s="144" t="s">
        <v>27</v>
      </c>
      <c r="AC207" s="83"/>
      <c r="AD207" s="83"/>
      <c r="AE207" s="144" t="s">
        <v>27</v>
      </c>
      <c r="AF207" s="83"/>
      <c r="AG207" s="83"/>
      <c r="AH207" s="144" t="s">
        <v>27</v>
      </c>
      <c r="AI207" s="83"/>
      <c r="AJ207" s="83"/>
      <c r="AK207" s="144" t="s">
        <v>27</v>
      </c>
      <c r="AL207" s="24"/>
      <c r="AN207" s="211" t="str">
        <f t="shared" si="43"/>
        <v/>
      </c>
      <c r="AO207" s="60">
        <f t="shared" si="44"/>
        <v>1</v>
      </c>
      <c r="AP207" s="60">
        <f t="shared" si="45"/>
        <v>0</v>
      </c>
      <c r="AQ207" s="60">
        <f t="shared" si="49"/>
        <v>0</v>
      </c>
      <c r="AR207" s="60">
        <f t="shared" si="46"/>
        <v>0</v>
      </c>
      <c r="AS207" s="60">
        <f t="shared" si="47"/>
        <v>0</v>
      </c>
      <c r="AT207" s="221">
        <f t="shared" si="48"/>
        <v>0</v>
      </c>
      <c r="AU207" s="36"/>
    </row>
    <row r="208" ht="15.75" customHeight="1">
      <c r="A208" s="292" t="s">
        <v>33</v>
      </c>
      <c r="B208" s="385" t="s">
        <v>1219</v>
      </c>
      <c r="C208" s="292">
        <v>4.4508898E7</v>
      </c>
      <c r="D208" s="292" t="s">
        <v>1220</v>
      </c>
      <c r="E208" s="217" t="s">
        <v>443</v>
      </c>
      <c r="F208" s="623" t="s">
        <v>1221</v>
      </c>
      <c r="G208" s="144" t="s">
        <v>27</v>
      </c>
      <c r="H208" s="83"/>
      <c r="I208" s="83"/>
      <c r="J208" s="86" t="s">
        <v>32</v>
      </c>
      <c r="K208" s="83"/>
      <c r="L208" s="83"/>
      <c r="M208" s="144" t="s">
        <v>27</v>
      </c>
      <c r="N208" s="83"/>
      <c r="O208" s="83"/>
      <c r="P208" s="144" t="s">
        <v>27</v>
      </c>
      <c r="Q208" s="83"/>
      <c r="R208" s="83"/>
      <c r="S208" s="144" t="s">
        <v>27</v>
      </c>
      <c r="T208" s="83"/>
      <c r="U208" s="144" t="s">
        <v>27</v>
      </c>
      <c r="V208" s="144" t="s">
        <v>27</v>
      </c>
      <c r="W208" s="83"/>
      <c r="X208" s="83"/>
      <c r="Y208" s="144" t="s">
        <v>27</v>
      </c>
      <c r="Z208" s="83"/>
      <c r="AA208" s="83"/>
      <c r="AB208" s="144" t="s">
        <v>27</v>
      </c>
      <c r="AC208" s="83"/>
      <c r="AD208" s="83"/>
      <c r="AE208" s="144" t="s">
        <v>27</v>
      </c>
      <c r="AF208" s="83"/>
      <c r="AG208" s="83"/>
      <c r="AH208" s="144" t="s">
        <v>27</v>
      </c>
      <c r="AI208" s="83"/>
      <c r="AJ208" s="83"/>
      <c r="AK208" s="144" t="s">
        <v>27</v>
      </c>
      <c r="AL208" s="24"/>
      <c r="AN208" s="211" t="str">
        <f t="shared" si="43"/>
        <v/>
      </c>
      <c r="AO208" s="60">
        <f t="shared" si="44"/>
        <v>0</v>
      </c>
      <c r="AP208" s="60">
        <f t="shared" si="45"/>
        <v>0</v>
      </c>
      <c r="AQ208" s="60">
        <f t="shared" si="49"/>
        <v>0</v>
      </c>
      <c r="AR208" s="60">
        <f t="shared" si="46"/>
        <v>0</v>
      </c>
      <c r="AS208" s="60">
        <f t="shared" si="47"/>
        <v>0</v>
      </c>
      <c r="AT208" s="221">
        <f t="shared" si="48"/>
        <v>0</v>
      </c>
      <c r="AU208" s="36"/>
    </row>
    <row r="209" ht="15.75" customHeight="1">
      <c r="A209" s="624" t="s">
        <v>33</v>
      </c>
      <c r="B209" s="578" t="s">
        <v>1222</v>
      </c>
      <c r="C209" s="292">
        <v>4.4698317E7</v>
      </c>
      <c r="D209" s="108" t="s">
        <v>1223</v>
      </c>
      <c r="E209" s="217" t="s">
        <v>443</v>
      </c>
      <c r="F209" s="625" t="s">
        <v>668</v>
      </c>
      <c r="G209" s="144" t="s">
        <v>198</v>
      </c>
      <c r="H209" s="83"/>
      <c r="I209" s="83"/>
      <c r="J209" s="144" t="s">
        <v>18</v>
      </c>
      <c r="K209" s="83"/>
      <c r="L209" s="83"/>
      <c r="M209" s="448" t="s">
        <v>19</v>
      </c>
      <c r="N209" s="83"/>
      <c r="O209" s="83"/>
      <c r="P209" s="144" t="s">
        <v>27</v>
      </c>
      <c r="Q209" s="83"/>
      <c r="R209" s="83"/>
      <c r="S209" s="144" t="s">
        <v>27</v>
      </c>
      <c r="T209" s="83"/>
      <c r="U209" s="144" t="s">
        <v>18</v>
      </c>
      <c r="V209" s="144" t="s">
        <v>27</v>
      </c>
      <c r="W209" s="83"/>
      <c r="X209" s="83"/>
      <c r="Y209" s="144" t="s">
        <v>27</v>
      </c>
      <c r="Z209" s="83"/>
      <c r="AA209" s="83"/>
      <c r="AB209" s="144" t="s">
        <v>18</v>
      </c>
      <c r="AC209" s="83"/>
      <c r="AD209" s="83"/>
      <c r="AE209" s="230" t="s">
        <v>19</v>
      </c>
      <c r="AF209" s="83"/>
      <c r="AG209" s="83"/>
      <c r="AH209" s="230" t="s">
        <v>19</v>
      </c>
      <c r="AI209" s="83"/>
      <c r="AJ209" s="83"/>
      <c r="AK209" s="144" t="s">
        <v>27</v>
      </c>
      <c r="AL209" s="24"/>
      <c r="AN209" s="211" t="str">
        <f t="shared" si="43"/>
        <v>NO CORRESPONDE FRANCO</v>
      </c>
      <c r="AO209" s="60">
        <f t="shared" si="44"/>
        <v>3</v>
      </c>
      <c r="AP209" s="60">
        <f t="shared" si="45"/>
        <v>3</v>
      </c>
      <c r="AQ209" s="60">
        <f t="shared" si="49"/>
        <v>0</v>
      </c>
      <c r="AR209" s="60">
        <f t="shared" si="46"/>
        <v>0</v>
      </c>
      <c r="AS209" s="60">
        <f t="shared" si="47"/>
        <v>0</v>
      </c>
      <c r="AT209" s="221">
        <f t="shared" si="48"/>
        <v>3</v>
      </c>
      <c r="AU209" s="36"/>
    </row>
    <row r="210" ht="15.75" customHeight="1">
      <c r="A210" s="67" t="s">
        <v>33</v>
      </c>
      <c r="B210" s="67" t="s">
        <v>1224</v>
      </c>
      <c r="C210" s="67">
        <v>4.3089412E7</v>
      </c>
      <c r="D210" s="67" t="s">
        <v>1225</v>
      </c>
      <c r="E210" s="66" t="s">
        <v>233</v>
      </c>
      <c r="F210" s="626" t="s">
        <v>1226</v>
      </c>
      <c r="G210" s="144" t="s">
        <v>27</v>
      </c>
      <c r="H210" s="83"/>
      <c r="I210" s="83"/>
      <c r="J210" s="144" t="s">
        <v>27</v>
      </c>
      <c r="K210" s="83"/>
      <c r="L210" s="83"/>
      <c r="M210" s="144" t="s">
        <v>27</v>
      </c>
      <c r="N210" s="83"/>
      <c r="O210" s="83"/>
      <c r="P210" s="144" t="s">
        <v>27</v>
      </c>
      <c r="Q210" s="83"/>
      <c r="R210" s="83"/>
      <c r="S210" s="144" t="s">
        <v>27</v>
      </c>
      <c r="T210" s="83"/>
      <c r="U210" s="144" t="s">
        <v>27</v>
      </c>
      <c r="V210" s="144" t="s">
        <v>27</v>
      </c>
      <c r="W210" s="83"/>
      <c r="X210" s="83"/>
      <c r="Y210" s="144" t="s">
        <v>27</v>
      </c>
      <c r="Z210" s="83"/>
      <c r="AA210" s="83"/>
      <c r="AB210" s="144" t="s">
        <v>27</v>
      </c>
      <c r="AC210" s="83"/>
      <c r="AD210" s="83"/>
      <c r="AE210" s="144" t="s">
        <v>120</v>
      </c>
      <c r="AF210" s="83"/>
      <c r="AG210" s="83"/>
      <c r="AH210" s="144" t="s">
        <v>27</v>
      </c>
      <c r="AI210" s="83"/>
      <c r="AJ210" s="83"/>
      <c r="AK210" s="144" t="s">
        <v>27</v>
      </c>
      <c r="AL210" s="24"/>
      <c r="AN210" s="211" t="str">
        <f t="shared" si="43"/>
        <v/>
      </c>
      <c r="AO210" s="60">
        <f t="shared" si="44"/>
        <v>0</v>
      </c>
      <c r="AP210" s="60">
        <f t="shared" si="45"/>
        <v>0</v>
      </c>
      <c r="AQ210" s="60">
        <f t="shared" si="49"/>
        <v>0</v>
      </c>
      <c r="AR210" s="60">
        <f t="shared" si="46"/>
        <v>0</v>
      </c>
      <c r="AS210" s="60">
        <f t="shared" si="47"/>
        <v>0</v>
      </c>
      <c r="AT210" s="221">
        <f t="shared" si="48"/>
        <v>0</v>
      </c>
      <c r="AU210" s="36"/>
    </row>
    <row r="211" ht="15.75" customHeight="1">
      <c r="A211" s="115" t="s">
        <v>33</v>
      </c>
      <c r="B211" s="220" t="s">
        <v>1227</v>
      </c>
      <c r="C211" s="115">
        <v>4.5983709E7</v>
      </c>
      <c r="D211" s="115" t="s">
        <v>1228</v>
      </c>
      <c r="E211" s="115" t="s">
        <v>303</v>
      </c>
      <c r="F211" s="627" t="s">
        <v>1229</v>
      </c>
      <c r="G211" s="144" t="s">
        <v>198</v>
      </c>
      <c r="H211" s="83"/>
      <c r="I211" s="83"/>
      <c r="J211" s="144" t="s">
        <v>18</v>
      </c>
      <c r="K211" s="83"/>
      <c r="L211" s="83"/>
      <c r="M211" s="144" t="s">
        <v>27</v>
      </c>
      <c r="N211" s="83"/>
      <c r="O211" s="83"/>
      <c r="P211" s="144" t="s">
        <v>27</v>
      </c>
      <c r="Q211" s="83"/>
      <c r="R211" s="83"/>
      <c r="S211" s="144" t="s">
        <v>27</v>
      </c>
      <c r="T211" s="83"/>
      <c r="U211" s="144" t="s">
        <v>27</v>
      </c>
      <c r="V211" s="144" t="s">
        <v>27</v>
      </c>
      <c r="W211" s="83"/>
      <c r="X211" s="83"/>
      <c r="Y211" s="144" t="s">
        <v>27</v>
      </c>
      <c r="Z211" s="83"/>
      <c r="AA211" s="83"/>
      <c r="AB211" s="144" t="s">
        <v>27</v>
      </c>
      <c r="AC211" s="83"/>
      <c r="AD211" s="83"/>
      <c r="AE211" s="144" t="s">
        <v>120</v>
      </c>
      <c r="AF211" s="83"/>
      <c r="AG211" s="83"/>
      <c r="AH211" s="144" t="s">
        <v>27</v>
      </c>
      <c r="AI211" s="83"/>
      <c r="AJ211" s="83"/>
      <c r="AK211" s="144" t="s">
        <v>27</v>
      </c>
      <c r="AL211" s="24"/>
      <c r="AN211" s="211" t="str">
        <f t="shared" si="43"/>
        <v/>
      </c>
      <c r="AO211" s="60">
        <f t="shared" si="44"/>
        <v>1</v>
      </c>
      <c r="AP211" s="60">
        <f t="shared" si="45"/>
        <v>0</v>
      </c>
      <c r="AQ211" s="60">
        <f t="shared" si="49"/>
        <v>0</v>
      </c>
      <c r="AR211" s="60">
        <f t="shared" si="46"/>
        <v>0</v>
      </c>
      <c r="AS211" s="60">
        <f t="shared" si="47"/>
        <v>0</v>
      </c>
      <c r="AT211" s="221">
        <f t="shared" si="48"/>
        <v>0</v>
      </c>
      <c r="AU211" s="36"/>
    </row>
    <row r="212" ht="15.75" customHeight="1">
      <c r="A212" s="409" t="s">
        <v>33</v>
      </c>
      <c r="B212" s="410" t="s">
        <v>627</v>
      </c>
      <c r="C212" s="409">
        <v>4.5428311E7</v>
      </c>
      <c r="D212" s="409" t="s">
        <v>629</v>
      </c>
      <c r="E212" s="217" t="s">
        <v>443</v>
      </c>
      <c r="F212" s="410" t="s">
        <v>628</v>
      </c>
      <c r="G212" s="131" t="s">
        <v>198</v>
      </c>
      <c r="H212" s="79"/>
      <c r="I212" s="79"/>
      <c r="J212" s="131" t="s">
        <v>18</v>
      </c>
      <c r="K212" s="79"/>
      <c r="L212" s="79"/>
      <c r="M212" s="131" t="s">
        <v>27</v>
      </c>
      <c r="N212" s="79"/>
      <c r="O212" s="79"/>
      <c r="P212" s="131" t="s">
        <v>27</v>
      </c>
      <c r="Q212" s="79"/>
      <c r="R212" s="79"/>
      <c r="S212" s="131" t="s">
        <v>27</v>
      </c>
      <c r="T212" s="79"/>
      <c r="U212" s="131" t="s">
        <v>27</v>
      </c>
      <c r="V212" s="131" t="s">
        <v>27</v>
      </c>
      <c r="W212" s="79"/>
      <c r="X212" s="79"/>
      <c r="Y212" s="131" t="s">
        <v>27</v>
      </c>
      <c r="Z212" s="79"/>
      <c r="AA212" s="83"/>
      <c r="AB212" s="144" t="s">
        <v>27</v>
      </c>
      <c r="AC212" s="83"/>
      <c r="AD212" s="83"/>
      <c r="AE212" s="144" t="s">
        <v>120</v>
      </c>
      <c r="AF212" s="83"/>
      <c r="AG212" s="83"/>
      <c r="AH212" s="86" t="s">
        <v>32</v>
      </c>
      <c r="AI212" s="83"/>
      <c r="AJ212" s="83"/>
      <c r="AK212" s="144" t="s">
        <v>27</v>
      </c>
      <c r="AL212" s="628" t="s">
        <v>635</v>
      </c>
      <c r="AM212" s="60" t="str">
        <f t="shared" ref="AM212:AN212" si="50">IFS(AN212&gt;3,"NO CORRESPONDE FRANCO",AS212&gt;0,"NO CORRESPONDE FRANCO",AS212=0,"")</f>
        <v>NO CORRESPONDE FRANCO</v>
      </c>
      <c r="AN212" s="211" t="str">
        <f t="shared" si="50"/>
        <v/>
      </c>
      <c r="AO212" s="60">
        <f t="shared" ref="AO212:AO213" si="52">COUNTIF($F212:$AJ212,"LM")</f>
        <v>0</v>
      </c>
      <c r="AP212" s="60">
        <f t="shared" ref="AP212:AP213" si="53">COUNTIF($F212:$AJ212,"FaC")</f>
        <v>0</v>
      </c>
      <c r="AQ212" s="60">
        <f t="shared" ref="AQ212:AQ213" si="54">COUNTIF($F212:$AJ212,"LxE")</f>
        <v>0</v>
      </c>
      <c r="AR212" s="60">
        <f t="shared" ref="AR212:AR213" si="55">COUNTIF($F212:$AJ212,"LA")</f>
        <v>0</v>
      </c>
      <c r="AS212" s="60">
        <f t="shared" ref="AS212:AS213" si="56">SUM(AO212:AR212)</f>
        <v>0</v>
      </c>
      <c r="AT212" s="82"/>
      <c r="AU212" s="82"/>
    </row>
    <row r="213" ht="15.75" customHeight="1">
      <c r="A213" s="66" t="s">
        <v>33</v>
      </c>
      <c r="B213" s="67" t="s">
        <v>639</v>
      </c>
      <c r="C213" s="66">
        <v>4.2118147E7</v>
      </c>
      <c r="D213" s="66" t="s">
        <v>640</v>
      </c>
      <c r="E213" s="629" t="s">
        <v>233</v>
      </c>
      <c r="F213" s="67" t="s">
        <v>465</v>
      </c>
      <c r="G213" s="131" t="s">
        <v>198</v>
      </c>
      <c r="H213" s="79"/>
      <c r="I213" s="79"/>
      <c r="J213" s="131" t="s">
        <v>18</v>
      </c>
      <c r="K213" s="79"/>
      <c r="L213" s="79"/>
      <c r="M213" s="131" t="s">
        <v>27</v>
      </c>
      <c r="N213" s="79"/>
      <c r="O213" s="79"/>
      <c r="P213" s="131" t="s">
        <v>27</v>
      </c>
      <c r="Q213" s="79"/>
      <c r="R213" s="79"/>
      <c r="S213" s="131" t="s">
        <v>27</v>
      </c>
      <c r="T213" s="79"/>
      <c r="U213" s="131" t="s">
        <v>27</v>
      </c>
      <c r="V213" s="131" t="s">
        <v>27</v>
      </c>
      <c r="W213" s="79"/>
      <c r="X213" s="79"/>
      <c r="Y213" s="131" t="s">
        <v>27</v>
      </c>
      <c r="Z213" s="79"/>
      <c r="AA213" s="83"/>
      <c r="AB213" s="144" t="s">
        <v>27</v>
      </c>
      <c r="AC213" s="83"/>
      <c r="AD213" s="83"/>
      <c r="AE213" s="144" t="s">
        <v>120</v>
      </c>
      <c r="AF213" s="83"/>
      <c r="AG213" s="83"/>
      <c r="AH213" s="144" t="s">
        <v>27</v>
      </c>
      <c r="AI213" s="83"/>
      <c r="AJ213" s="83"/>
      <c r="AK213" s="144" t="s">
        <v>27</v>
      </c>
      <c r="AL213" s="290"/>
      <c r="AM213" s="60" t="str">
        <f t="shared" ref="AM213:AN213" si="51">IFS(AN213&gt;3,"NO CORRESPONDE FRANCO",AS213&gt;0,"NO CORRESPONDE FRANCO",AS213=0,"")</f>
        <v>NO CORRESPONDE FRANCO</v>
      </c>
      <c r="AN213" s="211" t="str">
        <f t="shared" si="51"/>
        <v/>
      </c>
      <c r="AO213" s="60">
        <f t="shared" si="52"/>
        <v>0</v>
      </c>
      <c r="AP213" s="60">
        <f t="shared" si="53"/>
        <v>0</v>
      </c>
      <c r="AQ213" s="60">
        <f t="shared" si="54"/>
        <v>0</v>
      </c>
      <c r="AR213" s="60">
        <f t="shared" si="55"/>
        <v>0</v>
      </c>
      <c r="AS213" s="60">
        <f t="shared" si="56"/>
        <v>0</v>
      </c>
      <c r="AT213" s="82"/>
      <c r="AU213" s="82"/>
    </row>
    <row r="214" ht="15.75" customHeight="1">
      <c r="A214" s="630" t="s">
        <v>454</v>
      </c>
      <c r="B214" s="6"/>
      <c r="C214" s="6"/>
      <c r="D214" s="6"/>
      <c r="E214" s="6"/>
      <c r="F214" s="6"/>
      <c r="G214" s="6"/>
      <c r="H214" s="6"/>
      <c r="I214" s="6"/>
      <c r="J214" s="6"/>
      <c r="K214" s="6"/>
      <c r="L214" s="6"/>
      <c r="M214" s="6"/>
      <c r="N214" s="6"/>
      <c r="O214" s="6"/>
      <c r="P214" s="6"/>
      <c r="Q214" s="6"/>
      <c r="R214" s="6"/>
      <c r="S214" s="6"/>
      <c r="T214" s="6"/>
      <c r="U214" s="6"/>
      <c r="V214" s="6"/>
      <c r="W214" s="6"/>
      <c r="X214" s="6"/>
      <c r="Y214" s="6"/>
      <c r="Z214" s="6"/>
      <c r="AA214" s="6"/>
      <c r="AB214" s="6"/>
      <c r="AC214" s="6"/>
      <c r="AD214" s="6"/>
      <c r="AE214" s="6"/>
      <c r="AF214" s="6"/>
      <c r="AG214" s="6"/>
      <c r="AH214" s="6"/>
      <c r="AI214" s="6"/>
      <c r="AJ214" s="6"/>
      <c r="AK214" s="11"/>
      <c r="AL214" s="24"/>
    </row>
    <row r="215" ht="15.75" customHeight="1">
      <c r="A215" s="76" t="s">
        <v>1035</v>
      </c>
      <c r="B215" s="251" t="s">
        <v>1051</v>
      </c>
      <c r="C215" s="76">
        <v>5048.0</v>
      </c>
      <c r="D215" s="76">
        <v>1.167653589E9</v>
      </c>
      <c r="E215" s="76" t="s">
        <v>707</v>
      </c>
      <c r="F215" s="568" t="s">
        <v>1052</v>
      </c>
      <c r="G215" s="144" t="s">
        <v>27</v>
      </c>
      <c r="H215" s="83"/>
      <c r="I215" s="83"/>
      <c r="J215" s="144" t="s">
        <v>27</v>
      </c>
      <c r="K215" s="83"/>
      <c r="L215" s="83"/>
      <c r="M215" s="144" t="s">
        <v>18</v>
      </c>
      <c r="N215" s="83"/>
      <c r="O215" s="83"/>
      <c r="P215" s="144" t="s">
        <v>27</v>
      </c>
      <c r="Q215" s="83"/>
      <c r="R215" s="83"/>
      <c r="S215" s="144" t="s">
        <v>27</v>
      </c>
      <c r="T215" s="83"/>
      <c r="U215" s="144" t="s">
        <v>27</v>
      </c>
      <c r="V215" s="144" t="s">
        <v>27</v>
      </c>
      <c r="W215" s="83"/>
      <c r="X215" s="83"/>
      <c r="Y215" s="144" t="s">
        <v>27</v>
      </c>
      <c r="Z215" s="83"/>
      <c r="AA215" s="83"/>
      <c r="AB215" s="121" t="s">
        <v>1171</v>
      </c>
      <c r="AC215" s="6"/>
      <c r="AD215" s="6"/>
      <c r="AE215" s="6"/>
      <c r="AF215" s="6"/>
      <c r="AG215" s="6"/>
      <c r="AH215" s="6"/>
      <c r="AI215" s="6"/>
      <c r="AJ215" s="6"/>
      <c r="AK215" s="11"/>
      <c r="AL215" s="50"/>
    </row>
    <row r="216" ht="15.75" customHeight="1">
      <c r="A216" s="190" t="s">
        <v>33</v>
      </c>
      <c r="B216" s="317" t="s">
        <v>1230</v>
      </c>
      <c r="C216" s="612">
        <v>4.143771E7</v>
      </c>
      <c r="D216" s="217" t="s">
        <v>1231</v>
      </c>
      <c r="E216" s="217" t="s">
        <v>533</v>
      </c>
      <c r="F216" s="631" t="s">
        <v>1232</v>
      </c>
      <c r="G216" s="144" t="s">
        <v>27</v>
      </c>
      <c r="H216" s="83"/>
      <c r="I216" s="83"/>
      <c r="J216" s="144" t="s">
        <v>27</v>
      </c>
      <c r="K216" s="83"/>
      <c r="L216" s="83"/>
      <c r="M216" s="144" t="s">
        <v>27</v>
      </c>
      <c r="N216" s="83"/>
      <c r="O216" s="83"/>
      <c r="P216" s="144" t="s">
        <v>27</v>
      </c>
      <c r="Q216" s="83"/>
      <c r="R216" s="83"/>
      <c r="S216" s="144" t="s">
        <v>27</v>
      </c>
      <c r="T216" s="83"/>
      <c r="U216" s="144" t="s">
        <v>27</v>
      </c>
      <c r="V216" s="86" t="s">
        <v>32</v>
      </c>
      <c r="W216" s="83"/>
      <c r="X216" s="83"/>
      <c r="Y216" s="144" t="s">
        <v>27</v>
      </c>
      <c r="Z216" s="83"/>
      <c r="AA216" s="83"/>
      <c r="AB216" s="144" t="s">
        <v>27</v>
      </c>
      <c r="AC216" s="83"/>
      <c r="AD216" s="83"/>
      <c r="AE216" s="144" t="s">
        <v>120</v>
      </c>
      <c r="AF216" s="83"/>
      <c r="AG216" s="83"/>
      <c r="AH216" s="144" t="s">
        <v>27</v>
      </c>
      <c r="AI216" s="83"/>
      <c r="AJ216" s="83"/>
      <c r="AK216" s="144" t="s">
        <v>27</v>
      </c>
      <c r="AL216" s="24"/>
      <c r="AN216" s="211" t="str">
        <f>IFS(AO216&gt;3,"NO CORRESPONDE FRANCO",AT216&gt;0,"NO CORRESPONDE FRANCO",AT216=0,"")</f>
        <v/>
      </c>
      <c r="AO216" s="60">
        <f>COUNTIF($G216:$AK216,"LLT")</f>
        <v>0</v>
      </c>
      <c r="AP216" s="60">
        <f>COUNTIF($G216:$AK216,"LM")</f>
        <v>0</v>
      </c>
      <c r="AQ216" s="60">
        <f>COUNTIF($G216:$AK216,"FaC")</f>
        <v>0</v>
      </c>
      <c r="AR216" s="60">
        <f>COUNTIF($G216:$AK216,"LxE")</f>
        <v>0</v>
      </c>
      <c r="AS216" s="60">
        <f>COUNTIF($G216:$AK216,"LA")</f>
        <v>0</v>
      </c>
      <c r="AT216" s="221">
        <f>SUM(AP216:AS216)</f>
        <v>0</v>
      </c>
      <c r="AU216" s="36"/>
    </row>
    <row r="217" ht="15.75" customHeight="1">
      <c r="A217" s="369" t="s">
        <v>495</v>
      </c>
      <c r="B217" s="6"/>
      <c r="C217" s="6"/>
      <c r="D217" s="6"/>
      <c r="E217" s="6"/>
      <c r="F217" s="6"/>
      <c r="G217" s="6"/>
      <c r="H217" s="6"/>
      <c r="I217" s="6"/>
      <c r="J217" s="6"/>
      <c r="K217" s="6"/>
      <c r="L217" s="6"/>
      <c r="M217" s="6"/>
      <c r="N217" s="6"/>
      <c r="O217" s="6"/>
      <c r="P217" s="6"/>
      <c r="Q217" s="6"/>
      <c r="R217" s="6"/>
      <c r="S217" s="6"/>
      <c r="T217" s="6"/>
      <c r="U217" s="6"/>
      <c r="V217" s="6"/>
      <c r="W217" s="6"/>
      <c r="X217" s="6"/>
      <c r="Y217" s="6"/>
      <c r="Z217" s="6"/>
      <c r="AA217" s="6"/>
      <c r="AB217" s="6"/>
      <c r="AC217" s="6"/>
      <c r="AD217" s="6"/>
      <c r="AE217" s="6"/>
      <c r="AF217" s="6"/>
      <c r="AG217" s="6"/>
      <c r="AH217" s="6"/>
      <c r="AI217" s="6"/>
      <c r="AJ217" s="6"/>
      <c r="AK217" s="11"/>
      <c r="AL217" s="24"/>
    </row>
    <row r="218" ht="15.75" customHeight="1">
      <c r="A218" s="190" t="s">
        <v>59</v>
      </c>
      <c r="B218" s="191" t="s">
        <v>1233</v>
      </c>
      <c r="C218" s="217">
        <v>2745.0</v>
      </c>
      <c r="D218" s="182" t="s">
        <v>1234</v>
      </c>
      <c r="E218" s="143" t="s">
        <v>1235</v>
      </c>
      <c r="F218" s="601" t="s">
        <v>1236</v>
      </c>
      <c r="G218" s="144" t="s">
        <v>27</v>
      </c>
      <c r="H218" s="76"/>
      <c r="I218" s="76"/>
      <c r="J218" s="86" t="s">
        <v>32</v>
      </c>
      <c r="K218" s="83"/>
      <c r="L218" s="83"/>
      <c r="M218" s="144" t="s">
        <v>27</v>
      </c>
      <c r="N218" s="83"/>
      <c r="O218" s="83"/>
      <c r="P218" s="144" t="s">
        <v>27</v>
      </c>
      <c r="Q218" s="83"/>
      <c r="R218" s="83"/>
      <c r="S218" s="144" t="s">
        <v>27</v>
      </c>
      <c r="T218" s="79"/>
      <c r="U218" s="131" t="s">
        <v>1237</v>
      </c>
      <c r="V218" s="79"/>
      <c r="W218" s="79"/>
      <c r="X218" s="79"/>
      <c r="Y218" s="79"/>
      <c r="Z218" s="79"/>
      <c r="AA218" s="79"/>
      <c r="AB218" s="131" t="s">
        <v>32</v>
      </c>
      <c r="AC218" s="79"/>
      <c r="AD218" s="79"/>
      <c r="AE218" s="79"/>
      <c r="AF218" s="79"/>
      <c r="AG218" s="79"/>
      <c r="AH218" s="79"/>
      <c r="AI218" s="172" t="s">
        <v>27</v>
      </c>
      <c r="AJ218" s="79"/>
      <c r="AK218" s="79"/>
      <c r="AL218" s="24"/>
    </row>
    <row r="219" ht="15.75" customHeight="1">
      <c r="A219" s="608" t="s">
        <v>990</v>
      </c>
      <c r="B219" s="317" t="s">
        <v>1238</v>
      </c>
      <c r="C219" s="609">
        <v>34298.0</v>
      </c>
      <c r="D219" s="182" t="s">
        <v>1239</v>
      </c>
      <c r="E219" s="93" t="s">
        <v>533</v>
      </c>
      <c r="F219" s="601" t="s">
        <v>1240</v>
      </c>
      <c r="G219" s="144" t="s">
        <v>27</v>
      </c>
      <c r="H219" s="83"/>
      <c r="I219" s="83"/>
      <c r="J219" s="144" t="s">
        <v>120</v>
      </c>
      <c r="K219" s="83"/>
      <c r="L219" s="83"/>
      <c r="M219" s="144" t="s">
        <v>27</v>
      </c>
      <c r="N219" s="83"/>
      <c r="O219" s="83"/>
      <c r="P219" s="144" t="s">
        <v>27</v>
      </c>
      <c r="Q219" s="83"/>
      <c r="R219" s="83"/>
      <c r="S219" s="144" t="s">
        <v>27</v>
      </c>
      <c r="T219" s="83"/>
      <c r="U219" s="144" t="s">
        <v>27</v>
      </c>
      <c r="V219" s="144" t="s">
        <v>27</v>
      </c>
      <c r="W219" s="83"/>
      <c r="X219" s="83"/>
      <c r="Y219" s="144" t="s">
        <v>27</v>
      </c>
      <c r="Z219" s="83"/>
      <c r="AA219" s="83"/>
      <c r="AB219" s="144" t="s">
        <v>27</v>
      </c>
      <c r="AC219" s="83"/>
      <c r="AD219" s="83"/>
      <c r="AE219" s="144" t="s">
        <v>120</v>
      </c>
      <c r="AF219" s="83"/>
      <c r="AG219" s="83"/>
      <c r="AH219" s="144" t="s">
        <v>27</v>
      </c>
      <c r="AI219" s="83"/>
      <c r="AJ219" s="83"/>
      <c r="AK219" s="144" t="s">
        <v>27</v>
      </c>
      <c r="AL219" s="24"/>
      <c r="AN219" s="211" t="str">
        <f>IFS(AO219&gt;3,"NO CORRESPONDE FRANCO",AT219&gt;0,"NO CORRESPONDE FRANCO",AT219=0,"")</f>
        <v/>
      </c>
      <c r="AO219" s="60">
        <f>COUNTIF($G219:$AK219,"LLT")</f>
        <v>0</v>
      </c>
      <c r="AP219" s="60">
        <f>COUNTIF($G219:$AK219,"LM")</f>
        <v>0</v>
      </c>
      <c r="AQ219" s="60">
        <f>COUNTIF($G219:$AK219,"FaC")</f>
        <v>0</v>
      </c>
      <c r="AR219" s="60">
        <f>COUNTIF($G219:$AK219,"LxE")</f>
        <v>0</v>
      </c>
      <c r="AS219" s="60">
        <f>COUNTIF($G219:$AK219,"LA")</f>
        <v>0</v>
      </c>
      <c r="AT219" s="221">
        <f>SUM(AP219:AS219)</f>
        <v>0</v>
      </c>
      <c r="AU219" s="36"/>
    </row>
    <row r="220" ht="15.75" customHeight="1">
      <c r="B220" s="399"/>
      <c r="F220" s="399"/>
      <c r="G220" s="24"/>
      <c r="I220" s="24"/>
      <c r="O220" s="24"/>
      <c r="Q220" s="24"/>
      <c r="R220" s="24"/>
      <c r="U220" s="24"/>
      <c r="X220" s="24"/>
      <c r="Z220" s="24"/>
      <c r="AL220" s="24"/>
    </row>
    <row r="221" ht="15.75" customHeight="1">
      <c r="B221" s="399"/>
      <c r="F221" s="399"/>
      <c r="G221" s="24"/>
      <c r="I221" s="24"/>
      <c r="O221" s="24"/>
      <c r="Q221" s="24"/>
      <c r="R221" s="24"/>
      <c r="U221" s="24"/>
      <c r="X221" s="24"/>
      <c r="Z221" s="24"/>
      <c r="AL221" s="24"/>
    </row>
    <row r="222" ht="15.75" customHeight="1">
      <c r="A222" s="65" t="s">
        <v>1241</v>
      </c>
      <c r="B222" s="6"/>
      <c r="C222" s="6"/>
      <c r="D222" s="6"/>
      <c r="E222" s="6"/>
      <c r="F222" s="6"/>
      <c r="G222" s="6"/>
      <c r="H222" s="6"/>
      <c r="I222" s="6"/>
      <c r="J222" s="6"/>
      <c r="K222" s="6"/>
      <c r="L222" s="6"/>
      <c r="M222" s="6"/>
      <c r="N222" s="6"/>
      <c r="O222" s="6"/>
      <c r="P222" s="6"/>
      <c r="Q222" s="6"/>
      <c r="R222" s="6"/>
      <c r="S222" s="6"/>
      <c r="T222" s="6"/>
      <c r="U222" s="6"/>
      <c r="V222" s="6"/>
      <c r="W222" s="6"/>
      <c r="X222" s="6"/>
      <c r="Y222" s="6"/>
      <c r="Z222" s="6"/>
      <c r="AA222" s="6"/>
      <c r="AB222" s="6"/>
      <c r="AC222" s="6"/>
      <c r="AD222" s="6"/>
      <c r="AE222" s="6"/>
      <c r="AF222" s="6"/>
      <c r="AG222" s="6"/>
      <c r="AH222" s="6"/>
      <c r="AI222" s="6"/>
      <c r="AJ222" s="6"/>
      <c r="AK222" s="11"/>
      <c r="AL222" s="24"/>
    </row>
    <row r="223" ht="15.75" customHeight="1">
      <c r="A223" s="560" t="s">
        <v>1242</v>
      </c>
      <c r="B223" s="2"/>
      <c r="C223" s="2"/>
      <c r="D223" s="2"/>
      <c r="E223" s="2"/>
      <c r="F223" s="3"/>
      <c r="G223" s="9">
        <v>1.0</v>
      </c>
      <c r="H223" s="9">
        <v>2.0</v>
      </c>
      <c r="I223" s="9">
        <v>3.0</v>
      </c>
      <c r="J223" s="9">
        <v>4.0</v>
      </c>
      <c r="K223" s="9">
        <v>5.0</v>
      </c>
      <c r="L223" s="9">
        <v>6.0</v>
      </c>
      <c r="M223" s="9">
        <v>7.0</v>
      </c>
      <c r="N223" s="9">
        <v>8.0</v>
      </c>
      <c r="O223" s="9">
        <v>9.0</v>
      </c>
      <c r="P223" s="9">
        <v>10.0</v>
      </c>
      <c r="Q223" s="9">
        <v>11.0</v>
      </c>
      <c r="R223" s="9">
        <v>12.0</v>
      </c>
      <c r="S223" s="9">
        <v>13.0</v>
      </c>
      <c r="T223" s="9">
        <v>14.0</v>
      </c>
      <c r="U223" s="9">
        <v>15.0</v>
      </c>
      <c r="V223" s="9">
        <v>16.0</v>
      </c>
      <c r="W223" s="9">
        <v>17.0</v>
      </c>
      <c r="X223" s="9">
        <v>18.0</v>
      </c>
      <c r="Y223" s="9">
        <v>19.0</v>
      </c>
      <c r="Z223" s="9">
        <v>20.0</v>
      </c>
      <c r="AA223" s="9">
        <v>21.0</v>
      </c>
      <c r="AB223" s="9">
        <v>22.0</v>
      </c>
      <c r="AC223" s="9">
        <v>23.0</v>
      </c>
      <c r="AD223" s="9">
        <v>24.0</v>
      </c>
      <c r="AE223" s="9">
        <v>25.0</v>
      </c>
      <c r="AF223" s="9">
        <v>26.0</v>
      </c>
      <c r="AG223" s="9">
        <v>27.0</v>
      </c>
      <c r="AH223" s="9">
        <v>28.0</v>
      </c>
      <c r="AI223" s="9">
        <v>29.0</v>
      </c>
      <c r="AJ223" s="9">
        <v>30.0</v>
      </c>
      <c r="AK223" s="9">
        <v>31.0</v>
      </c>
      <c r="AL223" s="24"/>
    </row>
    <row r="224" ht="15.75" customHeight="1">
      <c r="A224" s="632" t="s">
        <v>4</v>
      </c>
      <c r="B224" s="633" t="s">
        <v>1243</v>
      </c>
      <c r="C224" s="634" t="s">
        <v>6</v>
      </c>
      <c r="D224" s="634" t="s">
        <v>8</v>
      </c>
      <c r="E224" s="635" t="s">
        <v>30</v>
      </c>
      <c r="F224" s="633" t="s">
        <v>7</v>
      </c>
      <c r="G224" s="9" t="s">
        <v>9</v>
      </c>
      <c r="H224" s="9" t="s">
        <v>10</v>
      </c>
      <c r="I224" s="9" t="s">
        <v>11</v>
      </c>
      <c r="J224" s="9" t="s">
        <v>12</v>
      </c>
      <c r="K224" s="9" t="s">
        <v>12</v>
      </c>
      <c r="L224" s="9" t="s">
        <v>13</v>
      </c>
      <c r="M224" s="9" t="s">
        <v>15</v>
      </c>
      <c r="N224" s="9" t="s">
        <v>9</v>
      </c>
      <c r="O224" s="9" t="s">
        <v>10</v>
      </c>
      <c r="P224" s="9" t="s">
        <v>11</v>
      </c>
      <c r="Q224" s="9" t="s">
        <v>12</v>
      </c>
      <c r="R224" s="9" t="s">
        <v>12</v>
      </c>
      <c r="S224" s="9" t="s">
        <v>13</v>
      </c>
      <c r="T224" s="9" t="s">
        <v>15</v>
      </c>
      <c r="U224" s="9" t="s">
        <v>9</v>
      </c>
      <c r="V224" s="9" t="s">
        <v>10</v>
      </c>
      <c r="W224" s="9" t="s">
        <v>11</v>
      </c>
      <c r="X224" s="9" t="s">
        <v>12</v>
      </c>
      <c r="Y224" s="9" t="s">
        <v>12</v>
      </c>
      <c r="Z224" s="9" t="s">
        <v>13</v>
      </c>
      <c r="AA224" s="9" t="s">
        <v>15</v>
      </c>
      <c r="AB224" s="9" t="s">
        <v>9</v>
      </c>
      <c r="AC224" s="9" t="s">
        <v>10</v>
      </c>
      <c r="AD224" s="9" t="s">
        <v>11</v>
      </c>
      <c r="AE224" s="9" t="s">
        <v>12</v>
      </c>
      <c r="AF224" s="9" t="s">
        <v>12</v>
      </c>
      <c r="AG224" s="9" t="s">
        <v>13</v>
      </c>
      <c r="AH224" s="13" t="s">
        <v>15</v>
      </c>
      <c r="AI224" s="9" t="s">
        <v>9</v>
      </c>
      <c r="AJ224" s="9" t="s">
        <v>10</v>
      </c>
      <c r="AK224" s="9" t="s">
        <v>11</v>
      </c>
      <c r="AL224" s="24"/>
    </row>
    <row r="225" ht="15.75" customHeight="1">
      <c r="A225" s="455" t="s">
        <v>35</v>
      </c>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c r="AC225" s="2"/>
      <c r="AD225" s="2"/>
      <c r="AE225" s="2"/>
      <c r="AF225" s="2"/>
      <c r="AG225" s="2"/>
      <c r="AH225" s="2"/>
      <c r="AI225" s="2"/>
      <c r="AJ225" s="561"/>
      <c r="AK225" s="71"/>
      <c r="AL225" s="24"/>
    </row>
    <row r="226" ht="15.75" customHeight="1">
      <c r="A226" s="190" t="s">
        <v>59</v>
      </c>
      <c r="B226" s="317" t="s">
        <v>1030</v>
      </c>
      <c r="C226" s="182">
        <v>5691.0</v>
      </c>
      <c r="D226" s="182" t="s">
        <v>1031</v>
      </c>
      <c r="E226" s="182" t="s">
        <v>35</v>
      </c>
      <c r="F226" s="562" t="s">
        <v>1032</v>
      </c>
      <c r="G226" s="144" t="s">
        <v>27</v>
      </c>
      <c r="H226" s="144" t="s">
        <v>27</v>
      </c>
      <c r="I226" s="83"/>
      <c r="J226" s="83"/>
      <c r="K226" s="144" t="s">
        <v>27</v>
      </c>
      <c r="L226" s="83"/>
      <c r="M226" s="83"/>
      <c r="N226" s="144" t="s">
        <v>27</v>
      </c>
      <c r="O226" s="83"/>
      <c r="P226" s="83"/>
      <c r="Q226" s="144" t="s">
        <v>27</v>
      </c>
      <c r="R226" s="83"/>
      <c r="S226" s="83"/>
      <c r="T226" s="144" t="s">
        <v>27</v>
      </c>
      <c r="U226" s="83"/>
      <c r="V226" s="83"/>
      <c r="W226" s="144" t="s">
        <v>27</v>
      </c>
      <c r="X226" s="83"/>
      <c r="Y226" s="83"/>
      <c r="Z226" s="144" t="s">
        <v>27</v>
      </c>
      <c r="AA226" s="83"/>
      <c r="AB226" s="144" t="s">
        <v>27</v>
      </c>
      <c r="AC226" s="121" t="s">
        <v>1171</v>
      </c>
      <c r="AD226" s="6"/>
      <c r="AE226" s="6"/>
      <c r="AF226" s="6"/>
      <c r="AG226" s="6"/>
      <c r="AH226" s="6"/>
      <c r="AI226" s="6"/>
      <c r="AJ226" s="6"/>
      <c r="AK226" s="11"/>
      <c r="AL226" s="24"/>
    </row>
    <row r="227" ht="15.75" customHeight="1">
      <c r="A227" s="190" t="s">
        <v>59</v>
      </c>
      <c r="B227" s="317" t="s">
        <v>1244</v>
      </c>
      <c r="C227" s="182">
        <v>1662.0</v>
      </c>
      <c r="D227" s="182" t="s">
        <v>1245</v>
      </c>
      <c r="E227" s="182" t="s">
        <v>148</v>
      </c>
      <c r="F227" s="562" t="s">
        <v>1246</v>
      </c>
      <c r="G227" s="144" t="s">
        <v>27</v>
      </c>
      <c r="H227" s="76"/>
      <c r="I227" s="83"/>
      <c r="J227" s="83"/>
      <c r="K227" s="76"/>
      <c r="L227" s="83"/>
      <c r="M227" s="83"/>
      <c r="N227" s="144" t="s">
        <v>27</v>
      </c>
      <c r="O227" s="83"/>
      <c r="P227" s="83"/>
      <c r="Q227" s="144" t="s">
        <v>27</v>
      </c>
      <c r="R227" s="83"/>
      <c r="S227" s="83"/>
      <c r="T227" s="144" t="s">
        <v>27</v>
      </c>
      <c r="U227" s="83"/>
      <c r="V227" s="83"/>
      <c r="W227" s="144" t="s">
        <v>27</v>
      </c>
      <c r="X227" s="83"/>
      <c r="Y227" s="83"/>
      <c r="Z227" s="144" t="s">
        <v>27</v>
      </c>
      <c r="AA227" s="83"/>
      <c r="AB227" s="144" t="s">
        <v>27</v>
      </c>
      <c r="AC227" s="144" t="s">
        <v>27</v>
      </c>
      <c r="AD227" s="83"/>
      <c r="AE227" s="83"/>
      <c r="AF227" s="144" t="s">
        <v>27</v>
      </c>
      <c r="AG227" s="83"/>
      <c r="AH227" s="83"/>
      <c r="AI227" s="144" t="s">
        <v>27</v>
      </c>
      <c r="AJ227" s="83"/>
      <c r="AK227" s="83"/>
      <c r="AL227" s="24"/>
    </row>
    <row r="228" ht="15.75" customHeight="1">
      <c r="A228" s="455"/>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c r="AB228" s="2"/>
      <c r="AC228" s="2"/>
      <c r="AD228" s="2"/>
      <c r="AE228" s="2"/>
      <c r="AF228" s="2"/>
      <c r="AG228" s="2"/>
      <c r="AH228" s="2"/>
      <c r="AI228" s="2"/>
      <c r="AJ228" s="3"/>
      <c r="AK228" s="90"/>
      <c r="AL228" s="24"/>
    </row>
    <row r="229" ht="15.75" customHeight="1">
      <c r="A229" s="636" t="s">
        <v>59</v>
      </c>
      <c r="B229" s="637" t="s">
        <v>1247</v>
      </c>
      <c r="C229" s="638">
        <v>5193.0</v>
      </c>
      <c r="D229" s="638">
        <v>2.32415566385E11</v>
      </c>
      <c r="E229" s="182" t="s">
        <v>148</v>
      </c>
      <c r="F229" s="639" t="s">
        <v>1248</v>
      </c>
      <c r="G229" s="144" t="s">
        <v>27</v>
      </c>
      <c r="H229" s="144" t="s">
        <v>27</v>
      </c>
      <c r="I229" s="83"/>
      <c r="J229" s="83"/>
      <c r="K229" s="144" t="s">
        <v>27</v>
      </c>
      <c r="L229" s="83"/>
      <c r="M229" s="83"/>
      <c r="N229" s="144" t="s">
        <v>27</v>
      </c>
      <c r="O229" s="83"/>
      <c r="P229" s="83"/>
      <c r="Q229" s="144" t="s">
        <v>27</v>
      </c>
      <c r="R229" s="83"/>
      <c r="S229" s="83"/>
      <c r="T229" s="144" t="s">
        <v>27</v>
      </c>
      <c r="U229" s="83"/>
      <c r="V229" s="83"/>
      <c r="W229" s="144" t="s">
        <v>27</v>
      </c>
      <c r="X229" s="83"/>
      <c r="Y229" s="83"/>
      <c r="Z229" s="144" t="s">
        <v>27</v>
      </c>
      <c r="AA229" s="83"/>
      <c r="AB229" s="144" t="s">
        <v>27</v>
      </c>
      <c r="AC229" s="144" t="s">
        <v>27</v>
      </c>
      <c r="AD229" s="83"/>
      <c r="AE229" s="83"/>
      <c r="AF229" s="144" t="s">
        <v>27</v>
      </c>
      <c r="AG229" s="83"/>
      <c r="AH229" s="83"/>
      <c r="AI229" s="144" t="s">
        <v>27</v>
      </c>
      <c r="AJ229" s="83"/>
      <c r="AK229" s="83"/>
      <c r="AL229" s="24"/>
    </row>
    <row r="230" ht="15.75" customHeight="1">
      <c r="A230" s="640" t="s">
        <v>59</v>
      </c>
      <c r="B230" s="641" t="s">
        <v>1249</v>
      </c>
      <c r="C230" s="640">
        <v>10987.0</v>
      </c>
      <c r="D230" s="640">
        <v>1.168873006E9</v>
      </c>
      <c r="E230" s="642" t="s">
        <v>1250</v>
      </c>
      <c r="F230" s="643" t="s">
        <v>1251</v>
      </c>
      <c r="G230" s="644"/>
      <c r="H230" s="6"/>
      <c r="I230" s="6"/>
      <c r="J230" s="6"/>
      <c r="K230" s="6"/>
      <c r="L230" s="6"/>
      <c r="M230" s="6"/>
      <c r="N230" s="6"/>
      <c r="O230" s="6"/>
      <c r="P230" s="11"/>
      <c r="Q230" s="144" t="s">
        <v>27</v>
      </c>
      <c r="R230" s="83"/>
      <c r="S230" s="83"/>
      <c r="T230" s="144" t="s">
        <v>27</v>
      </c>
      <c r="U230" s="83"/>
      <c r="V230" s="83"/>
      <c r="W230" s="144" t="s">
        <v>27</v>
      </c>
      <c r="X230" s="83"/>
      <c r="Y230" s="83"/>
      <c r="Z230" s="144" t="s">
        <v>27</v>
      </c>
      <c r="AA230" s="83"/>
      <c r="AB230" s="144" t="s">
        <v>27</v>
      </c>
      <c r="AC230" s="144" t="s">
        <v>27</v>
      </c>
      <c r="AD230" s="83"/>
      <c r="AE230" s="83"/>
      <c r="AF230" s="144" t="s">
        <v>27</v>
      </c>
      <c r="AG230" s="83"/>
      <c r="AH230" s="83"/>
      <c r="AI230" s="144" t="s">
        <v>27</v>
      </c>
      <c r="AJ230" s="83"/>
      <c r="AK230" s="83"/>
      <c r="AL230" s="645"/>
    </row>
    <row r="231" ht="15.75" customHeight="1">
      <c r="A231" s="190" t="s">
        <v>124</v>
      </c>
      <c r="B231" s="191" t="s">
        <v>141</v>
      </c>
      <c r="C231" s="182">
        <v>7025.0</v>
      </c>
      <c r="D231" s="182" t="s">
        <v>144</v>
      </c>
      <c r="E231" s="182" t="s">
        <v>148</v>
      </c>
      <c r="F231" s="191" t="s">
        <v>149</v>
      </c>
      <c r="G231" s="222" t="s">
        <v>19</v>
      </c>
      <c r="H231" s="222" t="s">
        <v>19</v>
      </c>
      <c r="I231" s="222" t="s">
        <v>19</v>
      </c>
      <c r="J231" s="222" t="s">
        <v>19</v>
      </c>
      <c r="K231" s="222" t="s">
        <v>19</v>
      </c>
      <c r="L231" s="222" t="s">
        <v>19</v>
      </c>
      <c r="M231" s="222" t="s">
        <v>19</v>
      </c>
      <c r="N231" s="222" t="s">
        <v>19</v>
      </c>
      <c r="O231" s="222" t="s">
        <v>19</v>
      </c>
      <c r="P231" s="222" t="s">
        <v>19</v>
      </c>
      <c r="Q231" s="222" t="s">
        <v>19</v>
      </c>
      <c r="R231" s="222" t="s">
        <v>19</v>
      </c>
      <c r="S231" s="131" t="s">
        <v>19</v>
      </c>
      <c r="T231" s="131" t="s">
        <v>19</v>
      </c>
      <c r="U231" s="131" t="s">
        <v>19</v>
      </c>
      <c r="V231" s="131" t="s">
        <v>19</v>
      </c>
      <c r="W231" s="131" t="s">
        <v>19</v>
      </c>
      <c r="X231" s="79"/>
      <c r="Y231" s="79"/>
      <c r="Z231" s="79"/>
      <c r="AA231" s="79"/>
      <c r="AB231" s="79"/>
      <c r="AC231" s="79"/>
      <c r="AD231" s="79"/>
      <c r="AE231" s="79"/>
      <c r="AF231" s="79"/>
      <c r="AG231" s="79"/>
      <c r="AH231" s="79"/>
      <c r="AI231" s="79"/>
      <c r="AJ231" s="79"/>
      <c r="AK231" s="79"/>
      <c r="AL231" s="135" t="s">
        <v>1164</v>
      </c>
    </row>
    <row r="232" ht="15.75" customHeight="1">
      <c r="A232" s="143" t="s">
        <v>124</v>
      </c>
      <c r="B232" s="191" t="s">
        <v>698</v>
      </c>
      <c r="C232" s="182">
        <v>707251.0</v>
      </c>
      <c r="D232" s="195" t="s">
        <v>1252</v>
      </c>
      <c r="E232" s="143" t="s">
        <v>80</v>
      </c>
      <c r="F232" s="440" t="s">
        <v>700</v>
      </c>
      <c r="G232" s="199" t="s">
        <v>27</v>
      </c>
      <c r="H232" s="6"/>
      <c r="I232" s="6"/>
      <c r="J232" s="6"/>
      <c r="K232" s="6"/>
      <c r="L232" s="6"/>
      <c r="M232" s="6"/>
      <c r="N232" s="6"/>
      <c r="O232" s="6"/>
      <c r="P232" s="11"/>
      <c r="Q232" s="144" t="s">
        <v>27</v>
      </c>
      <c r="R232" s="83"/>
      <c r="S232" s="83"/>
      <c r="T232" s="144" t="s">
        <v>27</v>
      </c>
      <c r="U232" s="83"/>
      <c r="V232" s="83"/>
      <c r="W232" s="144" t="s">
        <v>27</v>
      </c>
      <c r="X232" s="172" t="s">
        <v>27</v>
      </c>
      <c r="Y232" s="172" t="s">
        <v>27</v>
      </c>
      <c r="Z232" s="144" t="s">
        <v>27</v>
      </c>
      <c r="AA232" s="172" t="s">
        <v>27</v>
      </c>
      <c r="AB232" s="144" t="s">
        <v>27</v>
      </c>
      <c r="AC232" s="86" t="s">
        <v>32</v>
      </c>
      <c r="AD232" s="83"/>
      <c r="AE232" s="83"/>
      <c r="AF232" s="144" t="s">
        <v>27</v>
      </c>
      <c r="AG232" s="83"/>
      <c r="AH232" s="83"/>
      <c r="AI232" s="616" t="s">
        <v>32</v>
      </c>
      <c r="AJ232" s="83"/>
      <c r="AK232" s="83"/>
      <c r="AL232" s="24"/>
    </row>
    <row r="233" ht="15.75" customHeight="1">
      <c r="A233" s="62" t="s">
        <v>124</v>
      </c>
      <c r="B233" s="49" t="s">
        <v>1253</v>
      </c>
      <c r="C233" s="62">
        <v>16611.0</v>
      </c>
      <c r="D233" s="62" t="s">
        <v>1254</v>
      </c>
      <c r="E233" s="182" t="s">
        <v>148</v>
      </c>
      <c r="F233" s="49" t="s">
        <v>1255</v>
      </c>
      <c r="G233" s="172" t="s">
        <v>27</v>
      </c>
      <c r="H233" s="144" t="s">
        <v>27</v>
      </c>
      <c r="I233" s="83"/>
      <c r="J233" s="83"/>
      <c r="K233" s="144" t="s">
        <v>27</v>
      </c>
      <c r="L233" s="83"/>
      <c r="M233" s="83"/>
      <c r="N233" s="144" t="s">
        <v>27</v>
      </c>
      <c r="O233" s="83"/>
      <c r="P233" s="83"/>
      <c r="Q233" s="144" t="s">
        <v>27</v>
      </c>
      <c r="R233" s="83"/>
      <c r="S233" s="83"/>
      <c r="T233" s="124" t="s">
        <v>22</v>
      </c>
      <c r="U233" s="124" t="s">
        <v>22</v>
      </c>
      <c r="V233" s="124" t="s">
        <v>22</v>
      </c>
      <c r="W233" s="124" t="s">
        <v>22</v>
      </c>
      <c r="X233" s="124" t="s">
        <v>22</v>
      </c>
      <c r="Y233" s="124" t="s">
        <v>22</v>
      </c>
      <c r="Z233" s="124" t="s">
        <v>22</v>
      </c>
      <c r="AA233" s="124" t="s">
        <v>22</v>
      </c>
      <c r="AB233" s="124" t="s">
        <v>22</v>
      </c>
      <c r="AC233" s="124" t="s">
        <v>22</v>
      </c>
      <c r="AD233" s="124" t="s">
        <v>22</v>
      </c>
      <c r="AE233" s="124" t="s">
        <v>22</v>
      </c>
      <c r="AF233" s="124" t="s">
        <v>22</v>
      </c>
      <c r="AG233" s="124" t="s">
        <v>22</v>
      </c>
      <c r="AH233" s="124" t="s">
        <v>22</v>
      </c>
      <c r="AI233" s="124" t="s">
        <v>22</v>
      </c>
      <c r="AJ233" s="124" t="s">
        <v>22</v>
      </c>
      <c r="AK233" s="124" t="s">
        <v>22</v>
      </c>
      <c r="AL233" s="646" t="s">
        <v>1256</v>
      </c>
    </row>
    <row r="234" ht="15.75" customHeight="1">
      <c r="A234" s="636" t="s">
        <v>162</v>
      </c>
      <c r="B234" s="647" t="s">
        <v>1257</v>
      </c>
      <c r="C234" s="636">
        <v>190412.0</v>
      </c>
      <c r="D234" s="636" t="s">
        <v>1258</v>
      </c>
      <c r="E234" s="638" t="s">
        <v>471</v>
      </c>
      <c r="F234" s="648" t="s">
        <v>1259</v>
      </c>
      <c r="G234" s="222" t="s">
        <v>19</v>
      </c>
      <c r="H234" s="144" t="s">
        <v>27</v>
      </c>
      <c r="I234" s="83"/>
      <c r="J234" s="83"/>
      <c r="K234" s="222" t="s">
        <v>19</v>
      </c>
      <c r="L234" s="222" t="s">
        <v>19</v>
      </c>
      <c r="M234" s="222" t="s">
        <v>19</v>
      </c>
      <c r="N234" s="222" t="s">
        <v>19</v>
      </c>
      <c r="O234" s="222" t="s">
        <v>19</v>
      </c>
      <c r="P234" s="222" t="s">
        <v>19</v>
      </c>
      <c r="Q234" s="222" t="s">
        <v>19</v>
      </c>
      <c r="R234" s="222" t="s">
        <v>19</v>
      </c>
      <c r="S234" s="222" t="s">
        <v>19</v>
      </c>
      <c r="T234" s="222" t="s">
        <v>19</v>
      </c>
      <c r="U234" s="222" t="s">
        <v>19</v>
      </c>
      <c r="V234" s="222" t="s">
        <v>19</v>
      </c>
      <c r="W234" s="222" t="s">
        <v>19</v>
      </c>
      <c r="X234" s="222" t="s">
        <v>19</v>
      </c>
      <c r="Y234" s="222" t="s">
        <v>19</v>
      </c>
      <c r="Z234" s="222" t="s">
        <v>19</v>
      </c>
      <c r="AA234" s="222" t="s">
        <v>19</v>
      </c>
      <c r="AB234" s="222" t="s">
        <v>19</v>
      </c>
      <c r="AC234" s="222" t="s">
        <v>19</v>
      </c>
      <c r="AD234" s="222" t="s">
        <v>19</v>
      </c>
      <c r="AE234" s="222" t="s">
        <v>19</v>
      </c>
      <c r="AF234" s="222" t="s">
        <v>19</v>
      </c>
      <c r="AG234" s="222" t="s">
        <v>19</v>
      </c>
      <c r="AH234" s="222" t="s">
        <v>19</v>
      </c>
      <c r="AI234" s="222" t="s">
        <v>19</v>
      </c>
      <c r="AJ234" s="222" t="s">
        <v>19</v>
      </c>
      <c r="AK234" s="222" t="s">
        <v>19</v>
      </c>
      <c r="AL234" s="451" t="s">
        <v>1260</v>
      </c>
    </row>
    <row r="235" ht="15.75" customHeight="1">
      <c r="A235" s="190" t="s">
        <v>162</v>
      </c>
      <c r="B235" s="191" t="s">
        <v>1261</v>
      </c>
      <c r="C235" s="182">
        <v>22680.0</v>
      </c>
      <c r="D235" s="638" t="s">
        <v>1262</v>
      </c>
      <c r="E235" s="182" t="s">
        <v>148</v>
      </c>
      <c r="F235" s="637" t="s">
        <v>1263</v>
      </c>
      <c r="G235" s="144" t="s">
        <v>27</v>
      </c>
      <c r="H235" s="144" t="s">
        <v>27</v>
      </c>
      <c r="I235" s="83"/>
      <c r="J235" s="83"/>
      <c r="K235" s="204"/>
      <c r="L235" s="6"/>
      <c r="M235" s="6"/>
      <c r="N235" s="6"/>
      <c r="O235" s="6"/>
      <c r="P235" s="6"/>
      <c r="Q235" s="6"/>
      <c r="R235" s="6"/>
      <c r="S235" s="6"/>
      <c r="T235" s="6"/>
      <c r="U235" s="6"/>
      <c r="V235" s="6"/>
      <c r="W235" s="6"/>
      <c r="X235" s="6"/>
      <c r="Y235" s="6"/>
      <c r="Z235" s="6"/>
      <c r="AA235" s="6"/>
      <c r="AB235" s="6"/>
      <c r="AC235" s="6"/>
      <c r="AD235" s="6"/>
      <c r="AE235" s="6"/>
      <c r="AF235" s="6"/>
      <c r="AG235" s="6"/>
      <c r="AH235" s="6"/>
      <c r="AI235" s="6"/>
      <c r="AJ235" s="6"/>
      <c r="AK235" s="11"/>
      <c r="AL235" s="24"/>
    </row>
    <row r="236" ht="15.75" customHeight="1">
      <c r="A236" s="636" t="s">
        <v>153</v>
      </c>
      <c r="B236" s="637" t="s">
        <v>1264</v>
      </c>
      <c r="C236" s="638">
        <v>34706.0</v>
      </c>
      <c r="D236" s="638" t="s">
        <v>1265</v>
      </c>
      <c r="E236" s="182" t="s">
        <v>148</v>
      </c>
      <c r="F236" s="639" t="s">
        <v>1266</v>
      </c>
      <c r="G236" s="76"/>
      <c r="H236" s="616" t="s">
        <v>32</v>
      </c>
      <c r="I236" s="83"/>
      <c r="J236" s="83"/>
      <c r="K236" s="144" t="s">
        <v>27</v>
      </c>
      <c r="L236" s="83"/>
      <c r="M236" s="83"/>
      <c r="N236" s="616" t="s">
        <v>32</v>
      </c>
      <c r="O236" s="83"/>
      <c r="P236" s="83"/>
      <c r="Q236" s="79"/>
      <c r="R236" s="79"/>
      <c r="S236" s="79"/>
      <c r="T236" s="79"/>
      <c r="U236" s="79"/>
      <c r="V236" s="79"/>
      <c r="W236" s="79"/>
      <c r="X236" s="79"/>
      <c r="Y236" s="79"/>
      <c r="Z236" s="79"/>
      <c r="AA236" s="79"/>
      <c r="AB236" s="79"/>
      <c r="AC236" s="79"/>
      <c r="AD236" s="79"/>
      <c r="AE236" s="79"/>
      <c r="AF236" s="79"/>
      <c r="AG236" s="79"/>
      <c r="AH236" s="79"/>
      <c r="AI236" s="79"/>
      <c r="AJ236" s="79"/>
      <c r="AK236" s="79"/>
      <c r="AL236" s="24"/>
    </row>
    <row r="237" ht="15.75" customHeight="1">
      <c r="A237" s="395" t="s">
        <v>1267</v>
      </c>
      <c r="B237" s="94" t="s">
        <v>163</v>
      </c>
      <c r="C237" s="143">
        <v>59059.0</v>
      </c>
      <c r="D237" s="143" t="s">
        <v>164</v>
      </c>
      <c r="E237" s="143" t="s">
        <v>80</v>
      </c>
      <c r="F237" s="170" t="s">
        <v>166</v>
      </c>
      <c r="G237" s="649" t="s">
        <v>1268</v>
      </c>
      <c r="H237" s="650"/>
      <c r="I237" s="650"/>
      <c r="J237" s="650"/>
      <c r="K237" s="650"/>
      <c r="L237" s="650"/>
      <c r="M237" s="650"/>
      <c r="N237" s="650"/>
      <c r="O237" s="650"/>
      <c r="P237" s="650"/>
      <c r="Q237" s="650"/>
      <c r="R237" s="650"/>
      <c r="S237" s="650"/>
      <c r="T237" s="650"/>
      <c r="U237" s="650"/>
      <c r="V237" s="650"/>
      <c r="W237" s="650"/>
      <c r="X237" s="650"/>
      <c r="Y237" s="650"/>
      <c r="Z237" s="650"/>
      <c r="AA237" s="650"/>
      <c r="AB237" s="651"/>
      <c r="AC237" s="144" t="s">
        <v>27</v>
      </c>
      <c r="AD237" s="83"/>
      <c r="AE237" s="83"/>
      <c r="AF237" s="144" t="s">
        <v>27</v>
      </c>
      <c r="AG237" s="83"/>
      <c r="AH237" s="121" t="s">
        <v>1269</v>
      </c>
      <c r="AI237" s="6"/>
      <c r="AJ237" s="6"/>
      <c r="AK237" s="11"/>
      <c r="AL237" s="24"/>
    </row>
    <row r="238" ht="15.75" customHeight="1">
      <c r="A238" s="455"/>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c r="AB238" s="2"/>
      <c r="AC238" s="2"/>
      <c r="AD238" s="2"/>
      <c r="AE238" s="2"/>
      <c r="AF238" s="2"/>
      <c r="AG238" s="2"/>
      <c r="AH238" s="2"/>
      <c r="AI238" s="2"/>
      <c r="AJ238" s="2"/>
      <c r="AK238" s="3"/>
      <c r="AL238" s="24"/>
    </row>
    <row r="239" ht="15.75" customHeight="1">
      <c r="A239" s="636" t="s">
        <v>269</v>
      </c>
      <c r="B239" s="637" t="s">
        <v>1270</v>
      </c>
      <c r="C239" s="638">
        <v>12892.0</v>
      </c>
      <c r="D239" s="638" t="s">
        <v>1271</v>
      </c>
      <c r="E239" s="195" t="s">
        <v>966</v>
      </c>
      <c r="F239" s="652" t="s">
        <v>1272</v>
      </c>
      <c r="G239" s="144" t="s">
        <v>27</v>
      </c>
      <c r="H239" s="222" t="s">
        <v>19</v>
      </c>
      <c r="I239" s="83"/>
      <c r="J239" s="83"/>
      <c r="K239" s="144" t="s">
        <v>27</v>
      </c>
      <c r="L239" s="83"/>
      <c r="M239" s="83"/>
      <c r="N239" s="144" t="s">
        <v>27</v>
      </c>
      <c r="O239" s="83"/>
      <c r="P239" s="83"/>
      <c r="Q239" s="616" t="s">
        <v>32</v>
      </c>
      <c r="R239" s="83"/>
      <c r="S239" s="83"/>
      <c r="T239" s="144" t="s">
        <v>27</v>
      </c>
      <c r="U239" s="83"/>
      <c r="V239" s="83"/>
      <c r="W239" s="144" t="s">
        <v>27</v>
      </c>
      <c r="X239" s="83"/>
      <c r="Y239" s="83"/>
      <c r="Z239" s="144" t="s">
        <v>27</v>
      </c>
      <c r="AA239" s="83"/>
      <c r="AB239" s="144" t="s">
        <v>27</v>
      </c>
      <c r="AC239" s="144" t="s">
        <v>27</v>
      </c>
      <c r="AD239" s="83"/>
      <c r="AE239" s="83"/>
      <c r="AF239" s="144" t="s">
        <v>27</v>
      </c>
      <c r="AG239" s="83"/>
      <c r="AH239" s="83"/>
      <c r="AI239" s="144" t="s">
        <v>27</v>
      </c>
      <c r="AJ239" s="83"/>
      <c r="AK239" s="83"/>
      <c r="AL239" s="24"/>
      <c r="AN239" s="211" t="str">
        <f t="shared" ref="AN239:AN247" si="57">IFS(AO239&gt;3,"NO CORRESPONDE FRANCO",AT239&gt;0,"NO CORRESPONDE FRANCO",AT239=0,"")</f>
        <v>NO CORRESPONDE FRANCO</v>
      </c>
      <c r="AO239" s="60">
        <f t="shared" ref="AO239:AO247" si="58">COUNTIF($G239:$AK239,"LLT")</f>
        <v>0</v>
      </c>
      <c r="AP239" s="60">
        <f t="shared" ref="AP239:AP247" si="59">COUNTIF($G239:$AK239,"LM")</f>
        <v>1</v>
      </c>
      <c r="AQ239" s="60">
        <f t="shared" ref="AQ239:AQ247" si="60">COUNTIF($G239:$AK239,"FaC")</f>
        <v>0</v>
      </c>
      <c r="AR239" s="60">
        <f t="shared" ref="AR239:AR247" si="61">COUNTIF($G239:$AK239,"LxE")</f>
        <v>0</v>
      </c>
      <c r="AS239" s="60">
        <f t="shared" ref="AS239:AS247" si="62">COUNTIF($G239:$AK239,"LA")</f>
        <v>0</v>
      </c>
      <c r="AT239" s="221">
        <f t="shared" ref="AT239:AT247" si="63">SUM(AP239:AS239)</f>
        <v>1</v>
      </c>
      <c r="AU239" s="36"/>
    </row>
    <row r="240" ht="15.75" customHeight="1">
      <c r="A240" s="190" t="s">
        <v>269</v>
      </c>
      <c r="B240" s="317" t="s">
        <v>1273</v>
      </c>
      <c r="C240" s="182">
        <v>12882.0</v>
      </c>
      <c r="D240" s="182" t="s">
        <v>1274</v>
      </c>
      <c r="E240" s="182" t="s">
        <v>1275</v>
      </c>
      <c r="F240" s="552" t="s">
        <v>1276</v>
      </c>
      <c r="G240" s="616" t="s">
        <v>32</v>
      </c>
      <c r="H240" s="144" t="s">
        <v>27</v>
      </c>
      <c r="I240" s="83"/>
      <c r="J240" s="83"/>
      <c r="K240" s="144" t="s">
        <v>27</v>
      </c>
      <c r="L240" s="83"/>
      <c r="M240" s="83"/>
      <c r="N240" s="144" t="s">
        <v>18</v>
      </c>
      <c r="O240" s="83"/>
      <c r="P240" s="83"/>
      <c r="Q240" s="144" t="s">
        <v>27</v>
      </c>
      <c r="R240" s="83"/>
      <c r="S240" s="83"/>
      <c r="T240" s="144" t="s">
        <v>27</v>
      </c>
      <c r="U240" s="83"/>
      <c r="V240" s="83"/>
      <c r="W240" s="144" t="s">
        <v>27</v>
      </c>
      <c r="X240" s="83"/>
      <c r="Y240" s="83"/>
      <c r="Z240" s="144" t="s">
        <v>18</v>
      </c>
      <c r="AA240" s="83"/>
      <c r="AB240" s="144" t="s">
        <v>27</v>
      </c>
      <c r="AC240" s="144" t="s">
        <v>27</v>
      </c>
      <c r="AD240" s="83"/>
      <c r="AE240" s="83"/>
      <c r="AF240" s="144" t="s">
        <v>27</v>
      </c>
      <c r="AG240" s="83"/>
      <c r="AH240" s="83"/>
      <c r="AI240" s="144" t="s">
        <v>27</v>
      </c>
      <c r="AJ240" s="83"/>
      <c r="AK240" s="83"/>
      <c r="AL240" s="24"/>
      <c r="AN240" s="211" t="str">
        <f t="shared" si="57"/>
        <v/>
      </c>
      <c r="AO240" s="60">
        <f t="shared" si="58"/>
        <v>2</v>
      </c>
      <c r="AP240" s="60">
        <f t="shared" si="59"/>
        <v>0</v>
      </c>
      <c r="AQ240" s="60">
        <f t="shared" si="60"/>
        <v>0</v>
      </c>
      <c r="AR240" s="60">
        <f t="shared" si="61"/>
        <v>0</v>
      </c>
      <c r="AS240" s="60">
        <f t="shared" si="62"/>
        <v>0</v>
      </c>
      <c r="AT240" s="221">
        <f t="shared" si="63"/>
        <v>0</v>
      </c>
      <c r="AU240" s="36"/>
    </row>
    <row r="241" ht="15.75" customHeight="1">
      <c r="A241" s="551" t="s">
        <v>269</v>
      </c>
      <c r="B241" s="317" t="s">
        <v>1277</v>
      </c>
      <c r="C241" s="217">
        <v>12890.0</v>
      </c>
      <c r="D241" s="217" t="s">
        <v>1278</v>
      </c>
      <c r="E241" s="182" t="s">
        <v>1275</v>
      </c>
      <c r="F241" s="552" t="s">
        <v>1279</v>
      </c>
      <c r="G241" s="222" t="s">
        <v>19</v>
      </c>
      <c r="H241" s="222" t="s">
        <v>19</v>
      </c>
      <c r="I241" s="222" t="s">
        <v>19</v>
      </c>
      <c r="J241" s="222" t="s">
        <v>19</v>
      </c>
      <c r="K241" s="222" t="s">
        <v>19</v>
      </c>
      <c r="L241" s="222" t="s">
        <v>19</v>
      </c>
      <c r="M241" s="222" t="s">
        <v>19</v>
      </c>
      <c r="N241" s="222" t="s">
        <v>19</v>
      </c>
      <c r="O241" s="222" t="s">
        <v>19</v>
      </c>
      <c r="P241" s="222" t="s">
        <v>19</v>
      </c>
      <c r="Q241" s="222" t="s">
        <v>19</v>
      </c>
      <c r="R241" s="222" t="s">
        <v>19</v>
      </c>
      <c r="S241" s="222" t="s">
        <v>19</v>
      </c>
      <c r="T241" s="222" t="s">
        <v>19</v>
      </c>
      <c r="U241" s="222" t="s">
        <v>19</v>
      </c>
      <c r="V241" s="222" t="s">
        <v>19</v>
      </c>
      <c r="W241" s="222" t="s">
        <v>19</v>
      </c>
      <c r="X241" s="222" t="s">
        <v>19</v>
      </c>
      <c r="Y241" s="222" t="s">
        <v>19</v>
      </c>
      <c r="Z241" s="222" t="s">
        <v>19</v>
      </c>
      <c r="AA241" s="222" t="s">
        <v>19</v>
      </c>
      <c r="AB241" s="222" t="s">
        <v>19</v>
      </c>
      <c r="AC241" s="222" t="s">
        <v>19</v>
      </c>
      <c r="AD241" s="222" t="s">
        <v>19</v>
      </c>
      <c r="AE241" s="222" t="s">
        <v>19</v>
      </c>
      <c r="AF241" s="222" t="s">
        <v>19</v>
      </c>
      <c r="AG241" s="222" t="s">
        <v>19</v>
      </c>
      <c r="AH241" s="222" t="s">
        <v>19</v>
      </c>
      <c r="AI241" s="222" t="s">
        <v>19</v>
      </c>
      <c r="AJ241" s="222" t="s">
        <v>19</v>
      </c>
      <c r="AK241" s="222" t="s">
        <v>19</v>
      </c>
      <c r="AL241" s="451" t="s">
        <v>1280</v>
      </c>
      <c r="AN241" s="211" t="str">
        <f t="shared" si="57"/>
        <v>NO CORRESPONDE FRANCO</v>
      </c>
      <c r="AO241" s="60">
        <f t="shared" si="58"/>
        <v>0</v>
      </c>
      <c r="AP241" s="60">
        <f t="shared" si="59"/>
        <v>31</v>
      </c>
      <c r="AQ241" s="60">
        <f t="shared" si="60"/>
        <v>0</v>
      </c>
      <c r="AR241" s="60">
        <f t="shared" si="61"/>
        <v>0</v>
      </c>
      <c r="AS241" s="60">
        <f t="shared" si="62"/>
        <v>0</v>
      </c>
      <c r="AT241" s="221">
        <f t="shared" si="63"/>
        <v>31</v>
      </c>
      <c r="AU241" s="36"/>
    </row>
    <row r="242" ht="15.75" customHeight="1">
      <c r="A242" s="190" t="s">
        <v>23</v>
      </c>
      <c r="B242" s="317" t="s">
        <v>1281</v>
      </c>
      <c r="C242" s="609">
        <v>17230.0</v>
      </c>
      <c r="D242" s="182" t="s">
        <v>1282</v>
      </c>
      <c r="E242" s="182" t="s">
        <v>1098</v>
      </c>
      <c r="F242" s="653" t="s">
        <v>1283</v>
      </c>
      <c r="G242" s="144" t="s">
        <v>27</v>
      </c>
      <c r="H242" s="144" t="s">
        <v>27</v>
      </c>
      <c r="I242" s="83"/>
      <c r="J242" s="83"/>
      <c r="K242" s="144" t="s">
        <v>27</v>
      </c>
      <c r="L242" s="83"/>
      <c r="M242" s="83"/>
      <c r="N242" s="144" t="s">
        <v>120</v>
      </c>
      <c r="O242" s="83"/>
      <c r="P242" s="83"/>
      <c r="Q242" s="144" t="s">
        <v>27</v>
      </c>
      <c r="R242" s="83"/>
      <c r="S242" s="83"/>
      <c r="T242" s="96" t="s">
        <v>22</v>
      </c>
      <c r="U242" s="96" t="s">
        <v>22</v>
      </c>
      <c r="V242" s="96" t="s">
        <v>22</v>
      </c>
      <c r="W242" s="96" t="s">
        <v>22</v>
      </c>
      <c r="X242" s="96" t="s">
        <v>22</v>
      </c>
      <c r="Y242" s="96" t="s">
        <v>22</v>
      </c>
      <c r="Z242" s="96" t="s">
        <v>22</v>
      </c>
      <c r="AA242" s="96" t="s">
        <v>22</v>
      </c>
      <c r="AB242" s="96" t="s">
        <v>22</v>
      </c>
      <c r="AC242" s="96" t="s">
        <v>22</v>
      </c>
      <c r="AD242" s="96" t="s">
        <v>22</v>
      </c>
      <c r="AE242" s="96" t="s">
        <v>22</v>
      </c>
      <c r="AF242" s="96" t="s">
        <v>22</v>
      </c>
      <c r="AG242" s="83"/>
      <c r="AH242" s="83"/>
      <c r="AI242" s="144" t="s">
        <v>27</v>
      </c>
      <c r="AJ242" s="83"/>
      <c r="AK242" s="83"/>
      <c r="AL242" s="24"/>
      <c r="AN242" s="211" t="str">
        <f t="shared" si="57"/>
        <v>NO CORRESPONDE FRANCO</v>
      </c>
      <c r="AO242" s="60">
        <f t="shared" si="58"/>
        <v>0</v>
      </c>
      <c r="AP242" s="60">
        <f t="shared" si="59"/>
        <v>0</v>
      </c>
      <c r="AQ242" s="60">
        <f t="shared" si="60"/>
        <v>0</v>
      </c>
      <c r="AR242" s="60">
        <f t="shared" si="61"/>
        <v>0</v>
      </c>
      <c r="AS242" s="60">
        <f t="shared" si="62"/>
        <v>13</v>
      </c>
      <c r="AT242" s="221">
        <f t="shared" si="63"/>
        <v>13</v>
      </c>
      <c r="AU242" s="36"/>
    </row>
    <row r="243" ht="15.75" customHeight="1">
      <c r="A243" s="190" t="s">
        <v>33</v>
      </c>
      <c r="B243" s="317" t="s">
        <v>1284</v>
      </c>
      <c r="C243" s="182">
        <v>3.9271693E7</v>
      </c>
      <c r="D243" s="182" t="s">
        <v>1285</v>
      </c>
      <c r="E243" s="182" t="s">
        <v>1286</v>
      </c>
      <c r="F243" s="654" t="s">
        <v>985</v>
      </c>
      <c r="G243" s="655" t="s">
        <v>604</v>
      </c>
      <c r="H243" s="144" t="s">
        <v>27</v>
      </c>
      <c r="I243" s="83"/>
      <c r="J243" s="83"/>
      <c r="K243" s="144" t="s">
        <v>27</v>
      </c>
      <c r="L243" s="83"/>
      <c r="M243" s="83"/>
      <c r="N243" s="144" t="s">
        <v>120</v>
      </c>
      <c r="O243" s="83"/>
      <c r="P243" s="83"/>
      <c r="Q243" s="144" t="s">
        <v>27</v>
      </c>
      <c r="R243" s="83"/>
      <c r="S243" s="83"/>
      <c r="T243" s="144" t="s">
        <v>198</v>
      </c>
      <c r="U243" s="83"/>
      <c r="V243" s="83"/>
      <c r="W243" s="144" t="s">
        <v>27</v>
      </c>
      <c r="X243" s="83"/>
      <c r="Y243" s="83"/>
      <c r="Z243" s="144" t="s">
        <v>27</v>
      </c>
      <c r="AA243" s="83"/>
      <c r="AB243" s="144" t="s">
        <v>27</v>
      </c>
      <c r="AC243" s="144" t="s">
        <v>27</v>
      </c>
      <c r="AD243" s="83"/>
      <c r="AE243" s="83"/>
      <c r="AF243" s="655" t="s">
        <v>604</v>
      </c>
      <c r="AG243" s="83"/>
      <c r="AH243" s="655" t="s">
        <v>604</v>
      </c>
      <c r="AI243" s="655" t="s">
        <v>604</v>
      </c>
      <c r="AJ243" s="83"/>
      <c r="AK243" s="83"/>
      <c r="AL243" s="656" t="s">
        <v>1287</v>
      </c>
      <c r="AN243" s="211" t="str">
        <f t="shared" si="57"/>
        <v>NO CORRESPONDE FRANCO</v>
      </c>
      <c r="AO243" s="60">
        <f t="shared" si="58"/>
        <v>0</v>
      </c>
      <c r="AP243" s="60">
        <f t="shared" si="59"/>
        <v>0</v>
      </c>
      <c r="AQ243" s="60">
        <f t="shared" si="60"/>
        <v>4</v>
      </c>
      <c r="AR243" s="60">
        <f t="shared" si="61"/>
        <v>0</v>
      </c>
      <c r="AS243" s="60">
        <f t="shared" si="62"/>
        <v>0</v>
      </c>
      <c r="AT243" s="221">
        <f t="shared" si="63"/>
        <v>4</v>
      </c>
      <c r="AU243" s="36"/>
    </row>
    <row r="244" ht="15.75" customHeight="1">
      <c r="A244" s="537" t="s">
        <v>33</v>
      </c>
      <c r="B244" s="94" t="s">
        <v>1288</v>
      </c>
      <c r="C244" s="537">
        <v>3.677916E7</v>
      </c>
      <c r="D244" s="143" t="s">
        <v>1289</v>
      </c>
      <c r="E244" s="638" t="s">
        <v>273</v>
      </c>
      <c r="F244" s="146" t="s">
        <v>1290</v>
      </c>
      <c r="G244" s="144" t="s">
        <v>27</v>
      </c>
      <c r="H244" s="144" t="s">
        <v>27</v>
      </c>
      <c r="I244" s="83"/>
      <c r="J244" s="83"/>
      <c r="K244" s="144" t="s">
        <v>27</v>
      </c>
      <c r="L244" s="83"/>
      <c r="M244" s="83"/>
      <c r="N244" s="144" t="s">
        <v>120</v>
      </c>
      <c r="O244" s="83"/>
      <c r="P244" s="83"/>
      <c r="Q244" s="144" t="s">
        <v>27</v>
      </c>
      <c r="R244" s="83"/>
      <c r="S244" s="83"/>
      <c r="T244" s="144" t="s">
        <v>27</v>
      </c>
      <c r="U244" s="83"/>
      <c r="V244" s="83"/>
      <c r="W244" s="144" t="s">
        <v>27</v>
      </c>
      <c r="X244" s="83"/>
      <c r="Y244" s="83"/>
      <c r="Z244" s="144" t="s">
        <v>27</v>
      </c>
      <c r="AA244" s="83"/>
      <c r="AB244" s="144" t="s">
        <v>27</v>
      </c>
      <c r="AC244" s="144" t="s">
        <v>27</v>
      </c>
      <c r="AD244" s="83"/>
      <c r="AE244" s="83"/>
      <c r="AF244" s="144" t="s">
        <v>27</v>
      </c>
      <c r="AG244" s="83"/>
      <c r="AH244" s="83"/>
      <c r="AI244" s="144" t="s">
        <v>27</v>
      </c>
      <c r="AJ244" s="83"/>
      <c r="AK244" s="83"/>
      <c r="AL244" s="24"/>
      <c r="AN244" s="211" t="str">
        <f t="shared" si="57"/>
        <v/>
      </c>
      <c r="AO244" s="60">
        <f t="shared" si="58"/>
        <v>0</v>
      </c>
      <c r="AP244" s="60">
        <f t="shared" si="59"/>
        <v>0</v>
      </c>
      <c r="AQ244" s="60">
        <f t="shared" si="60"/>
        <v>0</v>
      </c>
      <c r="AR244" s="60">
        <f t="shared" si="61"/>
        <v>0</v>
      </c>
      <c r="AS244" s="60">
        <f t="shared" si="62"/>
        <v>0</v>
      </c>
      <c r="AT244" s="221">
        <f t="shared" si="63"/>
        <v>0</v>
      </c>
      <c r="AU244" s="36"/>
    </row>
    <row r="245" ht="15.75" customHeight="1">
      <c r="A245" s="93" t="s">
        <v>33</v>
      </c>
      <c r="B245" s="94" t="s">
        <v>1291</v>
      </c>
      <c r="C245" s="93">
        <v>3.8243076E7</v>
      </c>
      <c r="D245" s="93" t="s">
        <v>1292</v>
      </c>
      <c r="E245" s="93" t="s">
        <v>303</v>
      </c>
      <c r="F245" s="95" t="s">
        <v>1293</v>
      </c>
      <c r="G245" s="172" t="s">
        <v>18</v>
      </c>
      <c r="H245" s="144" t="s">
        <v>18</v>
      </c>
      <c r="I245" s="83"/>
      <c r="J245" s="83"/>
      <c r="K245" s="616" t="s">
        <v>32</v>
      </c>
      <c r="L245" s="83"/>
      <c r="M245" s="83"/>
      <c r="N245" s="124" t="s">
        <v>22</v>
      </c>
      <c r="O245" s="124" t="s">
        <v>22</v>
      </c>
      <c r="P245" s="124" t="s">
        <v>22</v>
      </c>
      <c r="Q245" s="124" t="s">
        <v>22</v>
      </c>
      <c r="R245" s="124" t="s">
        <v>22</v>
      </c>
      <c r="S245" s="124" t="s">
        <v>22</v>
      </c>
      <c r="T245" s="124" t="s">
        <v>22</v>
      </c>
      <c r="U245" s="83"/>
      <c r="V245" s="83"/>
      <c r="W245" s="76"/>
      <c r="X245" s="83"/>
      <c r="Y245" s="83"/>
      <c r="Z245" s="144" t="s">
        <v>18</v>
      </c>
      <c r="AA245" s="83"/>
      <c r="AB245" s="172" t="s">
        <v>18</v>
      </c>
      <c r="AC245" s="144" t="s">
        <v>27</v>
      </c>
      <c r="AD245" s="83"/>
      <c r="AE245" s="83"/>
      <c r="AF245" s="144" t="s">
        <v>27</v>
      </c>
      <c r="AG245" s="83"/>
      <c r="AH245" s="83"/>
      <c r="AI245" s="119" t="s">
        <v>79</v>
      </c>
      <c r="AJ245" s="83"/>
      <c r="AK245" s="144" t="s">
        <v>27</v>
      </c>
      <c r="AL245" s="50"/>
      <c r="AN245" s="211" t="str">
        <f t="shared" si="57"/>
        <v>NO CORRESPONDE FRANCO</v>
      </c>
      <c r="AO245" s="60">
        <f t="shared" si="58"/>
        <v>4</v>
      </c>
      <c r="AP245" s="60">
        <f t="shared" si="59"/>
        <v>0</v>
      </c>
      <c r="AQ245" s="60">
        <f t="shared" si="60"/>
        <v>0</v>
      </c>
      <c r="AR245" s="60">
        <f t="shared" si="61"/>
        <v>0</v>
      </c>
      <c r="AS245" s="60">
        <f t="shared" si="62"/>
        <v>7</v>
      </c>
      <c r="AT245" s="221">
        <f t="shared" si="63"/>
        <v>7</v>
      </c>
      <c r="AU245" s="36"/>
    </row>
    <row r="246" ht="15.75" customHeight="1">
      <c r="A246" s="551" t="s">
        <v>33</v>
      </c>
      <c r="B246" s="317" t="s">
        <v>1294</v>
      </c>
      <c r="C246" s="217">
        <v>4.0080049E7</v>
      </c>
      <c r="D246" s="217" t="s">
        <v>1295</v>
      </c>
      <c r="E246" s="182" t="s">
        <v>303</v>
      </c>
      <c r="F246" s="657" t="s">
        <v>1296</v>
      </c>
      <c r="G246" s="144" t="s">
        <v>27</v>
      </c>
      <c r="H246" s="76"/>
      <c r="I246" s="83"/>
      <c r="J246" s="83"/>
      <c r="K246" s="144" t="s">
        <v>27</v>
      </c>
      <c r="L246" s="83"/>
      <c r="M246" s="83"/>
      <c r="N246" s="616" t="s">
        <v>32</v>
      </c>
      <c r="O246" s="83"/>
      <c r="P246" s="83"/>
      <c r="Q246" s="144" t="s">
        <v>18</v>
      </c>
      <c r="R246" s="83"/>
      <c r="S246" s="83"/>
      <c r="T246" s="144" t="s">
        <v>27</v>
      </c>
      <c r="U246" s="83"/>
      <c r="V246" s="83"/>
      <c r="W246" s="172" t="s">
        <v>27</v>
      </c>
      <c r="X246" s="83"/>
      <c r="Y246" s="83"/>
      <c r="Z246" s="658" t="s">
        <v>18</v>
      </c>
      <c r="AA246" s="83"/>
      <c r="AB246" s="172" t="s">
        <v>18</v>
      </c>
      <c r="AC246" s="144" t="s">
        <v>27</v>
      </c>
      <c r="AD246" s="83"/>
      <c r="AE246" s="83"/>
      <c r="AF246" s="86" t="s">
        <v>32</v>
      </c>
      <c r="AG246" s="83"/>
      <c r="AH246" s="83"/>
      <c r="AI246" s="144" t="s">
        <v>18</v>
      </c>
      <c r="AJ246" s="83"/>
      <c r="AK246" s="83"/>
      <c r="AL246" s="24"/>
      <c r="AN246" s="211" t="str">
        <f t="shared" si="57"/>
        <v>NO CORRESPONDE FRANCO</v>
      </c>
      <c r="AO246" s="60">
        <f t="shared" si="58"/>
        <v>4</v>
      </c>
      <c r="AP246" s="60">
        <f t="shared" si="59"/>
        <v>0</v>
      </c>
      <c r="AQ246" s="60">
        <f t="shared" si="60"/>
        <v>0</v>
      </c>
      <c r="AR246" s="60">
        <f t="shared" si="61"/>
        <v>0</v>
      </c>
      <c r="AS246" s="60">
        <f t="shared" si="62"/>
        <v>0</v>
      </c>
      <c r="AT246" s="221">
        <f t="shared" si="63"/>
        <v>0</v>
      </c>
      <c r="AU246" s="36"/>
    </row>
    <row r="247" ht="15.75" customHeight="1">
      <c r="A247" s="174" t="s">
        <v>33</v>
      </c>
      <c r="B247" s="180" t="s">
        <v>1297</v>
      </c>
      <c r="C247" s="174">
        <v>4.4656163E7</v>
      </c>
      <c r="D247" s="174" t="s">
        <v>1298</v>
      </c>
      <c r="E247" s="217" t="s">
        <v>303</v>
      </c>
      <c r="F247" s="223" t="s">
        <v>1299</v>
      </c>
      <c r="G247" s="144" t="s">
        <v>27</v>
      </c>
      <c r="H247" s="144" t="s">
        <v>27</v>
      </c>
      <c r="I247" s="83"/>
      <c r="J247" s="83"/>
      <c r="K247" s="144" t="s">
        <v>27</v>
      </c>
      <c r="L247" s="83"/>
      <c r="M247" s="83"/>
      <c r="N247" s="144" t="s">
        <v>27</v>
      </c>
      <c r="O247" s="83"/>
      <c r="P247" s="83"/>
      <c r="Q247" s="144" t="s">
        <v>27</v>
      </c>
      <c r="R247" s="83"/>
      <c r="S247" s="83"/>
      <c r="T247" s="172" t="s">
        <v>18</v>
      </c>
      <c r="U247" s="83"/>
      <c r="V247" s="83"/>
      <c r="W247" s="172" t="s">
        <v>27</v>
      </c>
      <c r="X247" s="83"/>
      <c r="Y247" s="83"/>
      <c r="Z247" s="96" t="s">
        <v>22</v>
      </c>
      <c r="AA247" s="96" t="s">
        <v>22</v>
      </c>
      <c r="AB247" s="96" t="s">
        <v>22</v>
      </c>
      <c r="AC247" s="96" t="s">
        <v>22</v>
      </c>
      <c r="AD247" s="96" t="s">
        <v>22</v>
      </c>
      <c r="AE247" s="96" t="s">
        <v>22</v>
      </c>
      <c r="AF247" s="96" t="s">
        <v>22</v>
      </c>
      <c r="AG247" s="83"/>
      <c r="AH247" s="83"/>
      <c r="AI247" s="144" t="s">
        <v>27</v>
      </c>
      <c r="AJ247" s="83"/>
      <c r="AK247" s="83"/>
      <c r="AL247" s="24"/>
      <c r="AN247" s="211" t="str">
        <f t="shared" si="57"/>
        <v>NO CORRESPONDE FRANCO</v>
      </c>
      <c r="AO247" s="60">
        <f t="shared" si="58"/>
        <v>1</v>
      </c>
      <c r="AP247" s="60">
        <f t="shared" si="59"/>
        <v>0</v>
      </c>
      <c r="AQ247" s="60">
        <f t="shared" si="60"/>
        <v>0</v>
      </c>
      <c r="AR247" s="60">
        <f t="shared" si="61"/>
        <v>0</v>
      </c>
      <c r="AS247" s="60">
        <f t="shared" si="62"/>
        <v>7</v>
      </c>
      <c r="AT247" s="221">
        <f t="shared" si="63"/>
        <v>7</v>
      </c>
      <c r="AU247" s="36"/>
    </row>
    <row r="248" ht="15.75" customHeight="1">
      <c r="A248" s="76" t="s">
        <v>33</v>
      </c>
      <c r="B248" s="116" t="s">
        <v>750</v>
      </c>
      <c r="C248" s="76">
        <v>2.1594484E7</v>
      </c>
      <c r="D248" s="144" t="s">
        <v>752</v>
      </c>
      <c r="E248" s="217" t="s">
        <v>303</v>
      </c>
      <c r="F248" s="659" t="s">
        <v>751</v>
      </c>
      <c r="G248" s="162" t="s">
        <v>27</v>
      </c>
      <c r="H248" s="414"/>
      <c r="I248" s="414"/>
      <c r="J248" s="414"/>
      <c r="K248" s="162" t="s">
        <v>120</v>
      </c>
      <c r="L248" s="162" t="s">
        <v>18</v>
      </c>
      <c r="M248" s="162" t="s">
        <v>18</v>
      </c>
      <c r="N248" s="414"/>
      <c r="O248" s="414"/>
      <c r="P248" s="162" t="s">
        <v>27</v>
      </c>
      <c r="Q248" s="162" t="s">
        <v>27</v>
      </c>
      <c r="R248" s="162" t="s">
        <v>27</v>
      </c>
      <c r="S248" s="162" t="s">
        <v>27</v>
      </c>
      <c r="T248" s="414"/>
      <c r="U248" s="414"/>
      <c r="V248" s="414"/>
      <c r="W248" s="162" t="s">
        <v>27</v>
      </c>
      <c r="X248" s="162" t="s">
        <v>27</v>
      </c>
      <c r="Y248" s="414"/>
      <c r="Z248" s="131" t="s">
        <v>27</v>
      </c>
      <c r="AA248" s="83"/>
      <c r="AB248" s="144" t="s">
        <v>27</v>
      </c>
      <c r="AC248" s="144" t="s">
        <v>27</v>
      </c>
      <c r="AD248" s="83"/>
      <c r="AE248" s="83"/>
      <c r="AF248" s="144" t="s">
        <v>27</v>
      </c>
      <c r="AG248" s="83"/>
      <c r="AH248" s="83"/>
      <c r="AI248" s="144" t="s">
        <v>27</v>
      </c>
      <c r="AJ248" s="83"/>
      <c r="AK248" s="83"/>
      <c r="AL248" s="290"/>
      <c r="AM248" s="60" t="str">
        <f t="shared" ref="AM248:AN248" si="64">IFS(AN248&gt;3,"NO CORRESPONDE FRANCO",AS248&gt;0,"NO CORRESPONDE FRANCO",AS248=0,"")</f>
        <v>NO CORRESPONDE FRANCO</v>
      </c>
      <c r="AN248" s="211" t="str">
        <f t="shared" si="64"/>
        <v/>
      </c>
      <c r="AO248" s="60">
        <f>COUNTIF($F248:$AJ248,"LM")</f>
        <v>0</v>
      </c>
      <c r="AP248" s="60">
        <f>COUNTIF($F248:$AJ248,"FaC")</f>
        <v>0</v>
      </c>
      <c r="AQ248" s="60">
        <f>COUNTIF($F248:$AJ248,"LxE")</f>
        <v>0</v>
      </c>
      <c r="AR248" s="60">
        <f>COUNTIF($F248:$AJ248,"LA")</f>
        <v>0</v>
      </c>
      <c r="AS248" s="60">
        <f>SUM(AO248:AR248)</f>
        <v>0</v>
      </c>
      <c r="AT248" s="82"/>
      <c r="AU248" s="36"/>
    </row>
    <row r="249" ht="15.75" customHeight="1">
      <c r="A249" s="551" t="s">
        <v>33</v>
      </c>
      <c r="B249" s="317" t="s">
        <v>1300</v>
      </c>
      <c r="C249" s="182">
        <v>4.0491704E7</v>
      </c>
      <c r="D249" s="182" t="s">
        <v>1301</v>
      </c>
      <c r="E249" s="217" t="s">
        <v>233</v>
      </c>
      <c r="F249" s="653" t="s">
        <v>1302</v>
      </c>
      <c r="G249" s="144" t="s">
        <v>198</v>
      </c>
      <c r="H249" s="144" t="s">
        <v>27</v>
      </c>
      <c r="I249" s="83"/>
      <c r="J249" s="83"/>
      <c r="K249" s="144" t="s">
        <v>27</v>
      </c>
      <c r="L249" s="83"/>
      <c r="M249" s="83"/>
      <c r="N249" s="144" t="s">
        <v>27</v>
      </c>
      <c r="O249" s="83"/>
      <c r="P249" s="83"/>
      <c r="Q249" s="144" t="s">
        <v>27</v>
      </c>
      <c r="R249" s="83"/>
      <c r="S249" s="83"/>
      <c r="T249" s="144" t="s">
        <v>27</v>
      </c>
      <c r="U249" s="83"/>
      <c r="V249" s="83"/>
      <c r="W249" s="144" t="s">
        <v>27</v>
      </c>
      <c r="X249" s="83"/>
      <c r="Y249" s="83"/>
      <c r="Z249" s="616" t="s">
        <v>32</v>
      </c>
      <c r="AA249" s="83"/>
      <c r="AB249" s="144" t="s">
        <v>18</v>
      </c>
      <c r="AC249" s="96" t="s">
        <v>22</v>
      </c>
      <c r="AD249" s="96" t="s">
        <v>22</v>
      </c>
      <c r="AE249" s="96" t="s">
        <v>22</v>
      </c>
      <c r="AF249" s="96" t="s">
        <v>22</v>
      </c>
      <c r="AG249" s="96" t="s">
        <v>22</v>
      </c>
      <c r="AH249" s="96" t="s">
        <v>22</v>
      </c>
      <c r="AI249" s="96" t="s">
        <v>22</v>
      </c>
      <c r="AJ249" s="83"/>
      <c r="AK249" s="83"/>
      <c r="AL249" s="24"/>
      <c r="AN249" s="211" t="str">
        <f t="shared" ref="AN249:AN262" si="65">IFS(AO249&gt;3,"NO CORRESPONDE FRANCO",AT249&gt;0,"NO CORRESPONDE FRANCO",AT249=0,"")</f>
        <v>NO CORRESPONDE FRANCO</v>
      </c>
      <c r="AO249" s="60">
        <f t="shared" ref="AO249:AO255" si="66">COUNTIF($G249:$AK249,"LLT")</f>
        <v>1</v>
      </c>
      <c r="AP249" s="60">
        <f t="shared" ref="AP249:AP255" si="67">COUNTIF($G249:$AK249,"LM")</f>
        <v>0</v>
      </c>
      <c r="AQ249" s="60">
        <f t="shared" ref="AQ249:AQ255" si="68">COUNTIF($G249:$AK249,"FaC")</f>
        <v>0</v>
      </c>
      <c r="AR249" s="60">
        <f t="shared" ref="AR249:AR255" si="69">COUNTIF($G249:$AK249,"LxE")</f>
        <v>0</v>
      </c>
      <c r="AS249" s="60">
        <f t="shared" ref="AS249:AS255" si="70">COUNTIF($G249:$AK249,"LA")</f>
        <v>7</v>
      </c>
      <c r="AT249" s="221">
        <f t="shared" ref="AT249:AT255" si="71">SUM(AP249:AS249)</f>
        <v>7</v>
      </c>
      <c r="AU249" s="36"/>
    </row>
    <row r="250" ht="15.75" customHeight="1">
      <c r="A250" s="608" t="s">
        <v>33</v>
      </c>
      <c r="B250" s="317" t="s">
        <v>1303</v>
      </c>
      <c r="C250" s="609">
        <v>4.3310085E7</v>
      </c>
      <c r="D250" s="182" t="s">
        <v>1304</v>
      </c>
      <c r="E250" s="217" t="s">
        <v>233</v>
      </c>
      <c r="F250" s="440" t="s">
        <v>1305</v>
      </c>
      <c r="G250" s="144" t="s">
        <v>27</v>
      </c>
      <c r="H250" s="144" t="s">
        <v>27</v>
      </c>
      <c r="I250" s="83"/>
      <c r="J250" s="83"/>
      <c r="K250" s="144" t="s">
        <v>27</v>
      </c>
      <c r="L250" s="83"/>
      <c r="M250" s="83"/>
      <c r="N250" s="616" t="s">
        <v>32</v>
      </c>
      <c r="O250" s="83"/>
      <c r="P250" s="83"/>
      <c r="Q250" s="144" t="s">
        <v>27</v>
      </c>
      <c r="R250" s="83"/>
      <c r="S250" s="83"/>
      <c r="T250" s="144" t="s">
        <v>27</v>
      </c>
      <c r="U250" s="83"/>
      <c r="V250" s="83"/>
      <c r="W250" s="144" t="s">
        <v>27</v>
      </c>
      <c r="X250" s="83"/>
      <c r="Y250" s="83"/>
      <c r="Z250" s="144" t="s">
        <v>18</v>
      </c>
      <c r="AA250" s="83"/>
      <c r="AB250" s="144" t="s">
        <v>27</v>
      </c>
      <c r="AC250" s="144" t="s">
        <v>27</v>
      </c>
      <c r="AD250" s="83"/>
      <c r="AE250" s="83"/>
      <c r="AF250" s="144" t="s">
        <v>27</v>
      </c>
      <c r="AG250" s="83"/>
      <c r="AH250" s="83"/>
      <c r="AI250" s="144" t="s">
        <v>27</v>
      </c>
      <c r="AJ250" s="83"/>
      <c r="AK250" s="83"/>
      <c r="AL250" s="24"/>
      <c r="AN250" s="211" t="str">
        <f t="shared" si="65"/>
        <v/>
      </c>
      <c r="AO250" s="60">
        <f t="shared" si="66"/>
        <v>1</v>
      </c>
      <c r="AP250" s="60">
        <f t="shared" si="67"/>
        <v>0</v>
      </c>
      <c r="AQ250" s="60">
        <f t="shared" si="68"/>
        <v>0</v>
      </c>
      <c r="AR250" s="60">
        <f t="shared" si="69"/>
        <v>0</v>
      </c>
      <c r="AS250" s="60">
        <f t="shared" si="70"/>
        <v>0</v>
      </c>
      <c r="AT250" s="221">
        <f t="shared" si="71"/>
        <v>0</v>
      </c>
      <c r="AU250" s="36"/>
    </row>
    <row r="251" ht="15.75" customHeight="1">
      <c r="A251" s="314" t="s">
        <v>33</v>
      </c>
      <c r="B251" s="317" t="s">
        <v>1306</v>
      </c>
      <c r="C251" s="612">
        <v>4.4156353E7</v>
      </c>
      <c r="D251" s="217" t="s">
        <v>1307</v>
      </c>
      <c r="E251" s="217" t="s">
        <v>233</v>
      </c>
      <c r="F251" s="552" t="s">
        <v>1308</v>
      </c>
      <c r="G251" s="616" t="s">
        <v>32</v>
      </c>
      <c r="H251" s="144" t="s">
        <v>27</v>
      </c>
      <c r="I251" s="83"/>
      <c r="J251" s="83"/>
      <c r="K251" s="144" t="s">
        <v>27</v>
      </c>
      <c r="L251" s="83"/>
      <c r="M251" s="83"/>
      <c r="N251" s="144" t="s">
        <v>27</v>
      </c>
      <c r="O251" s="83"/>
      <c r="P251" s="83"/>
      <c r="Q251" s="172" t="s">
        <v>18</v>
      </c>
      <c r="R251" s="83"/>
      <c r="S251" s="83"/>
      <c r="T251" s="144" t="s">
        <v>27</v>
      </c>
      <c r="U251" s="83"/>
      <c r="V251" s="83"/>
      <c r="W251" s="144" t="s">
        <v>27</v>
      </c>
      <c r="X251" s="83"/>
      <c r="Y251" s="83"/>
      <c r="Z251" s="144" t="s">
        <v>27</v>
      </c>
      <c r="AA251" s="83"/>
      <c r="AB251" s="616" t="s">
        <v>32</v>
      </c>
      <c r="AC251" s="144" t="s">
        <v>27</v>
      </c>
      <c r="AD251" s="83"/>
      <c r="AE251" s="83"/>
      <c r="AF251" s="144" t="s">
        <v>27</v>
      </c>
      <c r="AG251" s="83"/>
      <c r="AH251" s="83"/>
      <c r="AI251" s="144" t="s">
        <v>27</v>
      </c>
      <c r="AJ251" s="83"/>
      <c r="AK251" s="83"/>
      <c r="AL251" s="24"/>
      <c r="AN251" s="211" t="str">
        <f t="shared" si="65"/>
        <v/>
      </c>
      <c r="AO251" s="60">
        <f t="shared" si="66"/>
        <v>1</v>
      </c>
      <c r="AP251" s="60">
        <f t="shared" si="67"/>
        <v>0</v>
      </c>
      <c r="AQ251" s="60">
        <f t="shared" si="68"/>
        <v>0</v>
      </c>
      <c r="AR251" s="60">
        <f t="shared" si="69"/>
        <v>0</v>
      </c>
      <c r="AS251" s="60">
        <f t="shared" si="70"/>
        <v>0</v>
      </c>
      <c r="AT251" s="221">
        <f t="shared" si="71"/>
        <v>0</v>
      </c>
      <c r="AU251" s="36"/>
    </row>
    <row r="252" ht="15.75" customHeight="1">
      <c r="A252" s="314" t="s">
        <v>33</v>
      </c>
      <c r="B252" s="317" t="s">
        <v>1309</v>
      </c>
      <c r="C252" s="612">
        <v>4.5687042E7</v>
      </c>
      <c r="D252" s="217" t="s">
        <v>1310</v>
      </c>
      <c r="E252" s="217" t="s">
        <v>233</v>
      </c>
      <c r="F252" s="552" t="s">
        <v>1311</v>
      </c>
      <c r="G252" s="144" t="s">
        <v>27</v>
      </c>
      <c r="H252" s="616" t="s">
        <v>32</v>
      </c>
      <c r="I252" s="83"/>
      <c r="J252" s="83"/>
      <c r="K252" s="144" t="s">
        <v>27</v>
      </c>
      <c r="L252" s="83"/>
      <c r="M252" s="83"/>
      <c r="N252" s="144" t="s">
        <v>27</v>
      </c>
      <c r="O252" s="83"/>
      <c r="P252" s="83"/>
      <c r="Q252" s="144" t="s">
        <v>27</v>
      </c>
      <c r="R252" s="83"/>
      <c r="S252" s="83"/>
      <c r="T252" s="144" t="s">
        <v>27</v>
      </c>
      <c r="U252" s="83"/>
      <c r="V252" s="83"/>
      <c r="W252" s="144" t="s">
        <v>27</v>
      </c>
      <c r="X252" s="83"/>
      <c r="Y252" s="83"/>
      <c r="Z252" s="144" t="s">
        <v>27</v>
      </c>
      <c r="AA252" s="83"/>
      <c r="AB252" s="144" t="s">
        <v>27</v>
      </c>
      <c r="AC252" s="616" t="s">
        <v>32</v>
      </c>
      <c r="AD252" s="83"/>
      <c r="AE252" s="83"/>
      <c r="AF252" s="144" t="s">
        <v>27</v>
      </c>
      <c r="AG252" s="83"/>
      <c r="AH252" s="83"/>
      <c r="AI252" s="144" t="s">
        <v>27</v>
      </c>
      <c r="AJ252" s="83"/>
      <c r="AK252" s="83"/>
      <c r="AL252" s="24"/>
      <c r="AN252" s="211" t="str">
        <f t="shared" si="65"/>
        <v/>
      </c>
      <c r="AO252" s="60">
        <f t="shared" si="66"/>
        <v>0</v>
      </c>
      <c r="AP252" s="60">
        <f t="shared" si="67"/>
        <v>0</v>
      </c>
      <c r="AQ252" s="60">
        <f t="shared" si="68"/>
        <v>0</v>
      </c>
      <c r="AR252" s="60">
        <f t="shared" si="69"/>
        <v>0</v>
      </c>
      <c r="AS252" s="60">
        <f t="shared" si="70"/>
        <v>0</v>
      </c>
      <c r="AT252" s="221">
        <f t="shared" si="71"/>
        <v>0</v>
      </c>
      <c r="AU252" s="36"/>
    </row>
    <row r="253" ht="15.75" customHeight="1">
      <c r="A253" s="314" t="s">
        <v>33</v>
      </c>
      <c r="B253" s="317" t="s">
        <v>1312</v>
      </c>
      <c r="C253" s="217">
        <v>4.4533037E7</v>
      </c>
      <c r="D253" s="217" t="s">
        <v>1313</v>
      </c>
      <c r="E253" s="217" t="s">
        <v>443</v>
      </c>
      <c r="F253" s="552" t="s">
        <v>844</v>
      </c>
      <c r="G253" s="144" t="s">
        <v>18</v>
      </c>
      <c r="H253" s="144" t="s">
        <v>198</v>
      </c>
      <c r="I253" s="83"/>
      <c r="J253" s="83"/>
      <c r="K253" s="144" t="s">
        <v>18</v>
      </c>
      <c r="L253" s="83"/>
      <c r="M253" s="83"/>
      <c r="N253" s="144" t="s">
        <v>27</v>
      </c>
      <c r="O253" s="83"/>
      <c r="P253" s="83"/>
      <c r="Q253" s="144" t="s">
        <v>120</v>
      </c>
      <c r="R253" s="83"/>
      <c r="S253" s="83"/>
      <c r="T253" s="144" t="s">
        <v>18</v>
      </c>
      <c r="U253" s="83"/>
      <c r="V253" s="83"/>
      <c r="W253" s="96" t="s">
        <v>22</v>
      </c>
      <c r="X253" s="96" t="s">
        <v>22</v>
      </c>
      <c r="Y253" s="96" t="s">
        <v>22</v>
      </c>
      <c r="Z253" s="96" t="s">
        <v>22</v>
      </c>
      <c r="AA253" s="96" t="s">
        <v>22</v>
      </c>
      <c r="AB253" s="96" t="s">
        <v>22</v>
      </c>
      <c r="AC253" s="96" t="s">
        <v>22</v>
      </c>
      <c r="AD253" s="83"/>
      <c r="AE253" s="83"/>
      <c r="AF253" s="616" t="s">
        <v>32</v>
      </c>
      <c r="AG253" s="83"/>
      <c r="AH253" s="83"/>
      <c r="AI253" s="616" t="s">
        <v>32</v>
      </c>
      <c r="AJ253" s="83"/>
      <c r="AK253" s="83"/>
      <c r="AL253" s="24"/>
      <c r="AN253" s="211" t="str">
        <f t="shared" si="65"/>
        <v>NO CORRESPONDE FRANCO</v>
      </c>
      <c r="AO253" s="60">
        <f t="shared" si="66"/>
        <v>3</v>
      </c>
      <c r="AP253" s="60">
        <f t="shared" si="67"/>
        <v>0</v>
      </c>
      <c r="AQ253" s="60">
        <f t="shared" si="68"/>
        <v>0</v>
      </c>
      <c r="AR253" s="60">
        <f t="shared" si="69"/>
        <v>0</v>
      </c>
      <c r="AS253" s="60">
        <f t="shared" si="70"/>
        <v>7</v>
      </c>
      <c r="AT253" s="221">
        <f t="shared" si="71"/>
        <v>7</v>
      </c>
      <c r="AU253" s="36"/>
    </row>
    <row r="254" ht="15.75" customHeight="1">
      <c r="A254" s="76" t="s">
        <v>33</v>
      </c>
      <c r="B254" s="383" t="s">
        <v>446</v>
      </c>
      <c r="C254" s="76">
        <v>9.6081789E7</v>
      </c>
      <c r="D254" s="383" t="s">
        <v>450</v>
      </c>
      <c r="E254" s="217" t="s">
        <v>443</v>
      </c>
      <c r="F254" s="383" t="s">
        <v>448</v>
      </c>
      <c r="G254" s="144" t="s">
        <v>18</v>
      </c>
      <c r="H254" s="144" t="s">
        <v>198</v>
      </c>
      <c r="I254" s="83"/>
      <c r="J254" s="83"/>
      <c r="K254" s="144" t="s">
        <v>18</v>
      </c>
      <c r="L254" s="196" t="s">
        <v>1314</v>
      </c>
      <c r="M254" s="6"/>
      <c r="N254" s="6"/>
      <c r="O254" s="6"/>
      <c r="P254" s="6"/>
      <c r="Q254" s="6"/>
      <c r="R254" s="6"/>
      <c r="S254" s="6"/>
      <c r="T254" s="6"/>
      <c r="U254" s="6"/>
      <c r="V254" s="6"/>
      <c r="W254" s="6"/>
      <c r="X254" s="6"/>
      <c r="Y254" s="6"/>
      <c r="Z254" s="6"/>
      <c r="AA254" s="6"/>
      <c r="AB254" s="6"/>
      <c r="AC254" s="6"/>
      <c r="AD254" s="6"/>
      <c r="AE254" s="6"/>
      <c r="AF254" s="6"/>
      <c r="AG254" s="6"/>
      <c r="AH254" s="6"/>
      <c r="AI254" s="6"/>
      <c r="AJ254" s="6"/>
      <c r="AK254" s="11"/>
      <c r="AL254" s="24"/>
      <c r="AN254" s="211" t="str">
        <f t="shared" si="65"/>
        <v/>
      </c>
      <c r="AO254" s="60">
        <f t="shared" si="66"/>
        <v>2</v>
      </c>
      <c r="AP254" s="60">
        <f t="shared" si="67"/>
        <v>0</v>
      </c>
      <c r="AQ254" s="60">
        <f t="shared" si="68"/>
        <v>0</v>
      </c>
      <c r="AR254" s="60">
        <f t="shared" si="69"/>
        <v>0</v>
      </c>
      <c r="AS254" s="60">
        <f t="shared" si="70"/>
        <v>0</v>
      </c>
      <c r="AT254" s="221">
        <f t="shared" si="71"/>
        <v>0</v>
      </c>
      <c r="AU254" s="36"/>
    </row>
    <row r="255" ht="15.75" customHeight="1">
      <c r="A255" s="76" t="s">
        <v>33</v>
      </c>
      <c r="B255" s="116" t="s">
        <v>1315</v>
      </c>
      <c r="C255" s="76">
        <v>4.2874724E7</v>
      </c>
      <c r="D255" s="66" t="s">
        <v>1316</v>
      </c>
      <c r="E255" s="217" t="s">
        <v>443</v>
      </c>
      <c r="F255" s="660" t="s">
        <v>1317</v>
      </c>
      <c r="G255" s="144" t="s">
        <v>27</v>
      </c>
      <c r="H255" s="616" t="s">
        <v>32</v>
      </c>
      <c r="I255" s="83"/>
      <c r="J255" s="83"/>
      <c r="K255" s="144" t="s">
        <v>27</v>
      </c>
      <c r="L255" s="83"/>
      <c r="M255" s="83"/>
      <c r="N255" s="144" t="s">
        <v>27</v>
      </c>
      <c r="O255" s="83"/>
      <c r="P255" s="83"/>
      <c r="Q255" s="144" t="s">
        <v>120</v>
      </c>
      <c r="R255" s="83"/>
      <c r="S255" s="83"/>
      <c r="T255" s="616" t="s">
        <v>32</v>
      </c>
      <c r="U255" s="83"/>
      <c r="V255" s="83"/>
      <c r="W255" s="144" t="s">
        <v>27</v>
      </c>
      <c r="X255" s="83"/>
      <c r="Y255" s="83"/>
      <c r="Z255" s="144" t="s">
        <v>27</v>
      </c>
      <c r="AA255" s="83"/>
      <c r="AB255" s="144" t="s">
        <v>27</v>
      </c>
      <c r="AC255" s="144" t="s">
        <v>27</v>
      </c>
      <c r="AD255" s="83"/>
      <c r="AE255" s="83"/>
      <c r="AF255" s="144" t="s">
        <v>27</v>
      </c>
      <c r="AG255" s="83"/>
      <c r="AH255" s="83"/>
      <c r="AI255" s="144" t="s">
        <v>27</v>
      </c>
      <c r="AJ255" s="83"/>
      <c r="AK255" s="83"/>
      <c r="AL255" s="24"/>
      <c r="AN255" s="211" t="str">
        <f t="shared" si="65"/>
        <v/>
      </c>
      <c r="AO255" s="60">
        <f t="shared" si="66"/>
        <v>0</v>
      </c>
      <c r="AP255" s="60">
        <f t="shared" si="67"/>
        <v>0</v>
      </c>
      <c r="AQ255" s="60">
        <f t="shared" si="68"/>
        <v>0</v>
      </c>
      <c r="AR255" s="60">
        <f t="shared" si="69"/>
        <v>0</v>
      </c>
      <c r="AS255" s="60">
        <f t="shared" si="70"/>
        <v>0</v>
      </c>
      <c r="AT255" s="221">
        <f t="shared" si="71"/>
        <v>0</v>
      </c>
      <c r="AU255" s="36"/>
    </row>
    <row r="256" ht="15.75" customHeight="1">
      <c r="A256" s="76" t="s">
        <v>33</v>
      </c>
      <c r="B256" s="116" t="s">
        <v>753</v>
      </c>
      <c r="C256" s="76">
        <v>4.592648E7</v>
      </c>
      <c r="D256" s="66" t="s">
        <v>756</v>
      </c>
      <c r="E256" s="217" t="s">
        <v>443</v>
      </c>
      <c r="F256" s="116" t="s">
        <v>755</v>
      </c>
      <c r="G256" s="661"/>
      <c r="H256" s="79"/>
      <c r="I256" s="79"/>
      <c r="J256" s="79"/>
      <c r="K256" s="131"/>
      <c r="L256" s="79"/>
      <c r="M256" s="124" t="s">
        <v>22</v>
      </c>
      <c r="N256" s="124" t="s">
        <v>22</v>
      </c>
      <c r="O256" s="124" t="s">
        <v>22</v>
      </c>
      <c r="P256" s="124" t="s">
        <v>22</v>
      </c>
      <c r="Q256" s="124" t="s">
        <v>22</v>
      </c>
      <c r="R256" s="124" t="s">
        <v>22</v>
      </c>
      <c r="S256" s="83"/>
      <c r="T256" s="144" t="s">
        <v>27</v>
      </c>
      <c r="U256" s="83"/>
      <c r="V256" s="83"/>
      <c r="W256" s="144" t="s">
        <v>27</v>
      </c>
      <c r="X256" s="83"/>
      <c r="Y256" s="83"/>
      <c r="Z256" s="144" t="s">
        <v>27</v>
      </c>
      <c r="AA256" s="83"/>
      <c r="AB256" s="144" t="s">
        <v>27</v>
      </c>
      <c r="AC256" s="144" t="s">
        <v>27</v>
      </c>
      <c r="AD256" s="83"/>
      <c r="AE256" s="83"/>
      <c r="AF256" s="144" t="s">
        <v>27</v>
      </c>
      <c r="AG256" s="83"/>
      <c r="AH256" s="83"/>
      <c r="AI256" s="144" t="s">
        <v>27</v>
      </c>
      <c r="AJ256" s="83"/>
      <c r="AK256" s="83"/>
      <c r="AL256" s="24"/>
      <c r="AN256" s="211" t="str">
        <f t="shared" si="65"/>
        <v/>
      </c>
      <c r="AO256" s="60"/>
      <c r="AP256" s="60"/>
      <c r="AQ256" s="60"/>
      <c r="AR256" s="60"/>
      <c r="AS256" s="60"/>
      <c r="AT256" s="221"/>
      <c r="AU256" s="36"/>
    </row>
    <row r="257" ht="15.75" customHeight="1">
      <c r="A257" s="630" t="s">
        <v>454</v>
      </c>
      <c r="B257" s="6"/>
      <c r="C257" s="6"/>
      <c r="D257" s="6"/>
      <c r="E257" s="6"/>
      <c r="F257" s="6"/>
      <c r="G257" s="6"/>
      <c r="H257" s="6"/>
      <c r="I257" s="6"/>
      <c r="J257" s="6"/>
      <c r="K257" s="6"/>
      <c r="L257" s="6"/>
      <c r="M257" s="6"/>
      <c r="N257" s="6"/>
      <c r="O257" s="6"/>
      <c r="P257" s="6"/>
      <c r="Q257" s="6"/>
      <c r="R257" s="6"/>
      <c r="S257" s="6"/>
      <c r="T257" s="6"/>
      <c r="U257" s="6"/>
      <c r="V257" s="6"/>
      <c r="W257" s="6"/>
      <c r="X257" s="6"/>
      <c r="Y257" s="6"/>
      <c r="Z257" s="6"/>
      <c r="AA257" s="6"/>
      <c r="AB257" s="6"/>
      <c r="AC257" s="6"/>
      <c r="AD257" s="6"/>
      <c r="AE257" s="6"/>
      <c r="AF257" s="6"/>
      <c r="AG257" s="6"/>
      <c r="AH257" s="6"/>
      <c r="AI257" s="6"/>
      <c r="AJ257" s="6"/>
      <c r="AK257" s="11"/>
      <c r="AL257" s="24"/>
      <c r="AN257" s="211" t="str">
        <f t="shared" si="65"/>
        <v/>
      </c>
    </row>
    <row r="258" ht="15.0" customHeight="1">
      <c r="A258" s="190" t="s">
        <v>124</v>
      </c>
      <c r="B258" s="317" t="s">
        <v>1318</v>
      </c>
      <c r="C258" s="182">
        <v>8994.0</v>
      </c>
      <c r="D258" s="182" t="s">
        <v>1319</v>
      </c>
      <c r="E258" s="182" t="s">
        <v>471</v>
      </c>
      <c r="F258" s="191" t="s">
        <v>1320</v>
      </c>
      <c r="G258" s="144" t="s">
        <v>27</v>
      </c>
      <c r="H258" s="144" t="s">
        <v>27</v>
      </c>
      <c r="I258" s="83"/>
      <c r="J258" s="83"/>
      <c r="K258" s="144" t="s">
        <v>27</v>
      </c>
      <c r="L258" s="83"/>
      <c r="M258" s="83"/>
      <c r="N258" s="144" t="s">
        <v>27</v>
      </c>
      <c r="O258" s="83"/>
      <c r="P258" s="83"/>
      <c r="Q258" s="144" t="s">
        <v>27</v>
      </c>
      <c r="R258" s="83"/>
      <c r="S258" s="83"/>
      <c r="T258" s="144" t="s">
        <v>27</v>
      </c>
      <c r="U258" s="83"/>
      <c r="V258" s="83"/>
      <c r="W258" s="144" t="s">
        <v>27</v>
      </c>
      <c r="X258" s="83"/>
      <c r="Y258" s="83"/>
      <c r="Z258" s="144" t="s">
        <v>27</v>
      </c>
      <c r="AA258" s="83"/>
      <c r="AB258" s="144" t="s">
        <v>27</v>
      </c>
      <c r="AC258" s="144" t="s">
        <v>27</v>
      </c>
      <c r="AD258" s="83"/>
      <c r="AE258" s="83"/>
      <c r="AF258" s="144" t="s">
        <v>27</v>
      </c>
      <c r="AG258" s="83"/>
      <c r="AH258" s="83"/>
      <c r="AI258" s="144" t="s">
        <v>27</v>
      </c>
      <c r="AJ258" s="83"/>
      <c r="AK258" s="83"/>
      <c r="AL258" s="24"/>
      <c r="AN258" s="211" t="str">
        <f t="shared" si="65"/>
        <v/>
      </c>
    </row>
    <row r="259" ht="15.75" customHeight="1">
      <c r="A259" s="190" t="s">
        <v>33</v>
      </c>
      <c r="B259" s="317" t="s">
        <v>1321</v>
      </c>
      <c r="C259" s="182">
        <v>3.5040565E7</v>
      </c>
      <c r="D259" s="182" t="s">
        <v>1322</v>
      </c>
      <c r="E259" s="182" t="s">
        <v>966</v>
      </c>
      <c r="F259" s="191" t="s">
        <v>1323</v>
      </c>
      <c r="G259" s="144" t="s">
        <v>27</v>
      </c>
      <c r="H259" s="144" t="s">
        <v>27</v>
      </c>
      <c r="I259" s="83"/>
      <c r="J259" s="83"/>
      <c r="K259" s="144" t="s">
        <v>27</v>
      </c>
      <c r="L259" s="83"/>
      <c r="M259" s="83"/>
      <c r="N259" s="144" t="s">
        <v>27</v>
      </c>
      <c r="O259" s="83"/>
      <c r="P259" s="83"/>
      <c r="Q259" s="144" t="s">
        <v>27</v>
      </c>
      <c r="R259" s="83"/>
      <c r="S259" s="83"/>
      <c r="T259" s="144" t="s">
        <v>27</v>
      </c>
      <c r="U259" s="83"/>
      <c r="V259" s="83"/>
      <c r="W259" s="144" t="s">
        <v>27</v>
      </c>
      <c r="X259" s="83"/>
      <c r="Y259" s="83"/>
      <c r="Z259" s="144" t="s">
        <v>27</v>
      </c>
      <c r="AA259" s="83"/>
      <c r="AB259" s="144" t="s">
        <v>27</v>
      </c>
      <c r="AC259" s="144" t="s">
        <v>27</v>
      </c>
      <c r="AD259" s="83"/>
      <c r="AE259" s="83"/>
      <c r="AF259" s="144" t="s">
        <v>27</v>
      </c>
      <c r="AG259" s="83"/>
      <c r="AH259" s="83"/>
      <c r="AI259" s="144" t="s">
        <v>27</v>
      </c>
      <c r="AJ259" s="83"/>
      <c r="AK259" s="83"/>
      <c r="AL259" s="24"/>
      <c r="AN259" s="211" t="str">
        <f t="shared" si="65"/>
        <v/>
      </c>
      <c r="AO259" s="60">
        <f>COUNTIF($G259:$AK259,"LLT")</f>
        <v>0</v>
      </c>
      <c r="AP259" s="60">
        <f>COUNTIF($G259:$AK259,"LM")</f>
        <v>0</v>
      </c>
      <c r="AQ259" s="60">
        <f>COUNTIF($G259:$AK259,"FaC")</f>
        <v>0</v>
      </c>
      <c r="AR259" s="60">
        <f>COUNTIF($G259:$AK259,"LxE")</f>
        <v>0</v>
      </c>
      <c r="AS259" s="60">
        <f>COUNTIF($G259:$AK259,"LA")</f>
        <v>0</v>
      </c>
      <c r="AT259" s="221">
        <f>SUM(AP259:AS259)</f>
        <v>0</v>
      </c>
      <c r="AU259" s="36"/>
    </row>
    <row r="260" ht="15.75" customHeight="1">
      <c r="A260" s="369" t="s">
        <v>495</v>
      </c>
      <c r="B260" s="6"/>
      <c r="C260" s="6"/>
      <c r="D260" s="6"/>
      <c r="E260" s="6"/>
      <c r="F260" s="6"/>
      <c r="G260" s="6"/>
      <c r="H260" s="6"/>
      <c r="I260" s="6"/>
      <c r="J260" s="6"/>
      <c r="K260" s="6"/>
      <c r="L260" s="6"/>
      <c r="M260" s="6"/>
      <c r="N260" s="6"/>
      <c r="O260" s="6"/>
      <c r="P260" s="6"/>
      <c r="Q260" s="6"/>
      <c r="R260" s="6"/>
      <c r="S260" s="6"/>
      <c r="T260" s="6"/>
      <c r="U260" s="6"/>
      <c r="V260" s="6"/>
      <c r="W260" s="6"/>
      <c r="X260" s="6"/>
      <c r="Y260" s="6"/>
      <c r="Z260" s="6"/>
      <c r="AA260" s="6"/>
      <c r="AB260" s="6"/>
      <c r="AC260" s="6"/>
      <c r="AD260" s="6"/>
      <c r="AE260" s="6"/>
      <c r="AF260" s="6"/>
      <c r="AG260" s="6"/>
      <c r="AH260" s="6"/>
      <c r="AI260" s="6"/>
      <c r="AJ260" s="6"/>
      <c r="AK260" s="11"/>
      <c r="AL260" s="24"/>
      <c r="AN260" s="211" t="str">
        <f t="shared" si="65"/>
        <v/>
      </c>
    </row>
    <row r="261" ht="15.75" customHeight="1">
      <c r="A261" s="190" t="s">
        <v>59</v>
      </c>
      <c r="B261" s="191" t="s">
        <v>1233</v>
      </c>
      <c r="C261" s="217">
        <v>2745.0</v>
      </c>
      <c r="D261" s="182" t="s">
        <v>1234</v>
      </c>
      <c r="E261" s="143" t="s">
        <v>1235</v>
      </c>
      <c r="F261" s="601" t="s">
        <v>1236</v>
      </c>
      <c r="G261" s="131" t="s">
        <v>27</v>
      </c>
      <c r="H261" s="131" t="s">
        <v>27</v>
      </c>
      <c r="I261" s="79"/>
      <c r="J261" s="79"/>
      <c r="K261" s="131" t="s">
        <v>27</v>
      </c>
      <c r="L261" s="79"/>
      <c r="M261" s="79"/>
      <c r="N261" s="131" t="s">
        <v>27</v>
      </c>
      <c r="O261" s="79"/>
      <c r="P261" s="79"/>
      <c r="Q261" s="131" t="s">
        <v>27</v>
      </c>
      <c r="R261" s="79"/>
      <c r="S261" s="79"/>
      <c r="T261" s="79"/>
      <c r="U261" s="79"/>
      <c r="V261" s="83"/>
      <c r="W261" s="144" t="s">
        <v>27</v>
      </c>
      <c r="X261" s="83"/>
      <c r="Y261" s="83"/>
      <c r="Z261" s="144" t="s">
        <v>27</v>
      </c>
      <c r="AA261" s="83"/>
      <c r="AB261" s="616" t="s">
        <v>32</v>
      </c>
      <c r="AC261" s="135" t="s">
        <v>79</v>
      </c>
      <c r="AD261" s="83"/>
      <c r="AE261" s="83"/>
      <c r="AF261" s="144" t="s">
        <v>27</v>
      </c>
      <c r="AG261" s="83"/>
      <c r="AH261" s="66"/>
      <c r="AI261" s="144" t="s">
        <v>27</v>
      </c>
      <c r="AJ261" s="76"/>
      <c r="AK261" s="83"/>
      <c r="AL261" s="24"/>
      <c r="AN261" s="211" t="str">
        <f t="shared" si="65"/>
        <v/>
      </c>
    </row>
    <row r="262" ht="15.75" customHeight="1">
      <c r="A262" s="551" t="s">
        <v>33</v>
      </c>
      <c r="B262" s="317" t="s">
        <v>1324</v>
      </c>
      <c r="C262" s="182">
        <v>3.760747E7</v>
      </c>
      <c r="D262" s="217" t="s">
        <v>1325</v>
      </c>
      <c r="E262" s="182" t="s">
        <v>966</v>
      </c>
      <c r="F262" s="317" t="s">
        <v>1326</v>
      </c>
      <c r="G262" s="144" t="s">
        <v>27</v>
      </c>
      <c r="H262" s="616" t="s">
        <v>32</v>
      </c>
      <c r="I262" s="83"/>
      <c r="J262" s="83"/>
      <c r="K262" s="144" t="s">
        <v>27</v>
      </c>
      <c r="L262" s="83"/>
      <c r="M262" s="83"/>
      <c r="N262" s="144" t="s">
        <v>27</v>
      </c>
      <c r="O262" s="83"/>
      <c r="P262" s="83"/>
      <c r="Q262" s="144" t="s">
        <v>27</v>
      </c>
      <c r="R262" s="83"/>
      <c r="S262" s="83"/>
      <c r="T262" s="144" t="s">
        <v>27</v>
      </c>
      <c r="U262" s="83"/>
      <c r="V262" s="83"/>
      <c r="W262" s="144" t="s">
        <v>27</v>
      </c>
      <c r="X262" s="83"/>
      <c r="Y262" s="83"/>
      <c r="Z262" s="144" t="s">
        <v>27</v>
      </c>
      <c r="AA262" s="83"/>
      <c r="AB262" s="144" t="s">
        <v>27</v>
      </c>
      <c r="AC262" s="144" t="s">
        <v>27</v>
      </c>
      <c r="AD262" s="83"/>
      <c r="AE262" s="83"/>
      <c r="AF262" s="144" t="s">
        <v>27</v>
      </c>
      <c r="AG262" s="83"/>
      <c r="AH262" s="83"/>
      <c r="AI262" s="616" t="s">
        <v>32</v>
      </c>
      <c r="AJ262" s="83"/>
      <c r="AK262" s="83"/>
      <c r="AL262" s="24"/>
      <c r="AN262" s="211" t="str">
        <f t="shared" si="65"/>
        <v/>
      </c>
      <c r="AO262" s="60">
        <f>COUNTIF($G262:$AK262,"LLT")</f>
        <v>0</v>
      </c>
      <c r="AP262" s="60">
        <f>COUNTIF($G262:$AK262,"LM")</f>
        <v>0</v>
      </c>
      <c r="AQ262" s="60">
        <f>COUNTIF($G262:$AK262,"FaC")</f>
        <v>0</v>
      </c>
      <c r="AR262" s="60">
        <f>COUNTIF($G262:$AK262,"LxE")</f>
        <v>0</v>
      </c>
      <c r="AS262" s="60">
        <f>COUNTIF($G262:$AK262,"LA")</f>
        <v>0</v>
      </c>
      <c r="AT262" s="221">
        <f>SUM(AP262:AS262)</f>
        <v>0</v>
      </c>
      <c r="AU262" s="36"/>
    </row>
    <row r="263" ht="15.75" customHeight="1">
      <c r="B263" s="399"/>
      <c r="F263" s="399"/>
      <c r="G263" s="24">
        <f t="shared" ref="G263:AK263" si="72">COUNTIF(G5:G262,"P") + COUNTIF(G5:G262, "LLT")</f>
        <v>50</v>
      </c>
      <c r="H263" s="24">
        <f t="shared" si="72"/>
        <v>44</v>
      </c>
      <c r="I263" s="24">
        <f t="shared" si="72"/>
        <v>64</v>
      </c>
      <c r="J263" s="24">
        <f t="shared" si="72"/>
        <v>68</v>
      </c>
      <c r="K263" s="24">
        <f t="shared" si="72"/>
        <v>60</v>
      </c>
      <c r="L263" s="24">
        <f t="shared" si="72"/>
        <v>59</v>
      </c>
      <c r="M263" s="24">
        <f t="shared" si="72"/>
        <v>64</v>
      </c>
      <c r="N263" s="24">
        <f t="shared" si="72"/>
        <v>44</v>
      </c>
      <c r="O263" s="24">
        <f t="shared" si="72"/>
        <v>46</v>
      </c>
      <c r="P263" s="24">
        <f t="shared" si="72"/>
        <v>69</v>
      </c>
      <c r="Q263" s="24">
        <f t="shared" si="72"/>
        <v>57</v>
      </c>
      <c r="R263" s="24">
        <f t="shared" si="72"/>
        <v>63</v>
      </c>
      <c r="S263" s="24">
        <f t="shared" si="72"/>
        <v>57</v>
      </c>
      <c r="T263" s="24">
        <f t="shared" si="72"/>
        <v>56</v>
      </c>
      <c r="U263" s="24">
        <f t="shared" si="72"/>
        <v>56</v>
      </c>
      <c r="V263" s="24">
        <f t="shared" si="72"/>
        <v>49</v>
      </c>
      <c r="W263" s="24">
        <f t="shared" si="72"/>
        <v>45</v>
      </c>
      <c r="X263" s="24">
        <f t="shared" si="72"/>
        <v>60</v>
      </c>
      <c r="Y263" s="24">
        <f t="shared" si="72"/>
        <v>65</v>
      </c>
      <c r="Z263" s="24">
        <f t="shared" si="72"/>
        <v>55</v>
      </c>
      <c r="AA263" s="24">
        <f t="shared" si="72"/>
        <v>50</v>
      </c>
      <c r="AB263" s="24">
        <f t="shared" si="72"/>
        <v>53</v>
      </c>
      <c r="AC263" s="24">
        <f t="shared" si="72"/>
        <v>37</v>
      </c>
      <c r="AD263" s="24">
        <f t="shared" si="72"/>
        <v>52</v>
      </c>
      <c r="AE263" s="24">
        <f t="shared" si="72"/>
        <v>59</v>
      </c>
      <c r="AF263" s="24">
        <f t="shared" si="72"/>
        <v>53</v>
      </c>
      <c r="AG263" s="24">
        <f t="shared" si="72"/>
        <v>60</v>
      </c>
      <c r="AH263" s="24">
        <f t="shared" si="72"/>
        <v>56</v>
      </c>
      <c r="AI263" s="24">
        <f t="shared" si="72"/>
        <v>51</v>
      </c>
      <c r="AJ263" s="24">
        <f t="shared" si="72"/>
        <v>50</v>
      </c>
      <c r="AK263" s="24">
        <f t="shared" si="72"/>
        <v>61</v>
      </c>
      <c r="AL263" s="24"/>
    </row>
    <row r="264" ht="15.75" customHeight="1">
      <c r="B264" s="399"/>
      <c r="F264" s="399"/>
      <c r="G264" s="24">
        <f t="shared" ref="G264:AK264" si="73">COUNTIF(G5:G262,"P") + COUNTIF(G5:G262, "LLT") + COUNTIF(G5:G262, "FA") + COUNTIF(G5:G262, "A") + COUNTIF(G5:G262, "LM") + COUNTIF(G5:G262, "LA") + COUNTIF(G5:G262, "FAC") + COUNTIF(G5:G262, "LXF") + COUNTIF(G5:G262, "LXE") + COUNTIF(G5:G262, "LXM")</f>
        <v>68</v>
      </c>
      <c r="H264" s="24">
        <f t="shared" si="73"/>
        <v>65</v>
      </c>
      <c r="I264" s="24">
        <f t="shared" si="73"/>
        <v>80</v>
      </c>
      <c r="J264" s="24">
        <f t="shared" si="73"/>
        <v>84</v>
      </c>
      <c r="K264" s="24">
        <f t="shared" si="73"/>
        <v>76</v>
      </c>
      <c r="L264" s="24">
        <f t="shared" si="73"/>
        <v>76</v>
      </c>
      <c r="M264" s="24">
        <f t="shared" si="73"/>
        <v>85</v>
      </c>
      <c r="N264" s="24">
        <f t="shared" si="73"/>
        <v>68</v>
      </c>
      <c r="O264" s="24">
        <f t="shared" si="73"/>
        <v>65</v>
      </c>
      <c r="P264" s="24">
        <f t="shared" si="73"/>
        <v>90</v>
      </c>
      <c r="Q264" s="24">
        <f t="shared" si="73"/>
        <v>77</v>
      </c>
      <c r="R264" s="24">
        <f t="shared" si="73"/>
        <v>85</v>
      </c>
      <c r="S264" s="24">
        <f t="shared" si="73"/>
        <v>79</v>
      </c>
      <c r="T264" s="24">
        <f t="shared" si="73"/>
        <v>83</v>
      </c>
      <c r="U264" s="24">
        <f t="shared" si="73"/>
        <v>84</v>
      </c>
      <c r="V264" s="24">
        <f t="shared" si="73"/>
        <v>81</v>
      </c>
      <c r="W264" s="24">
        <f t="shared" si="73"/>
        <v>73</v>
      </c>
      <c r="X264" s="24">
        <f t="shared" si="73"/>
        <v>88</v>
      </c>
      <c r="Y264" s="24">
        <f t="shared" si="73"/>
        <v>88</v>
      </c>
      <c r="Z264" s="24">
        <f t="shared" si="73"/>
        <v>86</v>
      </c>
      <c r="AA264" s="24">
        <f t="shared" si="73"/>
        <v>78</v>
      </c>
      <c r="AB264" s="24">
        <f t="shared" si="73"/>
        <v>85</v>
      </c>
      <c r="AC264" s="24">
        <f t="shared" si="73"/>
        <v>71</v>
      </c>
      <c r="AD264" s="24">
        <f t="shared" si="73"/>
        <v>84</v>
      </c>
      <c r="AE264" s="24">
        <f t="shared" si="73"/>
        <v>87</v>
      </c>
      <c r="AF264" s="24">
        <f t="shared" si="73"/>
        <v>84</v>
      </c>
      <c r="AG264" s="24">
        <f t="shared" si="73"/>
        <v>88</v>
      </c>
      <c r="AH264" s="24">
        <f t="shared" si="73"/>
        <v>83</v>
      </c>
      <c r="AI264" s="24">
        <f t="shared" si="73"/>
        <v>78</v>
      </c>
      <c r="AJ264" s="24">
        <f t="shared" si="73"/>
        <v>73</v>
      </c>
      <c r="AK264" s="24">
        <f t="shared" si="73"/>
        <v>80</v>
      </c>
      <c r="AL264" s="24"/>
    </row>
    <row r="265" ht="15.75" customHeight="1">
      <c r="B265" s="399"/>
      <c r="F265" s="399"/>
      <c r="G265" s="24">
        <f>G263+'TURNO MAÑANA 06 A 14 HS'!F121+'TURNO TARDE DE 14 A 22 HS'!F98+'TURNO NOCHE 22 A 06 HS '!F71+'CMU PUERTO MADERO'!G70+'CMU VILLA LUGANO'!G72</f>
        <v>199</v>
      </c>
      <c r="H265" s="24">
        <f>H263+'TURNO MAÑANA 06 A 14 HS'!G121+'TURNO TARDE DE 14 A 22 HS'!G98+'TURNO NOCHE 22 A 06 HS '!G71+'CMU PUERTO MADERO'!H70+'CMU VILLA LUGANO'!H72</f>
        <v>154</v>
      </c>
      <c r="I265" s="24">
        <f>I263+'TURNO MAÑANA 06 A 14 HS'!H121+'TURNO TARDE DE 14 A 22 HS'!H98+'TURNO NOCHE 22 A 06 HS '!H71+'CMU PUERTO MADERO'!I70+'CMU VILLA LUGANO'!I72</f>
        <v>184</v>
      </c>
      <c r="J265" s="24">
        <f>J263+'TURNO MAÑANA 06 A 14 HS'!I121+'TURNO TARDE DE 14 A 22 HS'!I98+'TURNO NOCHE 22 A 06 HS '!I71+'CMU PUERTO MADERO'!J70+'CMU VILLA LUGANO'!J72</f>
        <v>178</v>
      </c>
      <c r="K265" s="24">
        <f>K263+'TURNO MAÑANA 06 A 14 HS'!J121+'TURNO TARDE DE 14 A 22 HS'!J98+'TURNO NOCHE 22 A 06 HS '!J71+'CMU PUERTO MADERO'!K70+'CMU VILLA LUGANO'!K72</f>
        <v>176</v>
      </c>
      <c r="L265" s="24">
        <f>L263+'TURNO MAÑANA 06 A 14 HS'!K121+'TURNO TARDE DE 14 A 22 HS'!K98+'TURNO NOCHE 22 A 06 HS '!K71+'CMU PUERTO MADERO'!L70+'CMU VILLA LUGANO'!L72</f>
        <v>170</v>
      </c>
      <c r="M265" s="24">
        <f>M263+'TURNO MAÑANA 06 A 14 HS'!L121+'TURNO TARDE DE 14 A 22 HS'!L98+'TURNO NOCHE 22 A 06 HS '!L71+'CMU PUERTO MADERO'!M70+'CMU VILLA LUGANO'!M72</f>
        <v>180</v>
      </c>
      <c r="N265" s="24">
        <f>N263+'TURNO MAÑANA 06 A 14 HS'!M121+'TURNO TARDE DE 14 A 22 HS'!M98+'TURNO NOCHE 22 A 06 HS '!M71+'CMU PUERTO MADERO'!N70+'CMU VILLA LUGANO'!N72</f>
        <v>178</v>
      </c>
      <c r="O265" s="24">
        <f>O263+'TURNO MAÑANA 06 A 14 HS'!N121+'TURNO TARDE DE 14 A 22 HS'!N98+'TURNO NOCHE 22 A 06 HS '!N71+'CMU PUERTO MADERO'!O70+'CMU VILLA LUGANO'!O72</f>
        <v>170</v>
      </c>
      <c r="P265" s="24">
        <f>P263+'TURNO MAÑANA 06 A 14 HS'!O121+'TURNO TARDE DE 14 A 22 HS'!O98+'TURNO NOCHE 22 A 06 HS '!O71+'CMU PUERTO MADERO'!P70+'CMU VILLA LUGANO'!P72</f>
        <v>205</v>
      </c>
      <c r="Q265" s="24">
        <f>Q263+'TURNO MAÑANA 06 A 14 HS'!P121+'TURNO TARDE DE 14 A 22 HS'!P98+'TURNO NOCHE 22 A 06 HS '!P71+'CMU PUERTO MADERO'!Q70+'CMU VILLA LUGANO'!Q72</f>
        <v>203</v>
      </c>
      <c r="R265" s="24">
        <f>R263+'TURNO MAÑANA 06 A 14 HS'!Q121+'TURNO TARDE DE 14 A 22 HS'!Q98+'TURNO NOCHE 22 A 06 HS '!Q71+'CMU PUERTO MADERO'!R70+'CMU VILLA LUGANO'!R72</f>
        <v>205</v>
      </c>
      <c r="S265" s="24">
        <f>S263+'TURNO MAÑANA 06 A 14 HS'!R121+'TURNO TARDE DE 14 A 22 HS'!R98+'TURNO NOCHE 22 A 06 HS '!R71+'CMU PUERTO MADERO'!S70+'CMU VILLA LUGANO'!S72</f>
        <v>194</v>
      </c>
      <c r="T265" s="24">
        <f>T263+'TURNO MAÑANA 06 A 14 HS'!S121+'TURNO TARDE DE 14 A 22 HS'!S98+'TURNO NOCHE 22 A 06 HS '!S71+'CMU PUERTO MADERO'!T70+'CMU VILLA LUGANO'!T72</f>
        <v>157</v>
      </c>
      <c r="U265" s="24">
        <f>U263+'TURNO MAÑANA 06 A 14 HS'!T121+'TURNO TARDE DE 14 A 22 HS'!T98+'TURNO NOCHE 22 A 06 HS '!T71+'CMU PUERTO MADERO'!U70+'CMU VILLA LUGANO'!U72</f>
        <v>149</v>
      </c>
      <c r="V265" s="24">
        <f>V263+'TURNO MAÑANA 06 A 14 HS'!U121+'TURNO TARDE DE 14 A 22 HS'!U98+'TURNO NOCHE 22 A 06 HS '!U71+'CMU PUERTO MADERO'!V70+'CMU VILLA LUGANO'!V72</f>
        <v>141</v>
      </c>
      <c r="W265" s="24">
        <f>W263+'TURNO MAÑANA 06 A 14 HS'!V121+'TURNO TARDE DE 14 A 22 HS'!V98+'TURNO NOCHE 22 A 06 HS '!V71+'CMU PUERTO MADERO'!W70+'CMU VILLA LUGANO'!W72</f>
        <v>144</v>
      </c>
      <c r="X265" s="24">
        <f>X263+'TURNO MAÑANA 06 A 14 HS'!W121+'TURNO TARDE DE 14 A 22 HS'!W98+'TURNO NOCHE 22 A 06 HS '!W71+'CMU PUERTO MADERO'!X70+'CMU VILLA LUGANO'!X72</f>
        <v>167</v>
      </c>
      <c r="Y265" s="24">
        <f>Y263+'TURNO MAÑANA 06 A 14 HS'!X121+'TURNO TARDE DE 14 A 22 HS'!X98+'TURNO NOCHE 22 A 06 HS '!X71+'CMU PUERTO MADERO'!Y70+'CMU VILLA LUGANO'!Y72</f>
        <v>173</v>
      </c>
      <c r="Z265" s="24">
        <f>Z263+'TURNO MAÑANA 06 A 14 HS'!Y121+'TURNO TARDE DE 14 A 22 HS'!Y98+'TURNO NOCHE 22 A 06 HS '!Y71+'CMU PUERTO MADERO'!Z70+'CMU VILLA LUGANO'!Z72</f>
        <v>193</v>
      </c>
      <c r="AA265" s="24">
        <f>AA263+'TURNO MAÑANA 06 A 14 HS'!Z121+'TURNO TARDE DE 14 A 22 HS'!Z98+'TURNO NOCHE 22 A 06 HS '!Z71+'CMU PUERTO MADERO'!AA70+'CMU VILLA LUGANO'!AA72</f>
        <v>191</v>
      </c>
      <c r="AB265" s="24">
        <f>AB263+'TURNO MAÑANA 06 A 14 HS'!AA121+'TURNO TARDE DE 14 A 22 HS'!AA98+'TURNO NOCHE 22 A 06 HS '!AA71+'CMU PUERTO MADERO'!AB70+'CMU VILLA LUGANO'!AB72</f>
        <v>182</v>
      </c>
      <c r="AC265" s="24">
        <f>AC263+'TURNO MAÑANA 06 A 14 HS'!AB121+'TURNO TARDE DE 14 A 22 HS'!AB98+'TURNO NOCHE 22 A 06 HS '!AB71+'CMU PUERTO MADERO'!AC70+'CMU VILLA LUGANO'!AC72</f>
        <v>152</v>
      </c>
      <c r="AD265" s="24">
        <f>AD263+'TURNO MAÑANA 06 A 14 HS'!AC121+'TURNO TARDE DE 14 A 22 HS'!AC98+'TURNO NOCHE 22 A 06 HS '!AC71+'CMU PUERTO MADERO'!AD70+'CMU VILLA LUGANO'!AD72</f>
        <v>175</v>
      </c>
      <c r="AE265" s="24">
        <f>AE263+'TURNO MAÑANA 06 A 14 HS'!AD121+'TURNO TARDE DE 14 A 22 HS'!AD98+'TURNO NOCHE 22 A 06 HS '!AD71+'CMU PUERTO MADERO'!AE70+'CMU VILLA LUGANO'!AE72</f>
        <v>196</v>
      </c>
      <c r="AF265" s="24">
        <f>AF263+'TURNO MAÑANA 06 A 14 HS'!AE121+'TURNO TARDE DE 14 A 22 HS'!AE98+'TURNO NOCHE 22 A 06 HS '!AE71+'CMU PUERTO MADERO'!AF70+'CMU VILLA LUGANO'!AF72</f>
        <v>159</v>
      </c>
      <c r="AG265" s="24">
        <f>AG263+'TURNO MAÑANA 06 A 14 HS'!AF121+'TURNO TARDE DE 14 A 22 HS'!AF98+'TURNO NOCHE 22 A 06 HS '!AF71+'CMU PUERTO MADERO'!AG70+'CMU VILLA LUGANO'!AG72</f>
        <v>165</v>
      </c>
      <c r="AH265" s="24">
        <f>AH263+'TURNO MAÑANA 06 A 14 HS'!AG121+'TURNO TARDE DE 14 A 22 HS'!AG98+'TURNO NOCHE 22 A 06 HS '!AG71+'CMU PUERTO MADERO'!AH70+'CMU VILLA LUGANO'!AH72</f>
        <v>164</v>
      </c>
      <c r="AI265" s="24">
        <f>AI263+'TURNO MAÑANA 06 A 14 HS'!AH121+'TURNO TARDE DE 14 A 22 HS'!AH98+'TURNO NOCHE 22 A 06 HS '!AH71+'CMU PUERTO MADERO'!AI70+'CMU VILLA LUGANO'!AI72</f>
        <v>150</v>
      </c>
      <c r="AJ265" s="24">
        <f>AJ263+'TURNO MAÑANA 06 A 14 HS'!AI121+'TURNO TARDE DE 14 A 22 HS'!AI98+'TURNO NOCHE 22 A 06 HS '!AI71+'CMU PUERTO MADERO'!AJ70+'CMU VILLA LUGANO'!AJ72</f>
        <v>150</v>
      </c>
      <c r="AK265" s="24">
        <f>AK263+'TURNO MAÑANA 06 A 14 HS'!AJ121+'TURNO TARDE DE 14 A 22 HS'!AJ98+'TURNO NOCHE 22 A 06 HS '!AJ71+'CMU PUERTO MADERO'!AK70+'CMU VILLA LUGANO'!AK72</f>
        <v>147</v>
      </c>
      <c r="AL265" s="24"/>
    </row>
    <row r="266" ht="15.75" customHeight="1">
      <c r="B266" s="399"/>
      <c r="F266" s="399"/>
      <c r="G266" s="24">
        <f>G264+'TURNO MAÑANA 06 A 14 HS'!F122+'TURNO TARDE DE 14 A 22 HS'!F99+'TURNO NOCHE 22 A 06 HS '!F72+'CMU PUERTO MADERO'!G71+'CMU VILLA LUGANO'!G73</f>
        <v>245</v>
      </c>
      <c r="H266" s="24">
        <f>H264+'TURNO MAÑANA 06 A 14 HS'!G122+'TURNO TARDE DE 14 A 22 HS'!G99+'TURNO NOCHE 22 A 06 HS '!G72+'CMU PUERTO MADERO'!H71+'CMU VILLA LUGANO'!H73</f>
        <v>200</v>
      </c>
      <c r="I266" s="24">
        <f>I264+'TURNO MAÑANA 06 A 14 HS'!H122+'TURNO TARDE DE 14 A 22 HS'!H99+'TURNO NOCHE 22 A 06 HS '!H72+'CMU PUERTO MADERO'!I71+'CMU VILLA LUGANO'!I73</f>
        <v>223</v>
      </c>
      <c r="J266" s="24">
        <f>J264+'TURNO MAÑANA 06 A 14 HS'!I122+'TURNO TARDE DE 14 A 22 HS'!I99+'TURNO NOCHE 22 A 06 HS '!I72+'CMU PUERTO MADERO'!J71+'CMU VILLA LUGANO'!J73</f>
        <v>220</v>
      </c>
      <c r="K266" s="24">
        <f>K264+'TURNO MAÑANA 06 A 14 HS'!J122+'TURNO TARDE DE 14 A 22 HS'!J99+'TURNO NOCHE 22 A 06 HS '!J72+'CMU PUERTO MADERO'!K71+'CMU VILLA LUGANO'!K73</f>
        <v>221</v>
      </c>
      <c r="L266" s="24">
        <f>L264+'TURNO MAÑANA 06 A 14 HS'!K122+'TURNO TARDE DE 14 A 22 HS'!K99+'TURNO NOCHE 22 A 06 HS '!K72+'CMU PUERTO MADERO'!L71+'CMU VILLA LUGANO'!L73</f>
        <v>224</v>
      </c>
      <c r="M266" s="24">
        <f>M264+'TURNO MAÑANA 06 A 14 HS'!L122+'TURNO TARDE DE 14 A 22 HS'!L99+'TURNO NOCHE 22 A 06 HS '!L72+'CMU PUERTO MADERO'!M71+'CMU VILLA LUGANO'!M73</f>
        <v>238</v>
      </c>
      <c r="N266" s="24">
        <f>N264+'TURNO MAÑANA 06 A 14 HS'!M122+'TURNO TARDE DE 14 A 22 HS'!M99+'TURNO NOCHE 22 A 06 HS '!M72+'CMU PUERTO MADERO'!N71+'CMU VILLA LUGANO'!N73</f>
        <v>245</v>
      </c>
      <c r="O266" s="24">
        <f>O264+'TURNO MAÑANA 06 A 14 HS'!N122+'TURNO TARDE DE 14 A 22 HS'!N99+'TURNO NOCHE 22 A 06 HS '!N72+'CMU PUERTO MADERO'!O71+'CMU VILLA LUGANO'!O73</f>
        <v>241</v>
      </c>
      <c r="P266" s="24">
        <f>P264+'TURNO MAÑANA 06 A 14 HS'!O122+'TURNO TARDE DE 14 A 22 HS'!O99+'TURNO NOCHE 22 A 06 HS '!O72+'CMU PUERTO MADERO'!P71+'CMU VILLA LUGANO'!P73</f>
        <v>274</v>
      </c>
      <c r="Q266" s="24">
        <f>Q264+'TURNO MAÑANA 06 A 14 HS'!P122+'TURNO TARDE DE 14 A 22 HS'!P99+'TURNO NOCHE 22 A 06 HS '!P72+'CMU PUERTO MADERO'!Q71+'CMU VILLA LUGANO'!Q73</f>
        <v>270</v>
      </c>
      <c r="R266" s="24">
        <f>R264+'TURNO MAÑANA 06 A 14 HS'!Q122+'TURNO TARDE DE 14 A 22 HS'!Q99+'TURNO NOCHE 22 A 06 HS '!Q72+'CMU PUERTO MADERO'!R71+'CMU VILLA LUGANO'!R73</f>
        <v>279</v>
      </c>
      <c r="S266" s="24">
        <f>S264+'TURNO MAÑANA 06 A 14 HS'!R122+'TURNO TARDE DE 14 A 22 HS'!R99+'TURNO NOCHE 22 A 06 HS '!R72+'CMU PUERTO MADERO'!S71+'CMU VILLA LUGANO'!S73</f>
        <v>260</v>
      </c>
      <c r="T266" s="24">
        <f>T264+'TURNO MAÑANA 06 A 14 HS'!S122+'TURNO TARDE DE 14 A 22 HS'!S99+'TURNO NOCHE 22 A 06 HS '!S72+'CMU PUERTO MADERO'!T71+'CMU VILLA LUGANO'!T73</f>
        <v>224</v>
      </c>
      <c r="U266" s="24">
        <f>U264+'TURNO MAÑANA 06 A 14 HS'!T122+'TURNO TARDE DE 14 A 22 HS'!T99+'TURNO NOCHE 22 A 06 HS '!T72+'CMU PUERTO MADERO'!U71+'CMU VILLA LUGANO'!U73</f>
        <v>216</v>
      </c>
      <c r="V266" s="24">
        <f>V264+'TURNO MAÑANA 06 A 14 HS'!U122+'TURNO TARDE DE 14 A 22 HS'!U99+'TURNO NOCHE 22 A 06 HS '!U72+'CMU PUERTO MADERO'!V71+'CMU VILLA LUGANO'!V73</f>
        <v>221</v>
      </c>
      <c r="W266" s="24">
        <f>W264+'TURNO MAÑANA 06 A 14 HS'!V122+'TURNO TARDE DE 14 A 22 HS'!V99+'TURNO NOCHE 22 A 06 HS '!V72+'CMU PUERTO MADERO'!W71+'CMU VILLA LUGANO'!W73</f>
        <v>216</v>
      </c>
      <c r="X266" s="24">
        <f>X264+'TURNO MAÑANA 06 A 14 HS'!W122+'TURNO TARDE DE 14 A 22 HS'!W99+'TURNO NOCHE 22 A 06 HS '!W72+'CMU PUERTO MADERO'!X71+'CMU VILLA LUGANO'!X73</f>
        <v>234</v>
      </c>
      <c r="Y266" s="24">
        <f>Y264+'TURNO MAÑANA 06 A 14 HS'!X122+'TURNO TARDE DE 14 A 22 HS'!X99+'TURNO NOCHE 22 A 06 HS '!X72+'CMU PUERTO MADERO'!Y71+'CMU VILLA LUGANO'!Y73</f>
        <v>233</v>
      </c>
      <c r="Z266" s="24">
        <f>Z264+'TURNO MAÑANA 06 A 14 HS'!Y122+'TURNO TARDE DE 14 A 22 HS'!Y99+'TURNO NOCHE 22 A 06 HS '!Y72+'CMU PUERTO MADERO'!Z71+'CMU VILLA LUGANO'!Z73</f>
        <v>266</v>
      </c>
      <c r="AA266" s="24">
        <f>AA264+'TURNO MAÑANA 06 A 14 HS'!Z122+'TURNO TARDE DE 14 A 22 HS'!Z99+'TURNO NOCHE 22 A 06 HS '!Z72+'CMU PUERTO MADERO'!AA71+'CMU VILLA LUGANO'!AA73</f>
        <v>261</v>
      </c>
      <c r="AB266" s="24">
        <f>AB264+'TURNO MAÑANA 06 A 14 HS'!AA122+'TURNO TARDE DE 14 A 22 HS'!AA99+'TURNO NOCHE 22 A 06 HS '!AA72+'CMU PUERTO MADERO'!AB71+'CMU VILLA LUGANO'!AB73</f>
        <v>260</v>
      </c>
      <c r="AC266" s="24">
        <f>AC264+'TURNO MAÑANA 06 A 14 HS'!AB122+'TURNO TARDE DE 14 A 22 HS'!AB99+'TURNO NOCHE 22 A 06 HS '!AB72+'CMU PUERTO MADERO'!AC71+'CMU VILLA LUGANO'!AC73</f>
        <v>244</v>
      </c>
      <c r="AD266" s="24">
        <f>AD264+'TURNO MAÑANA 06 A 14 HS'!AC122+'TURNO TARDE DE 14 A 22 HS'!AC99+'TURNO NOCHE 22 A 06 HS '!AC72+'CMU PUERTO MADERO'!AD71+'CMU VILLA LUGANO'!AD73</f>
        <v>253</v>
      </c>
      <c r="AE266" s="24">
        <f>AE264+'TURNO MAÑANA 06 A 14 HS'!AD122+'TURNO TARDE DE 14 A 22 HS'!AD99+'TURNO NOCHE 22 A 06 HS '!AD72+'CMU PUERTO MADERO'!AE71+'CMU VILLA LUGANO'!AE73</f>
        <v>264</v>
      </c>
      <c r="AF266" s="24">
        <f>AF264+'TURNO MAÑANA 06 A 14 HS'!AE122+'TURNO TARDE DE 14 A 22 HS'!AE99+'TURNO NOCHE 22 A 06 HS '!AE72+'CMU PUERTO MADERO'!AF71+'CMU VILLA LUGANO'!AF73</f>
        <v>220</v>
      </c>
      <c r="AG266" s="24">
        <f>AG264+'TURNO MAÑANA 06 A 14 HS'!AF122+'TURNO TARDE DE 14 A 22 HS'!AF99+'TURNO NOCHE 22 A 06 HS '!AF72+'CMU PUERTO MADERO'!AG71+'CMU VILLA LUGANO'!AG73</f>
        <v>216</v>
      </c>
      <c r="AH266" s="24">
        <f>AH264+'TURNO MAÑANA 06 A 14 HS'!AG122+'TURNO TARDE DE 14 A 22 HS'!AG99+'TURNO NOCHE 22 A 06 HS '!AG72+'CMU PUERTO MADERO'!AH71+'CMU VILLA LUGANO'!AH73</f>
        <v>219</v>
      </c>
      <c r="AI266" s="24">
        <f>AI264+'TURNO MAÑANA 06 A 14 HS'!AH122+'TURNO TARDE DE 14 A 22 HS'!AH99+'TURNO NOCHE 22 A 06 HS '!AH72+'CMU PUERTO MADERO'!AI71+'CMU VILLA LUGANO'!AI73</f>
        <v>214</v>
      </c>
      <c r="AJ266" s="24">
        <f>AJ264+'TURNO MAÑANA 06 A 14 HS'!AI122+'TURNO TARDE DE 14 A 22 HS'!AI99+'TURNO NOCHE 22 A 06 HS '!AI72+'CMU PUERTO MADERO'!AJ71+'CMU VILLA LUGANO'!AJ73</f>
        <v>211</v>
      </c>
      <c r="AK266" s="24">
        <f>AK264+'TURNO MAÑANA 06 A 14 HS'!AJ122+'TURNO TARDE DE 14 A 22 HS'!AJ99+'TURNO NOCHE 22 A 06 HS '!AJ72+'CMU PUERTO MADERO'!AK71+'CMU VILLA LUGANO'!AK73</f>
        <v>184</v>
      </c>
      <c r="AL266" s="24"/>
    </row>
    <row r="267" ht="15.75" customHeight="1">
      <c r="B267" s="399"/>
      <c r="F267" s="399"/>
      <c r="G267" s="24"/>
      <c r="I267" s="24"/>
      <c r="O267" s="24"/>
      <c r="Q267" s="24"/>
      <c r="R267" s="24"/>
      <c r="U267" s="24"/>
      <c r="X267" s="24"/>
      <c r="Z267" s="24"/>
      <c r="AL267" s="24"/>
    </row>
    <row r="268" ht="15.75" customHeight="1">
      <c r="B268" s="399"/>
      <c r="F268" s="399"/>
      <c r="G268" s="24"/>
      <c r="I268" s="24"/>
      <c r="O268" s="24"/>
      <c r="Q268" s="24"/>
      <c r="R268" s="24"/>
      <c r="U268" s="24"/>
      <c r="X268" s="24"/>
      <c r="Z268" s="24"/>
      <c r="AB268" s="467" t="s">
        <v>245</v>
      </c>
      <c r="AL268" s="24"/>
    </row>
    <row r="269" ht="15.75" customHeight="1">
      <c r="B269" s="399"/>
      <c r="F269" s="399"/>
      <c r="G269" s="24"/>
      <c r="I269" s="24"/>
      <c r="O269" s="24"/>
      <c r="Q269" s="24"/>
      <c r="R269" s="24"/>
      <c r="U269" s="24"/>
      <c r="X269" s="24"/>
      <c r="Z269" s="24"/>
      <c r="AL269" s="24"/>
    </row>
    <row r="270" ht="15.75" customHeight="1">
      <c r="B270" s="399"/>
      <c r="F270" s="399"/>
      <c r="G270" s="24"/>
      <c r="I270" s="24"/>
      <c r="O270" s="24"/>
      <c r="Q270" s="24"/>
      <c r="R270" s="24"/>
      <c r="U270" s="24"/>
      <c r="X270" s="24"/>
      <c r="Z270" s="24"/>
      <c r="AL270" s="24"/>
    </row>
    <row r="271" ht="15.75" customHeight="1">
      <c r="B271" s="399"/>
      <c r="F271" s="399"/>
      <c r="G271" s="24"/>
      <c r="I271" s="24"/>
      <c r="O271" s="24"/>
      <c r="Q271" s="24"/>
      <c r="R271" s="24"/>
      <c r="U271" s="24"/>
      <c r="X271" s="24"/>
      <c r="Z271" s="24"/>
      <c r="AL271" s="24"/>
    </row>
    <row r="272" ht="15.75" customHeight="1">
      <c r="B272" s="399"/>
      <c r="F272" s="399"/>
      <c r="G272" s="24"/>
      <c r="I272" s="24"/>
      <c r="O272" s="24"/>
      <c r="Q272" s="24"/>
      <c r="R272" s="24"/>
      <c r="U272" s="24"/>
      <c r="X272" s="24"/>
      <c r="Z272" s="24"/>
      <c r="AL272" s="24"/>
    </row>
    <row r="273" ht="15.75" customHeight="1">
      <c r="B273" s="399"/>
      <c r="F273" s="399"/>
      <c r="G273" s="24"/>
      <c r="I273" s="24"/>
      <c r="O273" s="24"/>
      <c r="Q273" s="24"/>
      <c r="R273" s="24"/>
      <c r="U273" s="24"/>
      <c r="X273" s="24"/>
      <c r="Z273" s="24"/>
      <c r="AL273" s="24"/>
    </row>
    <row r="274" ht="15.75" customHeight="1">
      <c r="B274" s="399"/>
      <c r="F274" s="399"/>
      <c r="G274" s="24"/>
      <c r="I274" s="24"/>
      <c r="O274" s="24"/>
      <c r="Q274" s="24"/>
      <c r="R274" s="24"/>
      <c r="U274" s="24"/>
      <c r="X274" s="24"/>
      <c r="Z274" s="24"/>
      <c r="AL274" s="24"/>
    </row>
    <row r="275" ht="15.75" customHeight="1">
      <c r="B275" s="399"/>
      <c r="F275" s="399"/>
      <c r="G275" s="24"/>
      <c r="I275" s="24"/>
      <c r="O275" s="24"/>
      <c r="Q275" s="24"/>
      <c r="R275" s="24"/>
      <c r="U275" s="24"/>
      <c r="X275" s="24"/>
      <c r="Z275" s="24"/>
      <c r="AL275" s="24"/>
    </row>
    <row r="276" ht="15.75" customHeight="1">
      <c r="B276" s="399"/>
      <c r="F276" s="399"/>
      <c r="G276" s="24"/>
      <c r="I276" s="24"/>
      <c r="O276" s="24"/>
      <c r="Q276" s="24"/>
      <c r="R276" s="24"/>
      <c r="U276" s="24"/>
      <c r="X276" s="24"/>
      <c r="Z276" s="24"/>
      <c r="AL276" s="24"/>
    </row>
    <row r="277" ht="15.75" customHeight="1">
      <c r="B277" s="399"/>
      <c r="F277" s="399"/>
      <c r="G277" s="24"/>
      <c r="I277" s="24"/>
      <c r="O277" s="24"/>
      <c r="Q277" s="24"/>
      <c r="R277" s="24"/>
      <c r="U277" s="24"/>
      <c r="X277" s="24"/>
      <c r="Z277" s="24"/>
      <c r="AL277" s="24"/>
    </row>
    <row r="278" ht="15.75" customHeight="1">
      <c r="B278" s="399"/>
      <c r="F278" s="399"/>
      <c r="G278" s="24"/>
      <c r="I278" s="24"/>
      <c r="O278" s="24"/>
      <c r="Q278" s="24"/>
      <c r="R278" s="24"/>
      <c r="U278" s="24"/>
      <c r="X278" s="24"/>
      <c r="Z278" s="24"/>
      <c r="AL278" s="24"/>
    </row>
    <row r="279" ht="15.75" customHeight="1">
      <c r="B279" s="399"/>
      <c r="F279" s="399"/>
      <c r="G279" s="24"/>
      <c r="I279" s="24"/>
      <c r="O279" s="24"/>
      <c r="Q279" s="24"/>
      <c r="R279" s="24"/>
      <c r="U279" s="24"/>
      <c r="X279" s="24"/>
      <c r="Z279" s="24"/>
      <c r="AL279" s="24"/>
    </row>
    <row r="280" ht="15.75" customHeight="1">
      <c r="B280" s="399"/>
      <c r="F280" s="399"/>
      <c r="G280" s="24"/>
      <c r="I280" s="24"/>
      <c r="O280" s="24"/>
      <c r="Q280" s="24"/>
      <c r="R280" s="24"/>
      <c r="U280" s="24"/>
      <c r="X280" s="24"/>
      <c r="Z280" s="24"/>
      <c r="AL280" s="24"/>
    </row>
    <row r="281" ht="15.75" customHeight="1">
      <c r="B281" s="399"/>
      <c r="F281" s="399"/>
      <c r="G281" s="24"/>
      <c r="I281" s="24"/>
      <c r="O281" s="24"/>
      <c r="Q281" s="24"/>
      <c r="R281" s="24"/>
      <c r="U281" s="24"/>
      <c r="X281" s="24"/>
      <c r="Z281" s="24"/>
      <c r="AL281" s="24"/>
    </row>
    <row r="282" ht="15.75" customHeight="1">
      <c r="B282" s="399"/>
      <c r="F282" s="399"/>
      <c r="G282" s="24"/>
      <c r="I282" s="24"/>
      <c r="O282" s="24"/>
      <c r="Q282" s="24"/>
      <c r="R282" s="24"/>
      <c r="U282" s="24"/>
      <c r="X282" s="24"/>
      <c r="Z282" s="24"/>
      <c r="AL282" s="24"/>
    </row>
    <row r="283" ht="15.75" customHeight="1">
      <c r="B283" s="399"/>
      <c r="F283" s="399"/>
      <c r="G283" s="24"/>
      <c r="I283" s="24"/>
      <c r="O283" s="24"/>
      <c r="Q283" s="24"/>
      <c r="R283" s="24"/>
      <c r="U283" s="24"/>
      <c r="X283" s="24"/>
      <c r="Z283" s="24"/>
      <c r="AL283" s="24"/>
    </row>
    <row r="284" ht="15.75" customHeight="1">
      <c r="B284" s="399"/>
      <c r="F284" s="399"/>
      <c r="G284" s="24"/>
      <c r="I284" s="24"/>
      <c r="O284" s="24"/>
      <c r="Q284" s="24"/>
      <c r="R284" s="24"/>
      <c r="U284" s="24"/>
      <c r="X284" s="24"/>
      <c r="Z284" s="24"/>
      <c r="AL284" s="24"/>
    </row>
    <row r="285" ht="15.75" customHeight="1">
      <c r="B285" s="399"/>
      <c r="F285" s="399"/>
      <c r="G285" s="24"/>
      <c r="I285" s="24"/>
      <c r="O285" s="24"/>
      <c r="Q285" s="24"/>
      <c r="R285" s="24"/>
      <c r="U285" s="24"/>
      <c r="X285" s="24"/>
      <c r="Z285" s="24"/>
      <c r="AL285" s="24"/>
    </row>
    <row r="286" ht="15.75" customHeight="1">
      <c r="B286" s="399"/>
      <c r="F286" s="399"/>
      <c r="G286" s="24"/>
      <c r="I286" s="24"/>
      <c r="O286" s="24"/>
      <c r="Q286" s="24"/>
      <c r="R286" s="24"/>
      <c r="U286" s="24"/>
      <c r="X286" s="24"/>
      <c r="Z286" s="24"/>
      <c r="AL286" s="24"/>
    </row>
    <row r="287" ht="15.75" customHeight="1">
      <c r="B287" s="399"/>
      <c r="F287" s="399"/>
      <c r="G287" s="24"/>
      <c r="I287" s="24"/>
      <c r="O287" s="24"/>
      <c r="Q287" s="24"/>
      <c r="R287" s="24"/>
      <c r="U287" s="24"/>
      <c r="X287" s="24"/>
      <c r="Z287" s="24"/>
      <c r="AL287" s="24"/>
    </row>
    <row r="288" ht="15.75" customHeight="1">
      <c r="B288" s="399"/>
      <c r="F288" s="399"/>
      <c r="G288" s="24"/>
      <c r="I288" s="24"/>
      <c r="O288" s="24"/>
      <c r="Q288" s="24"/>
      <c r="R288" s="24"/>
      <c r="U288" s="24"/>
      <c r="X288" s="24"/>
      <c r="Z288" s="24"/>
      <c r="AL288" s="24"/>
    </row>
    <row r="289" ht="15.75" customHeight="1">
      <c r="B289" s="399"/>
      <c r="F289" s="399"/>
      <c r="G289" s="24"/>
      <c r="I289" s="24"/>
      <c r="O289" s="24"/>
      <c r="Q289" s="24"/>
      <c r="R289" s="24"/>
      <c r="U289" s="24"/>
      <c r="X289" s="24"/>
      <c r="Z289" s="24"/>
      <c r="AL289" s="24"/>
    </row>
    <row r="290" ht="15.75" customHeight="1">
      <c r="B290" s="399"/>
      <c r="F290" s="399"/>
      <c r="G290" s="24"/>
      <c r="I290" s="24"/>
      <c r="O290" s="24"/>
      <c r="Q290" s="24"/>
      <c r="R290" s="24"/>
      <c r="U290" s="24"/>
      <c r="X290" s="24"/>
      <c r="Z290" s="24"/>
      <c r="AL290" s="24"/>
    </row>
    <row r="291" ht="15.75" customHeight="1">
      <c r="B291" s="399"/>
      <c r="F291" s="399"/>
      <c r="G291" s="24"/>
      <c r="I291" s="24"/>
      <c r="O291" s="24"/>
      <c r="Q291" s="24"/>
      <c r="R291" s="24"/>
      <c r="U291" s="24"/>
      <c r="X291" s="24"/>
      <c r="Z291" s="24"/>
      <c r="AL291" s="24"/>
    </row>
    <row r="292" ht="15.75" customHeight="1">
      <c r="B292" s="399"/>
      <c r="F292" s="399"/>
      <c r="G292" s="24"/>
      <c r="I292" s="24"/>
      <c r="O292" s="24"/>
      <c r="Q292" s="24"/>
      <c r="R292" s="24"/>
      <c r="U292" s="24"/>
      <c r="X292" s="24"/>
      <c r="Z292" s="24"/>
      <c r="AL292" s="24"/>
    </row>
    <row r="293" ht="15.75" customHeight="1">
      <c r="B293" s="399"/>
      <c r="F293" s="399"/>
      <c r="G293" s="24"/>
      <c r="I293" s="24"/>
      <c r="O293" s="24"/>
      <c r="Q293" s="24"/>
      <c r="R293" s="24"/>
      <c r="U293" s="24"/>
      <c r="X293" s="24"/>
      <c r="Z293" s="24"/>
      <c r="AL293" s="24"/>
    </row>
    <row r="294" ht="15.75" customHeight="1">
      <c r="B294" s="399"/>
      <c r="F294" s="399"/>
      <c r="G294" s="24"/>
      <c r="I294" s="24"/>
      <c r="O294" s="24"/>
      <c r="Q294" s="24"/>
      <c r="R294" s="24"/>
      <c r="U294" s="24"/>
      <c r="X294" s="24"/>
      <c r="Z294" s="24"/>
      <c r="AL294" s="24"/>
    </row>
    <row r="295" ht="15.75" customHeight="1">
      <c r="B295" s="399"/>
      <c r="F295" s="399"/>
      <c r="G295" s="24"/>
      <c r="I295" s="24"/>
      <c r="O295" s="24"/>
      <c r="Q295" s="24"/>
      <c r="R295" s="24"/>
      <c r="U295" s="24"/>
      <c r="X295" s="24"/>
      <c r="Z295" s="24"/>
      <c r="AL295" s="24"/>
    </row>
    <row r="296" ht="15.75" customHeight="1">
      <c r="B296" s="399"/>
      <c r="F296" s="399"/>
      <c r="G296" s="24"/>
      <c r="I296" s="24"/>
      <c r="O296" s="24"/>
      <c r="Q296" s="24"/>
      <c r="R296" s="24"/>
      <c r="U296" s="24"/>
      <c r="X296" s="24"/>
      <c r="Z296" s="24"/>
      <c r="AL296" s="24"/>
    </row>
    <row r="297" ht="15.75" customHeight="1">
      <c r="B297" s="399"/>
      <c r="F297" s="399"/>
      <c r="G297" s="24"/>
      <c r="I297" s="24"/>
      <c r="O297" s="24"/>
      <c r="Q297" s="24"/>
      <c r="R297" s="24"/>
      <c r="U297" s="24"/>
      <c r="X297" s="24"/>
      <c r="Z297" s="24"/>
      <c r="AL297" s="24"/>
    </row>
    <row r="298" ht="15.75" customHeight="1">
      <c r="B298" s="399"/>
      <c r="F298" s="399"/>
      <c r="G298" s="24"/>
      <c r="I298" s="24"/>
      <c r="O298" s="24"/>
      <c r="Q298" s="24"/>
      <c r="R298" s="24"/>
      <c r="U298" s="24"/>
      <c r="X298" s="24"/>
      <c r="Z298" s="24"/>
      <c r="AL298" s="24"/>
    </row>
    <row r="299" ht="15.75" customHeight="1">
      <c r="B299" s="399"/>
      <c r="F299" s="399"/>
      <c r="G299" s="24"/>
      <c r="I299" s="24"/>
      <c r="O299" s="24"/>
      <c r="Q299" s="24"/>
      <c r="R299" s="24"/>
      <c r="U299" s="24"/>
      <c r="X299" s="24"/>
      <c r="Z299" s="24"/>
      <c r="AL299" s="24"/>
    </row>
    <row r="300" ht="15.75" customHeight="1">
      <c r="B300" s="399"/>
      <c r="F300" s="399"/>
      <c r="G300" s="24"/>
      <c r="I300" s="24"/>
      <c r="O300" s="24"/>
      <c r="Q300" s="24"/>
      <c r="R300" s="24"/>
      <c r="U300" s="24"/>
      <c r="X300" s="24"/>
      <c r="Z300" s="24"/>
      <c r="AL300" s="24"/>
    </row>
    <row r="301" ht="15.75" customHeight="1">
      <c r="B301" s="399"/>
      <c r="F301" s="399"/>
      <c r="G301" s="24"/>
      <c r="I301" s="24"/>
      <c r="O301" s="24"/>
      <c r="Q301" s="24"/>
      <c r="R301" s="24"/>
      <c r="U301" s="24"/>
      <c r="X301" s="24"/>
      <c r="Z301" s="24"/>
      <c r="AL301" s="24"/>
    </row>
    <row r="302" ht="15.75" customHeight="1">
      <c r="B302" s="399"/>
      <c r="F302" s="399"/>
      <c r="G302" s="24"/>
      <c r="I302" s="24"/>
      <c r="O302" s="24"/>
      <c r="Q302" s="24"/>
      <c r="R302" s="24"/>
      <c r="U302" s="24"/>
      <c r="X302" s="24"/>
      <c r="Z302" s="24"/>
      <c r="AL302" s="24"/>
    </row>
    <row r="303" ht="15.75" customHeight="1">
      <c r="B303" s="399"/>
      <c r="F303" s="399"/>
      <c r="G303" s="24"/>
      <c r="I303" s="24"/>
      <c r="O303" s="24"/>
      <c r="Q303" s="24"/>
      <c r="R303" s="24"/>
      <c r="U303" s="24"/>
      <c r="X303" s="24"/>
      <c r="Z303" s="24"/>
      <c r="AL303" s="24"/>
    </row>
    <row r="304" ht="15.75" customHeight="1">
      <c r="B304" s="399"/>
      <c r="F304" s="399"/>
      <c r="G304" s="24"/>
      <c r="I304" s="24"/>
      <c r="O304" s="24"/>
      <c r="Q304" s="24"/>
      <c r="R304" s="24"/>
      <c r="U304" s="24"/>
      <c r="X304" s="24"/>
      <c r="Z304" s="24"/>
      <c r="AL304" s="24"/>
    </row>
    <row r="305" ht="15.75" customHeight="1">
      <c r="B305" s="399"/>
      <c r="F305" s="399"/>
      <c r="G305" s="24"/>
      <c r="I305" s="24"/>
      <c r="O305" s="24"/>
      <c r="Q305" s="24"/>
      <c r="R305" s="24"/>
      <c r="U305" s="24"/>
      <c r="X305" s="24"/>
      <c r="Z305" s="24"/>
      <c r="AL305" s="24"/>
    </row>
    <row r="306" ht="15.75" customHeight="1">
      <c r="B306" s="399"/>
      <c r="F306" s="399"/>
      <c r="G306" s="24"/>
      <c r="I306" s="24"/>
      <c r="O306" s="24"/>
      <c r="Q306" s="24"/>
      <c r="R306" s="24"/>
      <c r="U306" s="24"/>
      <c r="X306" s="24"/>
      <c r="Z306" s="24"/>
      <c r="AL306" s="24"/>
    </row>
    <row r="307" ht="15.75" customHeight="1">
      <c r="B307" s="399"/>
      <c r="F307" s="399"/>
      <c r="G307" s="24"/>
      <c r="I307" s="24"/>
      <c r="O307" s="24"/>
      <c r="Q307" s="24"/>
      <c r="R307" s="24"/>
      <c r="U307" s="24"/>
      <c r="X307" s="24"/>
      <c r="Z307" s="24"/>
      <c r="AL307" s="24"/>
    </row>
    <row r="308" ht="15.75" customHeight="1">
      <c r="B308" s="399"/>
      <c r="F308" s="399"/>
      <c r="G308" s="24"/>
      <c r="I308" s="24"/>
      <c r="O308" s="24"/>
      <c r="Q308" s="24"/>
      <c r="R308" s="24"/>
      <c r="U308" s="24"/>
      <c r="X308" s="24"/>
      <c r="Z308" s="24"/>
      <c r="AL308" s="24"/>
    </row>
    <row r="309" ht="15.75" customHeight="1">
      <c r="B309" s="399"/>
      <c r="F309" s="399"/>
      <c r="G309" s="24"/>
      <c r="I309" s="24"/>
      <c r="O309" s="24"/>
      <c r="Q309" s="24"/>
      <c r="R309" s="24"/>
      <c r="U309" s="24"/>
      <c r="X309" s="24"/>
      <c r="Z309" s="24"/>
      <c r="AL309" s="24"/>
    </row>
    <row r="310" ht="15.75" customHeight="1">
      <c r="B310" s="399"/>
      <c r="F310" s="399"/>
      <c r="G310" s="24"/>
      <c r="I310" s="24"/>
      <c r="O310" s="24"/>
      <c r="Q310" s="24"/>
      <c r="R310" s="24"/>
      <c r="U310" s="24"/>
      <c r="X310" s="24"/>
      <c r="Z310" s="24"/>
      <c r="AL310" s="24"/>
    </row>
    <row r="311" ht="15.75" customHeight="1">
      <c r="B311" s="399"/>
      <c r="F311" s="399"/>
      <c r="G311" s="24"/>
      <c r="I311" s="24"/>
      <c r="O311" s="24"/>
      <c r="Q311" s="24"/>
      <c r="R311" s="24"/>
      <c r="U311" s="24"/>
      <c r="X311" s="24"/>
      <c r="Z311" s="24"/>
      <c r="AL311" s="24"/>
    </row>
    <row r="312" ht="15.75" customHeight="1">
      <c r="B312" s="399"/>
      <c r="F312" s="399"/>
      <c r="G312" s="24"/>
      <c r="I312" s="24"/>
      <c r="O312" s="24"/>
      <c r="Q312" s="24"/>
      <c r="R312" s="24"/>
      <c r="U312" s="24"/>
      <c r="X312" s="24"/>
      <c r="Z312" s="24"/>
      <c r="AL312" s="24"/>
    </row>
    <row r="313" ht="15.75" customHeight="1">
      <c r="B313" s="399"/>
      <c r="F313" s="399"/>
      <c r="G313" s="24"/>
      <c r="I313" s="24"/>
      <c r="O313" s="24"/>
      <c r="Q313" s="24"/>
      <c r="R313" s="24"/>
      <c r="U313" s="24"/>
      <c r="X313" s="24"/>
      <c r="Z313" s="24"/>
      <c r="AL313" s="24"/>
    </row>
    <row r="314" ht="15.75" customHeight="1">
      <c r="B314" s="399"/>
      <c r="F314" s="399"/>
      <c r="G314" s="24"/>
      <c r="I314" s="24"/>
      <c r="O314" s="24"/>
      <c r="Q314" s="24"/>
      <c r="R314" s="24"/>
      <c r="U314" s="24"/>
      <c r="X314" s="24"/>
      <c r="Z314" s="24"/>
      <c r="AL314" s="24"/>
    </row>
    <row r="315" ht="15.75" customHeight="1">
      <c r="B315" s="399"/>
      <c r="F315" s="399"/>
      <c r="G315" s="24"/>
      <c r="I315" s="24"/>
      <c r="O315" s="24"/>
      <c r="Q315" s="24"/>
      <c r="R315" s="24"/>
      <c r="U315" s="24"/>
      <c r="X315" s="24"/>
      <c r="Z315" s="24"/>
      <c r="AL315" s="24"/>
    </row>
    <row r="316" ht="15.75" customHeight="1">
      <c r="B316" s="399"/>
      <c r="F316" s="399"/>
      <c r="G316" s="24"/>
      <c r="I316" s="24"/>
      <c r="O316" s="24"/>
      <c r="Q316" s="24"/>
      <c r="R316" s="24"/>
      <c r="U316" s="24"/>
      <c r="X316" s="24"/>
      <c r="Z316" s="24"/>
      <c r="AL316" s="24"/>
    </row>
    <row r="317" ht="15.75" customHeight="1">
      <c r="B317" s="399"/>
      <c r="F317" s="399"/>
      <c r="G317" s="24"/>
      <c r="I317" s="24"/>
      <c r="O317" s="24"/>
      <c r="Q317" s="24"/>
      <c r="R317" s="24"/>
      <c r="U317" s="24"/>
      <c r="X317" s="24"/>
      <c r="Z317" s="24"/>
      <c r="AL317" s="24"/>
    </row>
    <row r="318" ht="15.75" customHeight="1">
      <c r="B318" s="399"/>
      <c r="F318" s="399"/>
      <c r="G318" s="24"/>
      <c r="I318" s="24"/>
      <c r="O318" s="24"/>
      <c r="Q318" s="24"/>
      <c r="R318" s="24"/>
      <c r="U318" s="24"/>
      <c r="X318" s="24"/>
      <c r="Z318" s="24"/>
      <c r="AL318" s="24"/>
    </row>
    <row r="319" ht="15.75" customHeight="1">
      <c r="B319" s="399"/>
      <c r="F319" s="399"/>
      <c r="G319" s="24"/>
      <c r="I319" s="24"/>
      <c r="O319" s="24"/>
      <c r="Q319" s="24"/>
      <c r="R319" s="24"/>
      <c r="U319" s="24"/>
      <c r="X319" s="24"/>
      <c r="Z319" s="24"/>
      <c r="AL319" s="24"/>
    </row>
    <row r="320" ht="15.75" customHeight="1">
      <c r="B320" s="399"/>
      <c r="F320" s="399"/>
      <c r="G320" s="24"/>
      <c r="I320" s="24"/>
      <c r="O320" s="24"/>
      <c r="Q320" s="24"/>
      <c r="R320" s="24"/>
      <c r="U320" s="24"/>
      <c r="X320" s="24"/>
      <c r="Z320" s="24"/>
      <c r="AL320" s="24"/>
    </row>
    <row r="321" ht="15.75" customHeight="1">
      <c r="B321" s="399"/>
      <c r="F321" s="399"/>
      <c r="G321" s="24"/>
      <c r="I321" s="24"/>
      <c r="O321" s="24"/>
      <c r="Q321" s="24"/>
      <c r="R321" s="24"/>
      <c r="U321" s="24"/>
      <c r="X321" s="24"/>
      <c r="Z321" s="24"/>
      <c r="AL321" s="24"/>
    </row>
    <row r="322" ht="15.75" customHeight="1">
      <c r="B322" s="399"/>
      <c r="F322" s="399"/>
      <c r="G322" s="24"/>
      <c r="I322" s="24"/>
      <c r="O322" s="24"/>
      <c r="Q322" s="24"/>
      <c r="R322" s="24"/>
      <c r="U322" s="24"/>
      <c r="X322" s="24"/>
      <c r="Z322" s="24"/>
      <c r="AL322" s="24"/>
    </row>
    <row r="323" ht="15.75" customHeight="1">
      <c r="B323" s="399"/>
      <c r="F323" s="399"/>
      <c r="G323" s="24"/>
      <c r="I323" s="24"/>
      <c r="O323" s="24"/>
      <c r="Q323" s="24"/>
      <c r="R323" s="24"/>
      <c r="U323" s="24"/>
      <c r="X323" s="24"/>
      <c r="Z323" s="24"/>
      <c r="AL323" s="24"/>
    </row>
    <row r="324" ht="15.75" customHeight="1">
      <c r="B324" s="399"/>
      <c r="F324" s="399"/>
      <c r="G324" s="24"/>
      <c r="I324" s="24"/>
      <c r="O324" s="24"/>
      <c r="Q324" s="24"/>
      <c r="R324" s="24"/>
      <c r="U324" s="24"/>
      <c r="X324" s="24"/>
      <c r="Z324" s="24"/>
      <c r="AL324" s="24"/>
    </row>
    <row r="325" ht="15.75" customHeight="1">
      <c r="B325" s="399"/>
      <c r="F325" s="399"/>
      <c r="G325" s="24"/>
      <c r="I325" s="24"/>
      <c r="O325" s="24"/>
      <c r="Q325" s="24"/>
      <c r="R325" s="24"/>
      <c r="U325" s="24"/>
      <c r="X325" s="24"/>
      <c r="Z325" s="24"/>
      <c r="AL325" s="24"/>
    </row>
    <row r="326" ht="15.75" customHeight="1">
      <c r="B326" s="399"/>
      <c r="F326" s="399"/>
      <c r="G326" s="24"/>
      <c r="I326" s="24"/>
      <c r="O326" s="24"/>
      <c r="Q326" s="24"/>
      <c r="R326" s="24"/>
      <c r="U326" s="24"/>
      <c r="X326" s="24"/>
      <c r="Z326" s="24"/>
      <c r="AL326" s="24"/>
    </row>
    <row r="327" ht="15.75" customHeight="1">
      <c r="B327" s="399"/>
      <c r="F327" s="399"/>
      <c r="G327" s="24"/>
      <c r="I327" s="24"/>
      <c r="O327" s="24"/>
      <c r="Q327" s="24"/>
      <c r="R327" s="24"/>
      <c r="U327" s="24"/>
      <c r="X327" s="24"/>
      <c r="Z327" s="24"/>
      <c r="AL327" s="24"/>
    </row>
    <row r="328" ht="15.75" customHeight="1">
      <c r="B328" s="399"/>
      <c r="F328" s="399"/>
      <c r="G328" s="24"/>
      <c r="I328" s="24"/>
      <c r="O328" s="24"/>
      <c r="Q328" s="24"/>
      <c r="R328" s="24"/>
      <c r="U328" s="24"/>
      <c r="X328" s="24"/>
      <c r="Z328" s="24"/>
      <c r="AL328" s="24"/>
    </row>
    <row r="329" ht="15.75" customHeight="1">
      <c r="B329" s="399"/>
      <c r="F329" s="399"/>
      <c r="G329" s="24"/>
      <c r="I329" s="24"/>
      <c r="O329" s="24"/>
      <c r="Q329" s="24"/>
      <c r="R329" s="24"/>
      <c r="U329" s="24"/>
      <c r="X329" s="24"/>
      <c r="Z329" s="24"/>
      <c r="AL329" s="24"/>
    </row>
    <row r="330" ht="15.75" customHeight="1">
      <c r="B330" s="399"/>
      <c r="F330" s="399"/>
      <c r="G330" s="24"/>
      <c r="I330" s="24"/>
      <c r="O330" s="24"/>
      <c r="Q330" s="24"/>
      <c r="R330" s="24"/>
      <c r="U330" s="24"/>
      <c r="X330" s="24"/>
      <c r="Z330" s="24"/>
      <c r="AL330" s="24"/>
    </row>
    <row r="331" ht="15.75" customHeight="1">
      <c r="B331" s="399"/>
      <c r="F331" s="399"/>
      <c r="G331" s="24"/>
      <c r="I331" s="24"/>
      <c r="O331" s="24"/>
      <c r="Q331" s="24"/>
      <c r="R331" s="24"/>
      <c r="U331" s="24"/>
      <c r="X331" s="24"/>
      <c r="Z331" s="24"/>
      <c r="AL331" s="24"/>
    </row>
    <row r="332" ht="15.75" customHeight="1">
      <c r="B332" s="399"/>
      <c r="F332" s="399"/>
      <c r="G332" s="24"/>
      <c r="I332" s="24"/>
      <c r="O332" s="24"/>
      <c r="Q332" s="24"/>
      <c r="R332" s="24"/>
      <c r="U332" s="24"/>
      <c r="X332" s="24"/>
      <c r="Z332" s="24"/>
      <c r="AL332" s="24"/>
    </row>
    <row r="333" ht="15.75" customHeight="1">
      <c r="B333" s="399"/>
      <c r="F333" s="399"/>
      <c r="G333" s="24"/>
      <c r="I333" s="24"/>
      <c r="O333" s="24"/>
      <c r="Q333" s="24"/>
      <c r="R333" s="24"/>
      <c r="U333" s="24"/>
      <c r="X333" s="24"/>
      <c r="Z333" s="24"/>
      <c r="AL333" s="24"/>
    </row>
    <row r="334" ht="15.75" customHeight="1">
      <c r="B334" s="399"/>
      <c r="F334" s="399"/>
      <c r="G334" s="24"/>
      <c r="I334" s="24"/>
      <c r="O334" s="24"/>
      <c r="Q334" s="24"/>
      <c r="R334" s="24"/>
      <c r="U334" s="24"/>
      <c r="X334" s="24"/>
      <c r="Z334" s="24"/>
      <c r="AL334" s="24"/>
    </row>
    <row r="335" ht="15.75" customHeight="1">
      <c r="B335" s="399"/>
      <c r="F335" s="399"/>
      <c r="G335" s="24"/>
      <c r="I335" s="24"/>
      <c r="O335" s="24"/>
      <c r="Q335" s="24"/>
      <c r="R335" s="24"/>
      <c r="U335" s="24"/>
      <c r="X335" s="24"/>
      <c r="Z335" s="24"/>
      <c r="AL335" s="24"/>
    </row>
    <row r="336" ht="15.75" customHeight="1">
      <c r="B336" s="399"/>
      <c r="F336" s="399"/>
      <c r="G336" s="24"/>
      <c r="I336" s="24"/>
      <c r="O336" s="24"/>
      <c r="Q336" s="24"/>
      <c r="R336" s="24"/>
      <c r="U336" s="24"/>
      <c r="X336" s="24"/>
      <c r="Z336" s="24"/>
      <c r="AL336" s="24"/>
    </row>
    <row r="337" ht="15.75" customHeight="1">
      <c r="B337" s="399"/>
      <c r="F337" s="399"/>
      <c r="G337" s="24"/>
      <c r="I337" s="24"/>
      <c r="O337" s="24"/>
      <c r="Q337" s="24"/>
      <c r="R337" s="24"/>
      <c r="U337" s="24"/>
      <c r="X337" s="24"/>
      <c r="Z337" s="24"/>
      <c r="AL337" s="24"/>
    </row>
    <row r="338" ht="15.75" customHeight="1">
      <c r="B338" s="399"/>
      <c r="F338" s="399"/>
      <c r="G338" s="24"/>
      <c r="I338" s="24"/>
      <c r="O338" s="24"/>
      <c r="Q338" s="24"/>
      <c r="R338" s="24"/>
      <c r="U338" s="24"/>
      <c r="X338" s="24"/>
      <c r="Z338" s="24"/>
      <c r="AL338" s="24"/>
    </row>
    <row r="339" ht="15.75" customHeight="1">
      <c r="B339" s="399"/>
      <c r="F339" s="399"/>
      <c r="G339" s="24"/>
      <c r="I339" s="24"/>
      <c r="O339" s="24"/>
      <c r="Q339" s="24"/>
      <c r="R339" s="24"/>
      <c r="U339" s="24"/>
      <c r="X339" s="24"/>
      <c r="Z339" s="24"/>
      <c r="AL339" s="24"/>
    </row>
    <row r="340" ht="15.75" customHeight="1">
      <c r="B340" s="399"/>
      <c r="F340" s="399"/>
      <c r="G340" s="24"/>
      <c r="I340" s="24"/>
      <c r="O340" s="24"/>
      <c r="Q340" s="24"/>
      <c r="R340" s="24"/>
      <c r="U340" s="24"/>
      <c r="X340" s="24"/>
      <c r="Z340" s="24"/>
      <c r="AL340" s="24"/>
    </row>
    <row r="341" ht="15.75" customHeight="1">
      <c r="B341" s="399"/>
      <c r="F341" s="399"/>
      <c r="G341" s="24"/>
      <c r="I341" s="24"/>
      <c r="O341" s="24"/>
      <c r="Q341" s="24"/>
      <c r="R341" s="24"/>
      <c r="U341" s="24"/>
      <c r="X341" s="24"/>
      <c r="Z341" s="24"/>
      <c r="AL341" s="24"/>
    </row>
    <row r="342" ht="15.75" customHeight="1">
      <c r="B342" s="399"/>
      <c r="F342" s="399"/>
      <c r="G342" s="24"/>
      <c r="I342" s="24"/>
      <c r="O342" s="24"/>
      <c r="Q342" s="24"/>
      <c r="R342" s="24"/>
      <c r="U342" s="24"/>
      <c r="X342" s="24"/>
      <c r="Z342" s="24"/>
      <c r="AL342" s="24"/>
    </row>
    <row r="343" ht="15.75" customHeight="1">
      <c r="B343" s="399"/>
      <c r="F343" s="399"/>
      <c r="G343" s="24"/>
      <c r="I343" s="24"/>
      <c r="O343" s="24"/>
      <c r="Q343" s="24"/>
      <c r="R343" s="24"/>
      <c r="U343" s="24"/>
      <c r="X343" s="24"/>
      <c r="Z343" s="24"/>
      <c r="AL343" s="24"/>
    </row>
    <row r="344" ht="15.75" customHeight="1">
      <c r="B344" s="399"/>
      <c r="F344" s="399"/>
      <c r="G344" s="24"/>
      <c r="I344" s="24"/>
      <c r="O344" s="24"/>
      <c r="Q344" s="24"/>
      <c r="R344" s="24"/>
      <c r="U344" s="24"/>
      <c r="X344" s="24"/>
      <c r="Z344" s="24"/>
      <c r="AL344" s="24"/>
    </row>
    <row r="345" ht="15.75" customHeight="1">
      <c r="B345" s="399"/>
      <c r="F345" s="399"/>
      <c r="G345" s="24"/>
      <c r="I345" s="24"/>
      <c r="O345" s="24"/>
      <c r="Q345" s="24"/>
      <c r="R345" s="24"/>
      <c r="U345" s="24"/>
      <c r="X345" s="24"/>
      <c r="Z345" s="24"/>
      <c r="AL345" s="24"/>
    </row>
    <row r="346" ht="15.75" customHeight="1">
      <c r="B346" s="399"/>
      <c r="F346" s="399"/>
      <c r="G346" s="24"/>
      <c r="I346" s="24"/>
      <c r="O346" s="24"/>
      <c r="Q346" s="24"/>
      <c r="R346" s="24"/>
      <c r="U346" s="24"/>
      <c r="X346" s="24"/>
      <c r="Z346" s="24"/>
      <c r="AL346" s="24"/>
    </row>
    <row r="347" ht="15.75" customHeight="1">
      <c r="B347" s="399"/>
      <c r="F347" s="399"/>
      <c r="G347" s="24"/>
      <c r="I347" s="24"/>
      <c r="O347" s="24"/>
      <c r="Q347" s="24"/>
      <c r="R347" s="24"/>
      <c r="U347" s="24"/>
      <c r="X347" s="24"/>
      <c r="Z347" s="24"/>
      <c r="AL347" s="24"/>
    </row>
    <row r="348" ht="15.75" customHeight="1">
      <c r="B348" s="399"/>
      <c r="F348" s="399"/>
      <c r="G348" s="24"/>
      <c r="I348" s="24"/>
      <c r="O348" s="24"/>
      <c r="Q348" s="24"/>
      <c r="R348" s="24"/>
      <c r="U348" s="24"/>
      <c r="X348" s="24"/>
      <c r="Z348" s="24"/>
      <c r="AL348" s="24"/>
    </row>
    <row r="349" ht="15.75" customHeight="1">
      <c r="B349" s="399"/>
      <c r="F349" s="399"/>
      <c r="G349" s="24"/>
      <c r="I349" s="24"/>
      <c r="O349" s="24"/>
      <c r="Q349" s="24"/>
      <c r="R349" s="24"/>
      <c r="U349" s="24"/>
      <c r="X349" s="24"/>
      <c r="Z349" s="24"/>
      <c r="AL349" s="24"/>
    </row>
    <row r="350" ht="15.75" customHeight="1">
      <c r="B350" s="399"/>
      <c r="F350" s="399"/>
      <c r="G350" s="24"/>
      <c r="I350" s="24"/>
      <c r="O350" s="24"/>
      <c r="Q350" s="24"/>
      <c r="R350" s="24"/>
      <c r="U350" s="24"/>
      <c r="X350" s="24"/>
      <c r="Z350" s="24"/>
      <c r="AL350" s="24"/>
    </row>
    <row r="351" ht="15.75" customHeight="1">
      <c r="B351" s="399"/>
      <c r="F351" s="399"/>
      <c r="G351" s="24"/>
      <c r="I351" s="24"/>
      <c r="O351" s="24"/>
      <c r="Q351" s="24"/>
      <c r="R351" s="24"/>
      <c r="U351" s="24"/>
      <c r="X351" s="24"/>
      <c r="Z351" s="24"/>
      <c r="AL351" s="24"/>
    </row>
    <row r="352" ht="15.75" customHeight="1">
      <c r="B352" s="399"/>
      <c r="F352" s="399"/>
      <c r="G352" s="24"/>
      <c r="I352" s="24"/>
      <c r="O352" s="24"/>
      <c r="Q352" s="24"/>
      <c r="R352" s="24"/>
      <c r="U352" s="24"/>
      <c r="X352" s="24"/>
      <c r="Z352" s="24"/>
      <c r="AL352" s="24"/>
    </row>
    <row r="353" ht="15.75" customHeight="1">
      <c r="B353" s="399"/>
      <c r="F353" s="399"/>
      <c r="G353" s="24"/>
      <c r="I353" s="24"/>
      <c r="O353" s="24"/>
      <c r="Q353" s="24"/>
      <c r="R353" s="24"/>
      <c r="U353" s="24"/>
      <c r="X353" s="24"/>
      <c r="Z353" s="24"/>
      <c r="AL353" s="24"/>
    </row>
    <row r="354" ht="15.75" customHeight="1">
      <c r="B354" s="399"/>
      <c r="F354" s="399"/>
      <c r="G354" s="24"/>
      <c r="I354" s="24"/>
      <c r="O354" s="24"/>
      <c r="Q354" s="24"/>
      <c r="R354" s="24"/>
      <c r="U354" s="24"/>
      <c r="X354" s="24"/>
      <c r="Z354" s="24"/>
      <c r="AL354" s="24"/>
    </row>
    <row r="355" ht="15.75" customHeight="1">
      <c r="B355" s="399"/>
      <c r="F355" s="399"/>
      <c r="G355" s="24"/>
      <c r="I355" s="24"/>
      <c r="O355" s="24"/>
      <c r="Q355" s="24"/>
      <c r="R355" s="24"/>
      <c r="U355" s="24"/>
      <c r="X355" s="24"/>
      <c r="Z355" s="24"/>
      <c r="AL355" s="24"/>
    </row>
    <row r="356" ht="15.75" customHeight="1">
      <c r="B356" s="399"/>
      <c r="F356" s="399"/>
      <c r="G356" s="24"/>
      <c r="I356" s="24"/>
      <c r="O356" s="24"/>
      <c r="Q356" s="24"/>
      <c r="R356" s="24"/>
      <c r="U356" s="24"/>
      <c r="X356" s="24"/>
      <c r="Z356" s="24"/>
      <c r="AL356" s="24"/>
    </row>
    <row r="357" ht="15.75" customHeight="1">
      <c r="B357" s="399"/>
      <c r="F357" s="399"/>
      <c r="G357" s="24"/>
      <c r="I357" s="24"/>
      <c r="O357" s="24"/>
      <c r="Q357" s="24"/>
      <c r="R357" s="24"/>
      <c r="U357" s="24"/>
      <c r="X357" s="24"/>
      <c r="Z357" s="24"/>
      <c r="AL357" s="24"/>
    </row>
    <row r="358" ht="15.75" customHeight="1">
      <c r="B358" s="399"/>
      <c r="F358" s="399"/>
      <c r="G358" s="24"/>
      <c r="I358" s="24"/>
      <c r="O358" s="24"/>
      <c r="Q358" s="24"/>
      <c r="R358" s="24"/>
      <c r="U358" s="24"/>
      <c r="X358" s="24"/>
      <c r="Z358" s="24"/>
      <c r="AL358" s="24"/>
    </row>
    <row r="359" ht="15.75" customHeight="1">
      <c r="B359" s="399"/>
      <c r="F359" s="399"/>
      <c r="G359" s="24"/>
      <c r="I359" s="24"/>
      <c r="O359" s="24"/>
      <c r="Q359" s="24"/>
      <c r="R359" s="24"/>
      <c r="U359" s="24"/>
      <c r="X359" s="24"/>
      <c r="Z359" s="24"/>
      <c r="AL359" s="24"/>
    </row>
    <row r="360" ht="15.75" customHeight="1">
      <c r="B360" s="399"/>
      <c r="F360" s="399"/>
      <c r="G360" s="24"/>
      <c r="I360" s="24"/>
      <c r="O360" s="24"/>
      <c r="Q360" s="24"/>
      <c r="R360" s="24"/>
      <c r="U360" s="24"/>
      <c r="X360" s="24"/>
      <c r="Z360" s="24"/>
      <c r="AL360" s="24"/>
    </row>
    <row r="361" ht="15.75" customHeight="1">
      <c r="B361" s="399"/>
      <c r="F361" s="399"/>
      <c r="G361" s="24"/>
      <c r="I361" s="24"/>
      <c r="O361" s="24"/>
      <c r="Q361" s="24"/>
      <c r="R361" s="24"/>
      <c r="U361" s="24"/>
      <c r="X361" s="24"/>
      <c r="Z361" s="24"/>
      <c r="AL361" s="24"/>
    </row>
    <row r="362" ht="15.75" customHeight="1">
      <c r="B362" s="399"/>
      <c r="F362" s="399"/>
      <c r="G362" s="24"/>
      <c r="I362" s="24"/>
      <c r="O362" s="24"/>
      <c r="Q362" s="24"/>
      <c r="R362" s="24"/>
      <c r="U362" s="24"/>
      <c r="X362" s="24"/>
      <c r="Z362" s="24"/>
      <c r="AL362" s="24"/>
    </row>
    <row r="363" ht="15.75" customHeight="1">
      <c r="B363" s="399"/>
      <c r="F363" s="399"/>
      <c r="G363" s="24"/>
      <c r="I363" s="24"/>
      <c r="O363" s="24"/>
      <c r="Q363" s="24"/>
      <c r="R363" s="24"/>
      <c r="U363" s="24"/>
      <c r="X363" s="24"/>
      <c r="Z363" s="24"/>
      <c r="AL363" s="24"/>
    </row>
    <row r="364" ht="15.75" customHeight="1">
      <c r="B364" s="399"/>
      <c r="F364" s="399"/>
      <c r="G364" s="24"/>
      <c r="I364" s="24"/>
      <c r="O364" s="24"/>
      <c r="Q364" s="24"/>
      <c r="R364" s="24"/>
      <c r="U364" s="24"/>
      <c r="X364" s="24"/>
      <c r="Z364" s="24"/>
      <c r="AL364" s="24"/>
    </row>
    <row r="365" ht="15.75" customHeight="1">
      <c r="B365" s="399"/>
      <c r="F365" s="399"/>
      <c r="G365" s="24"/>
      <c r="I365" s="24"/>
      <c r="O365" s="24"/>
      <c r="Q365" s="24"/>
      <c r="R365" s="24"/>
      <c r="U365" s="24"/>
      <c r="X365" s="24"/>
      <c r="Z365" s="24"/>
      <c r="AL365" s="24"/>
    </row>
    <row r="366" ht="15.75" customHeight="1">
      <c r="B366" s="399"/>
      <c r="F366" s="399"/>
      <c r="G366" s="24"/>
      <c r="I366" s="24"/>
      <c r="O366" s="24"/>
      <c r="Q366" s="24"/>
      <c r="R366" s="24"/>
      <c r="U366" s="24"/>
      <c r="X366" s="24"/>
      <c r="Z366" s="24"/>
      <c r="AL366" s="24"/>
    </row>
    <row r="367" ht="15.75" customHeight="1">
      <c r="B367" s="399"/>
      <c r="F367" s="399"/>
      <c r="G367" s="24"/>
      <c r="I367" s="24"/>
      <c r="O367" s="24"/>
      <c r="Q367" s="24"/>
      <c r="R367" s="24"/>
      <c r="U367" s="24"/>
      <c r="X367" s="24"/>
      <c r="Z367" s="24"/>
      <c r="AL367" s="24"/>
    </row>
    <row r="368" ht="15.75" customHeight="1">
      <c r="B368" s="399"/>
      <c r="F368" s="399"/>
      <c r="G368" s="24"/>
      <c r="I368" s="24"/>
      <c r="O368" s="24"/>
      <c r="Q368" s="24"/>
      <c r="R368" s="24"/>
      <c r="U368" s="24"/>
      <c r="X368" s="24"/>
      <c r="Z368" s="24"/>
      <c r="AL368" s="24"/>
    </row>
    <row r="369" ht="15.75" customHeight="1">
      <c r="B369" s="399"/>
      <c r="F369" s="399"/>
      <c r="G369" s="24"/>
      <c r="I369" s="24"/>
      <c r="O369" s="24"/>
      <c r="Q369" s="24"/>
      <c r="R369" s="24"/>
      <c r="U369" s="24"/>
      <c r="X369" s="24"/>
      <c r="Z369" s="24"/>
      <c r="AL369" s="24"/>
    </row>
    <row r="370" ht="15.75" customHeight="1">
      <c r="B370" s="399"/>
      <c r="F370" s="399"/>
      <c r="G370" s="24"/>
      <c r="I370" s="24"/>
      <c r="O370" s="24"/>
      <c r="Q370" s="24"/>
      <c r="R370" s="24"/>
      <c r="U370" s="24"/>
      <c r="X370" s="24"/>
      <c r="Z370" s="24"/>
      <c r="AL370" s="24"/>
    </row>
    <row r="371" ht="15.75" customHeight="1">
      <c r="B371" s="399"/>
      <c r="F371" s="399"/>
      <c r="G371" s="24"/>
      <c r="I371" s="24"/>
      <c r="O371" s="24"/>
      <c r="Q371" s="24"/>
      <c r="R371" s="24"/>
      <c r="U371" s="24"/>
      <c r="X371" s="24"/>
      <c r="Z371" s="24"/>
      <c r="AL371" s="24"/>
    </row>
    <row r="372" ht="15.75" customHeight="1">
      <c r="B372" s="399"/>
      <c r="F372" s="399"/>
      <c r="G372" s="24"/>
      <c r="I372" s="24"/>
      <c r="O372" s="24"/>
      <c r="Q372" s="24"/>
      <c r="R372" s="24"/>
      <c r="U372" s="24"/>
      <c r="X372" s="24"/>
      <c r="Z372" s="24"/>
      <c r="AL372" s="24"/>
    </row>
    <row r="373" ht="15.75" customHeight="1">
      <c r="B373" s="399"/>
      <c r="F373" s="399"/>
      <c r="G373" s="24"/>
      <c r="I373" s="24"/>
      <c r="O373" s="24"/>
      <c r="Q373" s="24"/>
      <c r="R373" s="24"/>
      <c r="U373" s="24"/>
      <c r="X373" s="24"/>
      <c r="Z373" s="24"/>
      <c r="AL373" s="24"/>
    </row>
    <row r="374" ht="15.75" customHeight="1">
      <c r="B374" s="399"/>
      <c r="F374" s="399"/>
      <c r="G374" s="24"/>
      <c r="I374" s="24"/>
      <c r="O374" s="24"/>
      <c r="Q374" s="24"/>
      <c r="R374" s="24"/>
      <c r="U374" s="24"/>
      <c r="X374" s="24"/>
      <c r="Z374" s="24"/>
      <c r="AL374" s="24"/>
    </row>
    <row r="375" ht="15.75" customHeight="1">
      <c r="B375" s="399"/>
      <c r="F375" s="399"/>
      <c r="G375" s="24"/>
      <c r="I375" s="24"/>
      <c r="O375" s="24"/>
      <c r="Q375" s="24"/>
      <c r="R375" s="24"/>
      <c r="U375" s="24"/>
      <c r="X375" s="24"/>
      <c r="Z375" s="24"/>
      <c r="AL375" s="24"/>
    </row>
    <row r="376" ht="15.75" customHeight="1">
      <c r="B376" s="399"/>
      <c r="F376" s="399"/>
      <c r="G376" s="24"/>
      <c r="I376" s="24"/>
      <c r="O376" s="24"/>
      <c r="Q376" s="24"/>
      <c r="R376" s="24"/>
      <c r="U376" s="24"/>
      <c r="X376" s="24"/>
      <c r="Z376" s="24"/>
      <c r="AL376" s="24"/>
    </row>
    <row r="377" ht="15.75" customHeight="1">
      <c r="B377" s="399"/>
      <c r="F377" s="399"/>
      <c r="G377" s="24"/>
      <c r="I377" s="24"/>
      <c r="O377" s="24"/>
      <c r="Q377" s="24"/>
      <c r="R377" s="24"/>
      <c r="U377" s="24"/>
      <c r="X377" s="24"/>
      <c r="Z377" s="24"/>
      <c r="AL377" s="24"/>
    </row>
    <row r="378" ht="15.75" customHeight="1">
      <c r="B378" s="399"/>
      <c r="F378" s="399"/>
      <c r="G378" s="24"/>
      <c r="I378" s="24"/>
      <c r="O378" s="24"/>
      <c r="Q378" s="24"/>
      <c r="R378" s="24"/>
      <c r="U378" s="24"/>
      <c r="X378" s="24"/>
      <c r="Z378" s="24"/>
      <c r="AL378" s="24"/>
    </row>
    <row r="379" ht="15.75" customHeight="1">
      <c r="B379" s="399"/>
      <c r="F379" s="399"/>
      <c r="G379" s="24"/>
      <c r="I379" s="24"/>
      <c r="O379" s="24"/>
      <c r="Q379" s="24"/>
      <c r="R379" s="24"/>
      <c r="U379" s="24"/>
      <c r="X379" s="24"/>
      <c r="Z379" s="24"/>
      <c r="AL379" s="24"/>
    </row>
    <row r="380" ht="15.75" customHeight="1">
      <c r="B380" s="399"/>
      <c r="F380" s="399"/>
      <c r="G380" s="24"/>
      <c r="I380" s="24"/>
      <c r="O380" s="24"/>
      <c r="Q380" s="24"/>
      <c r="R380" s="24"/>
      <c r="U380" s="24"/>
      <c r="X380" s="24"/>
      <c r="Z380" s="24"/>
      <c r="AL380" s="24"/>
    </row>
    <row r="381" ht="15.75" customHeight="1">
      <c r="B381" s="399"/>
      <c r="F381" s="399"/>
      <c r="G381" s="24"/>
      <c r="I381" s="24"/>
      <c r="O381" s="24"/>
      <c r="Q381" s="24"/>
      <c r="R381" s="24"/>
      <c r="U381" s="24"/>
      <c r="X381" s="24"/>
      <c r="Z381" s="24"/>
      <c r="AL381" s="24"/>
    </row>
    <row r="382" ht="15.75" customHeight="1">
      <c r="B382" s="399"/>
      <c r="F382" s="399"/>
      <c r="G382" s="24"/>
      <c r="I382" s="24"/>
      <c r="O382" s="24"/>
      <c r="Q382" s="24"/>
      <c r="R382" s="24"/>
      <c r="U382" s="24"/>
      <c r="X382" s="24"/>
      <c r="Z382" s="24"/>
      <c r="AL382" s="24"/>
    </row>
    <row r="383" ht="15.75" customHeight="1">
      <c r="B383" s="399"/>
      <c r="F383" s="399"/>
      <c r="G383" s="24"/>
      <c r="I383" s="24"/>
      <c r="O383" s="24"/>
      <c r="Q383" s="24"/>
      <c r="R383" s="24"/>
      <c r="U383" s="24"/>
      <c r="X383" s="24"/>
      <c r="Z383" s="24"/>
      <c r="AL383" s="24"/>
    </row>
    <row r="384" ht="15.75" customHeight="1">
      <c r="B384" s="399"/>
      <c r="F384" s="399"/>
      <c r="G384" s="24"/>
      <c r="I384" s="24"/>
      <c r="O384" s="24"/>
      <c r="Q384" s="24"/>
      <c r="R384" s="24"/>
      <c r="U384" s="24"/>
      <c r="X384" s="24"/>
      <c r="Z384" s="24"/>
      <c r="AL384" s="24"/>
    </row>
    <row r="385" ht="15.75" customHeight="1">
      <c r="B385" s="399"/>
      <c r="F385" s="399"/>
      <c r="G385" s="24"/>
      <c r="I385" s="24"/>
      <c r="O385" s="24"/>
      <c r="Q385" s="24"/>
      <c r="R385" s="24"/>
      <c r="U385" s="24"/>
      <c r="X385" s="24"/>
      <c r="Z385" s="24"/>
      <c r="AL385" s="24"/>
    </row>
    <row r="386" ht="15.75" customHeight="1">
      <c r="B386" s="399"/>
      <c r="F386" s="399"/>
      <c r="G386" s="24"/>
      <c r="I386" s="24"/>
      <c r="O386" s="24"/>
      <c r="Q386" s="24"/>
      <c r="R386" s="24"/>
      <c r="U386" s="24"/>
      <c r="X386" s="24"/>
      <c r="Z386" s="24"/>
      <c r="AL386" s="24"/>
    </row>
    <row r="387" ht="15.75" customHeight="1">
      <c r="B387" s="399"/>
      <c r="F387" s="399"/>
      <c r="G387" s="24"/>
      <c r="I387" s="24"/>
      <c r="O387" s="24"/>
      <c r="Q387" s="24"/>
      <c r="R387" s="24"/>
      <c r="U387" s="24"/>
      <c r="X387" s="24"/>
      <c r="Z387" s="24"/>
      <c r="AL387" s="24"/>
    </row>
    <row r="388" ht="15.75" customHeight="1">
      <c r="B388" s="399"/>
      <c r="F388" s="399"/>
      <c r="G388" s="24"/>
      <c r="I388" s="24"/>
      <c r="O388" s="24"/>
      <c r="Q388" s="24"/>
      <c r="R388" s="24"/>
      <c r="U388" s="24"/>
      <c r="X388" s="24"/>
      <c r="Z388" s="24"/>
      <c r="AL388" s="24"/>
    </row>
    <row r="389" ht="15.75" customHeight="1">
      <c r="B389" s="399"/>
      <c r="F389" s="399"/>
      <c r="G389" s="24"/>
      <c r="I389" s="24"/>
      <c r="O389" s="24"/>
      <c r="Q389" s="24"/>
      <c r="R389" s="24"/>
      <c r="U389" s="24"/>
      <c r="X389" s="24"/>
      <c r="Z389" s="24"/>
      <c r="AL389" s="24"/>
    </row>
    <row r="390" ht="15.75" customHeight="1">
      <c r="B390" s="399"/>
      <c r="F390" s="399"/>
      <c r="G390" s="24"/>
      <c r="I390" s="24"/>
      <c r="O390" s="24"/>
      <c r="Q390" s="24"/>
      <c r="R390" s="24"/>
      <c r="U390" s="24"/>
      <c r="X390" s="24"/>
      <c r="Z390" s="24"/>
      <c r="AL390" s="24"/>
    </row>
    <row r="391" ht="15.75" customHeight="1">
      <c r="B391" s="399"/>
      <c r="F391" s="399"/>
      <c r="G391" s="24"/>
      <c r="I391" s="24"/>
      <c r="O391" s="24"/>
      <c r="Q391" s="24"/>
      <c r="R391" s="24"/>
      <c r="U391" s="24"/>
      <c r="X391" s="24"/>
      <c r="Z391" s="24"/>
      <c r="AL391" s="24"/>
    </row>
    <row r="392" ht="15.75" customHeight="1">
      <c r="B392" s="399"/>
      <c r="F392" s="399"/>
      <c r="G392" s="24"/>
      <c r="I392" s="24"/>
      <c r="O392" s="24"/>
      <c r="Q392" s="24"/>
      <c r="R392" s="24"/>
      <c r="U392" s="24"/>
      <c r="X392" s="24"/>
      <c r="Z392" s="24"/>
      <c r="AL392" s="24"/>
    </row>
    <row r="393" ht="15.75" customHeight="1">
      <c r="B393" s="399"/>
      <c r="F393" s="399"/>
      <c r="G393" s="24"/>
      <c r="I393" s="24"/>
      <c r="O393" s="24"/>
      <c r="Q393" s="24"/>
      <c r="R393" s="24"/>
      <c r="U393" s="24"/>
      <c r="X393" s="24"/>
      <c r="Z393" s="24"/>
      <c r="AL393" s="24"/>
    </row>
    <row r="394" ht="15.75" customHeight="1">
      <c r="B394" s="399"/>
      <c r="F394" s="399"/>
      <c r="G394" s="24"/>
      <c r="I394" s="24"/>
      <c r="O394" s="24"/>
      <c r="Q394" s="24"/>
      <c r="R394" s="24"/>
      <c r="U394" s="24"/>
      <c r="X394" s="24"/>
      <c r="Z394" s="24"/>
      <c r="AL394" s="24"/>
    </row>
    <row r="395" ht="15.75" customHeight="1">
      <c r="B395" s="399"/>
      <c r="F395" s="399"/>
      <c r="G395" s="24"/>
      <c r="I395" s="24"/>
      <c r="O395" s="24"/>
      <c r="Q395" s="24"/>
      <c r="R395" s="24"/>
      <c r="U395" s="24"/>
      <c r="X395" s="24"/>
      <c r="Z395" s="24"/>
      <c r="AL395" s="24"/>
    </row>
    <row r="396" ht="15.75" customHeight="1">
      <c r="B396" s="399"/>
      <c r="F396" s="399"/>
      <c r="G396" s="24"/>
      <c r="I396" s="24"/>
      <c r="O396" s="24"/>
      <c r="Q396" s="24"/>
      <c r="R396" s="24"/>
      <c r="U396" s="24"/>
      <c r="X396" s="24"/>
      <c r="Z396" s="24"/>
      <c r="AL396" s="24"/>
    </row>
    <row r="397" ht="15.75" customHeight="1">
      <c r="B397" s="399"/>
      <c r="F397" s="399"/>
      <c r="G397" s="24"/>
      <c r="I397" s="24"/>
      <c r="O397" s="24"/>
      <c r="Q397" s="24"/>
      <c r="R397" s="24"/>
      <c r="U397" s="24"/>
      <c r="X397" s="24"/>
      <c r="Z397" s="24"/>
      <c r="AL397" s="24"/>
    </row>
    <row r="398" ht="15.75" customHeight="1">
      <c r="B398" s="399"/>
      <c r="F398" s="399"/>
      <c r="G398" s="24"/>
      <c r="I398" s="24"/>
      <c r="O398" s="24"/>
      <c r="Q398" s="24"/>
      <c r="R398" s="24"/>
      <c r="U398" s="24"/>
      <c r="X398" s="24"/>
      <c r="Z398" s="24"/>
      <c r="AL398" s="24"/>
    </row>
    <row r="399" ht="15.75" customHeight="1">
      <c r="B399" s="399"/>
      <c r="F399" s="399"/>
      <c r="G399" s="24"/>
      <c r="I399" s="24"/>
      <c r="O399" s="24"/>
      <c r="Q399" s="24"/>
      <c r="R399" s="24"/>
      <c r="U399" s="24"/>
      <c r="X399" s="24"/>
      <c r="Z399" s="24"/>
      <c r="AL399" s="24"/>
    </row>
    <row r="400" ht="15.75" customHeight="1">
      <c r="B400" s="399"/>
      <c r="F400" s="399"/>
      <c r="G400" s="24"/>
      <c r="I400" s="24"/>
      <c r="O400" s="24"/>
      <c r="Q400" s="24"/>
      <c r="R400" s="24"/>
      <c r="U400" s="24"/>
      <c r="X400" s="24"/>
      <c r="Z400" s="24"/>
      <c r="AL400" s="24"/>
    </row>
    <row r="401" ht="15.75" customHeight="1">
      <c r="B401" s="399"/>
      <c r="F401" s="399"/>
      <c r="G401" s="24"/>
      <c r="I401" s="24"/>
      <c r="O401" s="24"/>
      <c r="Q401" s="24"/>
      <c r="R401" s="24"/>
      <c r="U401" s="24"/>
      <c r="X401" s="24"/>
      <c r="Z401" s="24"/>
      <c r="AL401" s="24"/>
    </row>
    <row r="402" ht="15.75" customHeight="1">
      <c r="B402" s="399"/>
      <c r="F402" s="399"/>
      <c r="G402" s="24"/>
      <c r="I402" s="24"/>
      <c r="O402" s="24"/>
      <c r="Q402" s="24"/>
      <c r="R402" s="24"/>
      <c r="U402" s="24"/>
      <c r="X402" s="24"/>
      <c r="Z402" s="24"/>
      <c r="AL402" s="24"/>
    </row>
    <row r="403" ht="15.75" customHeight="1">
      <c r="B403" s="399"/>
      <c r="F403" s="399"/>
      <c r="G403" s="24"/>
      <c r="I403" s="24"/>
      <c r="O403" s="24"/>
      <c r="Q403" s="24"/>
      <c r="R403" s="24"/>
      <c r="U403" s="24"/>
      <c r="X403" s="24"/>
      <c r="Z403" s="24"/>
      <c r="AL403" s="24"/>
    </row>
    <row r="404" ht="15.75" customHeight="1">
      <c r="B404" s="399"/>
      <c r="F404" s="399"/>
      <c r="G404" s="24"/>
      <c r="I404" s="24"/>
      <c r="O404" s="24"/>
      <c r="Q404" s="24"/>
      <c r="R404" s="24"/>
      <c r="U404" s="24"/>
      <c r="X404" s="24"/>
      <c r="Z404" s="24"/>
      <c r="AL404" s="24"/>
    </row>
    <row r="405" ht="15.75" customHeight="1">
      <c r="B405" s="399"/>
      <c r="F405" s="399"/>
      <c r="G405" s="24"/>
      <c r="I405" s="24"/>
      <c r="O405" s="24"/>
      <c r="Q405" s="24"/>
      <c r="R405" s="24"/>
      <c r="U405" s="24"/>
      <c r="X405" s="24"/>
      <c r="Z405" s="24"/>
      <c r="AL405" s="24"/>
    </row>
    <row r="406" ht="15.75" customHeight="1">
      <c r="B406" s="399"/>
      <c r="F406" s="399"/>
      <c r="G406" s="24"/>
      <c r="I406" s="24"/>
      <c r="O406" s="24"/>
      <c r="Q406" s="24"/>
      <c r="R406" s="24"/>
      <c r="U406" s="24"/>
      <c r="X406" s="24"/>
      <c r="Z406" s="24"/>
      <c r="AL406" s="24"/>
    </row>
    <row r="407" ht="15.75" customHeight="1">
      <c r="B407" s="399"/>
      <c r="F407" s="399"/>
      <c r="G407" s="24"/>
      <c r="I407" s="24"/>
      <c r="O407" s="24"/>
      <c r="Q407" s="24"/>
      <c r="R407" s="24"/>
      <c r="U407" s="24"/>
      <c r="X407" s="24"/>
      <c r="Z407" s="24"/>
      <c r="AL407" s="24"/>
    </row>
    <row r="408" ht="15.75" customHeight="1">
      <c r="B408" s="399"/>
      <c r="F408" s="399"/>
      <c r="G408" s="24"/>
      <c r="I408" s="24"/>
      <c r="O408" s="24"/>
      <c r="Q408" s="24"/>
      <c r="R408" s="24"/>
      <c r="U408" s="24"/>
      <c r="X408" s="24"/>
      <c r="Z408" s="24"/>
      <c r="AL408" s="24"/>
    </row>
    <row r="409" ht="15.75" customHeight="1">
      <c r="B409" s="399"/>
      <c r="F409" s="399"/>
      <c r="G409" s="24"/>
      <c r="I409" s="24"/>
      <c r="O409" s="24"/>
      <c r="Q409" s="24"/>
      <c r="R409" s="24"/>
      <c r="U409" s="24"/>
      <c r="X409" s="24"/>
      <c r="Z409" s="24"/>
      <c r="AL409" s="24"/>
    </row>
    <row r="410" ht="15.75" customHeight="1">
      <c r="B410" s="399"/>
      <c r="F410" s="399"/>
      <c r="G410" s="24"/>
      <c r="I410" s="24"/>
      <c r="O410" s="24"/>
      <c r="Q410" s="24"/>
      <c r="R410" s="24"/>
      <c r="U410" s="24"/>
      <c r="X410" s="24"/>
      <c r="Z410" s="24"/>
      <c r="AL410" s="24"/>
    </row>
    <row r="411" ht="15.75" customHeight="1">
      <c r="B411" s="399"/>
      <c r="F411" s="399"/>
      <c r="G411" s="24"/>
      <c r="I411" s="24"/>
      <c r="O411" s="24"/>
      <c r="Q411" s="24"/>
      <c r="R411" s="24"/>
      <c r="U411" s="24"/>
      <c r="X411" s="24"/>
      <c r="Z411" s="24"/>
      <c r="AL411" s="24"/>
    </row>
    <row r="412" ht="15.75" customHeight="1">
      <c r="B412" s="399"/>
      <c r="F412" s="399"/>
      <c r="G412" s="24"/>
      <c r="I412" s="24"/>
      <c r="O412" s="24"/>
      <c r="Q412" s="24"/>
      <c r="R412" s="24"/>
      <c r="U412" s="24"/>
      <c r="X412" s="24"/>
      <c r="Z412" s="24"/>
      <c r="AL412" s="24"/>
    </row>
    <row r="413" ht="15.75" customHeight="1">
      <c r="B413" s="399"/>
      <c r="F413" s="399"/>
      <c r="G413" s="24"/>
      <c r="I413" s="24"/>
      <c r="O413" s="24"/>
      <c r="Q413" s="24"/>
      <c r="R413" s="24"/>
      <c r="U413" s="24"/>
      <c r="X413" s="24"/>
      <c r="Z413" s="24"/>
      <c r="AL413" s="24"/>
    </row>
    <row r="414" ht="15.75" customHeight="1">
      <c r="B414" s="399"/>
      <c r="F414" s="399"/>
      <c r="G414" s="24"/>
      <c r="I414" s="24"/>
      <c r="O414" s="24"/>
      <c r="Q414" s="24"/>
      <c r="R414" s="24"/>
      <c r="U414" s="24"/>
      <c r="X414" s="24"/>
      <c r="Z414" s="24"/>
      <c r="AL414" s="24"/>
    </row>
    <row r="415" ht="15.75" customHeight="1">
      <c r="B415" s="399"/>
      <c r="F415" s="399"/>
      <c r="G415" s="24"/>
      <c r="I415" s="24"/>
      <c r="O415" s="24"/>
      <c r="Q415" s="24"/>
      <c r="R415" s="24"/>
      <c r="U415" s="24"/>
      <c r="X415" s="24"/>
      <c r="Z415" s="24"/>
      <c r="AL415" s="24"/>
    </row>
    <row r="416" ht="15.75" customHeight="1">
      <c r="B416" s="399"/>
      <c r="F416" s="399"/>
      <c r="G416" s="24"/>
      <c r="I416" s="24"/>
      <c r="O416" s="24"/>
      <c r="Q416" s="24"/>
      <c r="R416" s="24"/>
      <c r="U416" s="24"/>
      <c r="X416" s="24"/>
      <c r="Z416" s="24"/>
      <c r="AL416" s="24"/>
    </row>
    <row r="417" ht="15.75" customHeight="1">
      <c r="B417" s="399"/>
      <c r="F417" s="399"/>
      <c r="G417" s="24"/>
      <c r="I417" s="24"/>
      <c r="O417" s="24"/>
      <c r="Q417" s="24"/>
      <c r="R417" s="24"/>
      <c r="U417" s="24"/>
      <c r="X417" s="24"/>
      <c r="Z417" s="24"/>
      <c r="AL417" s="24"/>
    </row>
    <row r="418" ht="15.75" customHeight="1">
      <c r="B418" s="399"/>
      <c r="F418" s="399"/>
      <c r="G418" s="24"/>
      <c r="I418" s="24"/>
      <c r="O418" s="24"/>
      <c r="Q418" s="24"/>
      <c r="R418" s="24"/>
      <c r="U418" s="24"/>
      <c r="X418" s="24"/>
      <c r="Z418" s="24"/>
      <c r="AL418" s="24"/>
    </row>
    <row r="419" ht="15.75" customHeight="1">
      <c r="B419" s="399"/>
      <c r="F419" s="399"/>
      <c r="G419" s="24"/>
      <c r="I419" s="24"/>
      <c r="O419" s="24"/>
      <c r="Q419" s="24"/>
      <c r="R419" s="24"/>
      <c r="U419" s="24"/>
      <c r="X419" s="24"/>
      <c r="Z419" s="24"/>
      <c r="AL419" s="24"/>
    </row>
    <row r="420" ht="15.75" customHeight="1">
      <c r="B420" s="399"/>
      <c r="F420" s="399"/>
      <c r="G420" s="24"/>
      <c r="I420" s="24"/>
      <c r="O420" s="24"/>
      <c r="Q420" s="24"/>
      <c r="R420" s="24"/>
      <c r="U420" s="24"/>
      <c r="X420" s="24"/>
      <c r="Z420" s="24"/>
      <c r="AL420" s="24"/>
    </row>
    <row r="421" ht="15.75" customHeight="1">
      <c r="B421" s="399"/>
      <c r="F421" s="399"/>
      <c r="G421" s="24"/>
      <c r="I421" s="24"/>
      <c r="O421" s="24"/>
      <c r="Q421" s="24"/>
      <c r="R421" s="24"/>
      <c r="U421" s="24"/>
      <c r="X421" s="24"/>
      <c r="Z421" s="24"/>
      <c r="AL421" s="24"/>
    </row>
    <row r="422" ht="15.75" customHeight="1">
      <c r="B422" s="399"/>
      <c r="F422" s="399"/>
      <c r="G422" s="24"/>
      <c r="I422" s="24"/>
      <c r="O422" s="24"/>
      <c r="Q422" s="24"/>
      <c r="R422" s="24"/>
      <c r="U422" s="24"/>
      <c r="X422" s="24"/>
      <c r="Z422" s="24"/>
      <c r="AL422" s="24"/>
    </row>
    <row r="423" ht="15.75" customHeight="1">
      <c r="B423" s="399"/>
      <c r="F423" s="399"/>
      <c r="G423" s="24"/>
      <c r="I423" s="24"/>
      <c r="O423" s="24"/>
      <c r="Q423" s="24"/>
      <c r="R423" s="24"/>
      <c r="U423" s="24"/>
      <c r="X423" s="24"/>
      <c r="Z423" s="24"/>
      <c r="AL423" s="24"/>
    </row>
    <row r="424" ht="15.75" customHeight="1">
      <c r="B424" s="399"/>
      <c r="F424" s="399"/>
      <c r="G424" s="24"/>
      <c r="I424" s="24"/>
      <c r="O424" s="24"/>
      <c r="Q424" s="24"/>
      <c r="R424" s="24"/>
      <c r="U424" s="24"/>
      <c r="X424" s="24"/>
      <c r="Z424" s="24"/>
      <c r="AL424" s="24"/>
    </row>
    <row r="425" ht="15.75" customHeight="1">
      <c r="B425" s="399"/>
      <c r="F425" s="399"/>
      <c r="G425" s="24"/>
      <c r="I425" s="24"/>
      <c r="O425" s="24"/>
      <c r="Q425" s="24"/>
      <c r="R425" s="24"/>
      <c r="U425" s="24"/>
      <c r="X425" s="24"/>
      <c r="Z425" s="24"/>
      <c r="AL425" s="24"/>
    </row>
    <row r="426" ht="15.75" customHeight="1">
      <c r="B426" s="399"/>
      <c r="F426" s="399"/>
      <c r="G426" s="24"/>
      <c r="I426" s="24"/>
      <c r="O426" s="24"/>
      <c r="Q426" s="24"/>
      <c r="R426" s="24"/>
      <c r="U426" s="24"/>
      <c r="X426" s="24"/>
      <c r="Z426" s="24"/>
      <c r="AL426" s="24"/>
    </row>
    <row r="427" ht="15.75" customHeight="1">
      <c r="B427" s="399"/>
      <c r="F427" s="399"/>
      <c r="G427" s="24"/>
      <c r="I427" s="24"/>
      <c r="O427" s="24"/>
      <c r="Q427" s="24"/>
      <c r="R427" s="24"/>
      <c r="U427" s="24"/>
      <c r="X427" s="24"/>
      <c r="Z427" s="24"/>
      <c r="AL427" s="24"/>
    </row>
    <row r="428" ht="15.75" customHeight="1">
      <c r="B428" s="399"/>
      <c r="F428" s="399"/>
      <c r="G428" s="24"/>
      <c r="I428" s="24"/>
      <c r="O428" s="24"/>
      <c r="Q428" s="24"/>
      <c r="R428" s="24"/>
      <c r="U428" s="24"/>
      <c r="X428" s="24"/>
      <c r="Z428" s="24"/>
      <c r="AL428" s="24"/>
    </row>
    <row r="429" ht="15.75" customHeight="1">
      <c r="B429" s="399"/>
      <c r="F429" s="399"/>
      <c r="G429" s="24"/>
      <c r="I429" s="24"/>
      <c r="O429" s="24"/>
      <c r="Q429" s="24"/>
      <c r="R429" s="24"/>
      <c r="U429" s="24"/>
      <c r="X429" s="24"/>
      <c r="Z429" s="24"/>
      <c r="AL429" s="24"/>
    </row>
    <row r="430" ht="15.75" customHeight="1">
      <c r="B430" s="399"/>
      <c r="F430" s="399"/>
      <c r="G430" s="24"/>
      <c r="I430" s="24"/>
      <c r="O430" s="24"/>
      <c r="Q430" s="24"/>
      <c r="R430" s="24"/>
      <c r="U430" s="24"/>
      <c r="X430" s="24"/>
      <c r="Z430" s="24"/>
      <c r="AL430" s="24"/>
    </row>
    <row r="431" ht="15.75" customHeight="1">
      <c r="B431" s="399"/>
      <c r="F431" s="399"/>
      <c r="G431" s="24"/>
      <c r="I431" s="24"/>
      <c r="O431" s="24"/>
      <c r="Q431" s="24"/>
      <c r="R431" s="24"/>
      <c r="U431" s="24"/>
      <c r="X431" s="24"/>
      <c r="Z431" s="24"/>
      <c r="AL431" s="24"/>
    </row>
    <row r="432" ht="15.75" customHeight="1">
      <c r="B432" s="399"/>
      <c r="F432" s="399"/>
      <c r="G432" s="24"/>
      <c r="I432" s="24"/>
      <c r="O432" s="24"/>
      <c r="Q432" s="24"/>
      <c r="R432" s="24"/>
      <c r="U432" s="24"/>
      <c r="X432" s="24"/>
      <c r="Z432" s="24"/>
      <c r="AL432" s="24"/>
    </row>
    <row r="433" ht="15.75" customHeight="1">
      <c r="B433" s="399"/>
      <c r="F433" s="399"/>
      <c r="G433" s="24"/>
      <c r="I433" s="24"/>
      <c r="O433" s="24"/>
      <c r="Q433" s="24"/>
      <c r="R433" s="24"/>
      <c r="U433" s="24"/>
      <c r="X433" s="24"/>
      <c r="Z433" s="24"/>
      <c r="AL433" s="24"/>
    </row>
    <row r="434" ht="15.75" customHeight="1">
      <c r="B434" s="399"/>
      <c r="F434" s="399"/>
      <c r="G434" s="24"/>
      <c r="I434" s="24"/>
      <c r="O434" s="24"/>
      <c r="Q434" s="24"/>
      <c r="R434" s="24"/>
      <c r="U434" s="24"/>
      <c r="X434" s="24"/>
      <c r="Z434" s="24"/>
      <c r="AL434" s="24"/>
    </row>
    <row r="435" ht="15.75" customHeight="1">
      <c r="B435" s="399"/>
      <c r="F435" s="399"/>
      <c r="G435" s="24"/>
      <c r="I435" s="24"/>
      <c r="O435" s="24"/>
      <c r="Q435" s="24"/>
      <c r="R435" s="24"/>
      <c r="U435" s="24"/>
      <c r="X435" s="24"/>
      <c r="Z435" s="24"/>
      <c r="AL435" s="24"/>
    </row>
    <row r="436" ht="15.75" customHeight="1">
      <c r="B436" s="399"/>
      <c r="F436" s="399"/>
      <c r="G436" s="24"/>
      <c r="I436" s="24"/>
      <c r="O436" s="24"/>
      <c r="Q436" s="24"/>
      <c r="R436" s="24"/>
      <c r="U436" s="24"/>
      <c r="X436" s="24"/>
      <c r="Z436" s="24"/>
      <c r="AL436" s="24"/>
    </row>
    <row r="437" ht="15.75" customHeight="1">
      <c r="B437" s="399"/>
      <c r="F437" s="399"/>
      <c r="G437" s="24"/>
      <c r="I437" s="24"/>
      <c r="O437" s="24"/>
      <c r="Q437" s="24"/>
      <c r="R437" s="24"/>
      <c r="U437" s="24"/>
      <c r="X437" s="24"/>
      <c r="Z437" s="24"/>
      <c r="AL437" s="24"/>
    </row>
    <row r="438" ht="15.75" customHeight="1">
      <c r="B438" s="399"/>
      <c r="F438" s="399"/>
      <c r="G438" s="24"/>
      <c r="I438" s="24"/>
      <c r="O438" s="24"/>
      <c r="Q438" s="24"/>
      <c r="R438" s="24"/>
      <c r="U438" s="24"/>
      <c r="X438" s="24"/>
      <c r="Z438" s="24"/>
      <c r="AL438" s="24"/>
    </row>
    <row r="439" ht="15.75" customHeight="1">
      <c r="B439" s="399"/>
      <c r="F439" s="399"/>
      <c r="G439" s="24"/>
      <c r="I439" s="24"/>
      <c r="O439" s="24"/>
      <c r="Q439" s="24"/>
      <c r="R439" s="24"/>
      <c r="U439" s="24"/>
      <c r="X439" s="24"/>
      <c r="Z439" s="24"/>
      <c r="AL439" s="24"/>
    </row>
    <row r="440" ht="15.75" customHeight="1">
      <c r="B440" s="399"/>
      <c r="F440" s="399"/>
      <c r="G440" s="24"/>
      <c r="I440" s="24"/>
      <c r="O440" s="24"/>
      <c r="Q440" s="24"/>
      <c r="R440" s="24"/>
      <c r="U440" s="24"/>
      <c r="X440" s="24"/>
      <c r="Z440" s="24"/>
      <c r="AL440" s="24"/>
    </row>
    <row r="441" ht="15.75" customHeight="1">
      <c r="B441" s="399"/>
      <c r="F441" s="399"/>
      <c r="G441" s="24"/>
      <c r="I441" s="24"/>
      <c r="O441" s="24"/>
      <c r="Q441" s="24"/>
      <c r="R441" s="24"/>
      <c r="U441" s="24"/>
      <c r="X441" s="24"/>
      <c r="Z441" s="24"/>
      <c r="AL441" s="24"/>
    </row>
    <row r="442" ht="15.75" customHeight="1">
      <c r="B442" s="399"/>
      <c r="F442" s="399"/>
      <c r="G442" s="24"/>
      <c r="I442" s="24"/>
      <c r="O442" s="24"/>
      <c r="Q442" s="24"/>
      <c r="R442" s="24"/>
      <c r="U442" s="24"/>
      <c r="X442" s="24"/>
      <c r="Z442" s="24"/>
      <c r="AL442" s="24"/>
    </row>
    <row r="443" ht="15.75" customHeight="1">
      <c r="B443" s="399"/>
      <c r="F443" s="399"/>
      <c r="G443" s="24"/>
      <c r="I443" s="24"/>
      <c r="O443" s="24"/>
      <c r="Q443" s="24"/>
      <c r="R443" s="24"/>
      <c r="U443" s="24"/>
      <c r="X443" s="24"/>
      <c r="Z443" s="24"/>
      <c r="AL443" s="24"/>
    </row>
    <row r="444" ht="15.75" customHeight="1">
      <c r="B444" s="399"/>
      <c r="F444" s="399"/>
      <c r="G444" s="24"/>
      <c r="I444" s="24"/>
      <c r="O444" s="24"/>
      <c r="Q444" s="24"/>
      <c r="R444" s="24"/>
      <c r="U444" s="24"/>
      <c r="X444" s="24"/>
      <c r="Z444" s="24"/>
      <c r="AL444" s="24"/>
    </row>
    <row r="445" ht="15.75" customHeight="1">
      <c r="B445" s="399"/>
      <c r="F445" s="399"/>
      <c r="G445" s="24"/>
      <c r="I445" s="24"/>
      <c r="O445" s="24"/>
      <c r="Q445" s="24"/>
      <c r="R445" s="24"/>
      <c r="U445" s="24"/>
      <c r="X445" s="24"/>
      <c r="Z445" s="24"/>
      <c r="AL445" s="24"/>
    </row>
    <row r="446" ht="15.75" customHeight="1">
      <c r="B446" s="399"/>
      <c r="F446" s="399"/>
      <c r="G446" s="24"/>
      <c r="I446" s="24"/>
      <c r="O446" s="24"/>
      <c r="Q446" s="24"/>
      <c r="R446" s="24"/>
      <c r="U446" s="24"/>
      <c r="X446" s="24"/>
      <c r="Z446" s="24"/>
      <c r="AL446" s="24"/>
    </row>
    <row r="447" ht="15.75" customHeight="1">
      <c r="B447" s="399"/>
      <c r="F447" s="399"/>
      <c r="G447" s="24"/>
      <c r="I447" s="24"/>
      <c r="O447" s="24"/>
      <c r="Q447" s="24"/>
      <c r="R447" s="24"/>
      <c r="U447" s="24"/>
      <c r="X447" s="24"/>
      <c r="Z447" s="24"/>
      <c r="AL447" s="24"/>
    </row>
    <row r="448" ht="15.75" customHeight="1">
      <c r="B448" s="399"/>
      <c r="F448" s="399"/>
      <c r="G448" s="24"/>
      <c r="I448" s="24"/>
      <c r="O448" s="24"/>
      <c r="Q448" s="24"/>
      <c r="R448" s="24"/>
      <c r="U448" s="24"/>
      <c r="X448" s="24"/>
      <c r="Z448" s="24"/>
      <c r="AL448" s="24"/>
    </row>
    <row r="449" ht="15.75" customHeight="1">
      <c r="B449" s="399"/>
      <c r="F449" s="399"/>
      <c r="G449" s="24"/>
      <c r="I449" s="24"/>
      <c r="O449" s="24"/>
      <c r="Q449" s="24"/>
      <c r="R449" s="24"/>
      <c r="U449" s="24"/>
      <c r="X449" s="24"/>
      <c r="Z449" s="24"/>
      <c r="AL449" s="24"/>
    </row>
    <row r="450" ht="15.75" customHeight="1">
      <c r="B450" s="399"/>
      <c r="F450" s="399"/>
      <c r="G450" s="24"/>
      <c r="I450" s="24"/>
      <c r="O450" s="24"/>
      <c r="Q450" s="24"/>
      <c r="R450" s="24"/>
      <c r="U450" s="24"/>
      <c r="X450" s="24"/>
      <c r="Z450" s="24"/>
      <c r="AL450" s="24"/>
    </row>
    <row r="451" ht="15.75" customHeight="1">
      <c r="B451" s="399"/>
      <c r="F451" s="399"/>
      <c r="G451" s="24"/>
      <c r="I451" s="24"/>
      <c r="O451" s="24"/>
      <c r="Q451" s="24"/>
      <c r="R451" s="24"/>
      <c r="U451" s="24"/>
      <c r="X451" s="24"/>
      <c r="Z451" s="24"/>
      <c r="AL451" s="24"/>
    </row>
    <row r="452" ht="15.75" customHeight="1">
      <c r="B452" s="399"/>
      <c r="F452" s="399"/>
      <c r="G452" s="24"/>
      <c r="I452" s="24"/>
      <c r="O452" s="24"/>
      <c r="Q452" s="24"/>
      <c r="R452" s="24"/>
      <c r="U452" s="24"/>
      <c r="X452" s="24"/>
      <c r="Z452" s="24"/>
      <c r="AL452" s="24"/>
    </row>
    <row r="453" ht="15.75" customHeight="1">
      <c r="B453" s="399"/>
      <c r="F453" s="399"/>
      <c r="G453" s="24"/>
      <c r="I453" s="24"/>
      <c r="O453" s="24"/>
      <c r="Q453" s="24"/>
      <c r="R453" s="24"/>
      <c r="U453" s="24"/>
      <c r="X453" s="24"/>
      <c r="Z453" s="24"/>
      <c r="AL453" s="24"/>
    </row>
    <row r="454" ht="15.75" customHeight="1">
      <c r="B454" s="399"/>
      <c r="F454" s="399"/>
      <c r="G454" s="24"/>
      <c r="I454" s="24"/>
      <c r="O454" s="24"/>
      <c r="Q454" s="24"/>
      <c r="R454" s="24"/>
      <c r="U454" s="24"/>
      <c r="X454" s="24"/>
      <c r="Z454" s="24"/>
      <c r="AL454" s="24"/>
    </row>
    <row r="455" ht="15.75" customHeight="1">
      <c r="B455" s="399"/>
      <c r="F455" s="399"/>
      <c r="G455" s="24"/>
      <c r="I455" s="24"/>
      <c r="O455" s="24"/>
      <c r="Q455" s="24"/>
      <c r="R455" s="24"/>
      <c r="U455" s="24"/>
      <c r="X455" s="24"/>
      <c r="Z455" s="24"/>
      <c r="AL455" s="24"/>
    </row>
    <row r="456" ht="15.75" customHeight="1">
      <c r="B456" s="399"/>
      <c r="F456" s="399"/>
      <c r="G456" s="24"/>
      <c r="I456" s="24"/>
      <c r="O456" s="24"/>
      <c r="Q456" s="24"/>
      <c r="R456" s="24"/>
      <c r="U456" s="24"/>
      <c r="X456" s="24"/>
      <c r="Z456" s="24"/>
      <c r="AL456" s="24"/>
    </row>
    <row r="457" ht="15.75" customHeight="1">
      <c r="B457" s="399"/>
      <c r="F457" s="399"/>
      <c r="G457" s="24"/>
      <c r="I457" s="24"/>
      <c r="O457" s="24"/>
      <c r="Q457" s="24"/>
      <c r="R457" s="24"/>
      <c r="U457" s="24"/>
      <c r="X457" s="24"/>
      <c r="Z457" s="24"/>
      <c r="AL457" s="24"/>
    </row>
    <row r="458" ht="15.75" customHeight="1">
      <c r="B458" s="399"/>
      <c r="F458" s="399"/>
      <c r="G458" s="24"/>
      <c r="I458" s="24"/>
      <c r="O458" s="24"/>
      <c r="Q458" s="24"/>
      <c r="R458" s="24"/>
      <c r="U458" s="24"/>
      <c r="X458" s="24"/>
      <c r="Z458" s="24"/>
      <c r="AL458" s="24"/>
    </row>
    <row r="459" ht="15.75" customHeight="1">
      <c r="B459" s="399"/>
      <c r="F459" s="399"/>
      <c r="G459" s="24"/>
      <c r="I459" s="24"/>
      <c r="O459" s="24"/>
      <c r="Q459" s="24"/>
      <c r="R459" s="24"/>
      <c r="U459" s="24"/>
      <c r="X459" s="24"/>
      <c r="Z459" s="24"/>
      <c r="AL459" s="24"/>
    </row>
    <row r="460" ht="15.75" customHeight="1">
      <c r="B460" s="399"/>
      <c r="F460" s="399"/>
      <c r="G460" s="24"/>
      <c r="I460" s="24"/>
      <c r="O460" s="24"/>
      <c r="Q460" s="24"/>
      <c r="R460" s="24"/>
      <c r="U460" s="24"/>
      <c r="X460" s="24"/>
      <c r="Z460" s="24"/>
      <c r="AL460" s="24"/>
    </row>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row r="1015" ht="15.75" customHeight="1"/>
    <row r="1016" ht="15.75" customHeight="1"/>
    <row r="1017" ht="15.75" customHeight="1"/>
    <row r="1018" ht="15.75" customHeight="1"/>
    <row r="1019" ht="15.75" customHeight="1"/>
    <row r="1020" ht="15.75" customHeight="1"/>
    <row r="1021" ht="15.75" customHeight="1"/>
    <row r="1022" ht="15.75" customHeight="1"/>
    <row r="1023" ht="15.75" customHeight="1"/>
    <row r="1024" ht="15.75" customHeight="1"/>
    <row r="1025" ht="15.75" customHeight="1"/>
    <row r="1026" ht="15.75" customHeight="1"/>
    <row r="1027" ht="15.75" customHeight="1"/>
  </sheetData>
  <mergeCells count="75">
    <mergeCell ref="AE138:AK138"/>
    <mergeCell ref="G139:AB139"/>
    <mergeCell ref="A140:AK140"/>
    <mergeCell ref="G145:AC145"/>
    <mergeCell ref="G146:AA146"/>
    <mergeCell ref="A147:AK147"/>
    <mergeCell ref="A169:AK169"/>
    <mergeCell ref="A172:AK172"/>
    <mergeCell ref="A178:AH178"/>
    <mergeCell ref="A179:F179"/>
    <mergeCell ref="A181:AH181"/>
    <mergeCell ref="A183:AH183"/>
    <mergeCell ref="G190:AC190"/>
    <mergeCell ref="A191:AK191"/>
    <mergeCell ref="AA205:AK205"/>
    <mergeCell ref="A214:AK214"/>
    <mergeCell ref="AB215:AK215"/>
    <mergeCell ref="A217:AK217"/>
    <mergeCell ref="A222:AK222"/>
    <mergeCell ref="A223:F223"/>
    <mergeCell ref="A225:AJ225"/>
    <mergeCell ref="AC226:AK226"/>
    <mergeCell ref="A228:AJ228"/>
    <mergeCell ref="G230:P230"/>
    <mergeCell ref="G232:P232"/>
    <mergeCell ref="K235:AK235"/>
    <mergeCell ref="G237:AB237"/>
    <mergeCell ref="A238:AK238"/>
    <mergeCell ref="A1:AK1"/>
    <mergeCell ref="AM1:AO1"/>
    <mergeCell ref="A2:F2"/>
    <mergeCell ref="A4:AJ4"/>
    <mergeCell ref="A6:AH6"/>
    <mergeCell ref="AA8:AK8"/>
    <mergeCell ref="G16:AD16"/>
    <mergeCell ref="A18:AH18"/>
    <mergeCell ref="AA15:AK15"/>
    <mergeCell ref="AE17:AK17"/>
    <mergeCell ref="AD21:AK21"/>
    <mergeCell ref="Y26:AK26"/>
    <mergeCell ref="A40:AJ40"/>
    <mergeCell ref="A44:AH44"/>
    <mergeCell ref="A47:AH47"/>
    <mergeCell ref="A49:F49"/>
    <mergeCell ref="G52:AJ52"/>
    <mergeCell ref="A54:AK54"/>
    <mergeCell ref="A55:F55"/>
    <mergeCell ref="A57:AK57"/>
    <mergeCell ref="A59:AK59"/>
    <mergeCell ref="M60:AA60"/>
    <mergeCell ref="O65:Z65"/>
    <mergeCell ref="G66:AE66"/>
    <mergeCell ref="A73:AH73"/>
    <mergeCell ref="AJ73:AK73"/>
    <mergeCell ref="A91:AK91"/>
    <mergeCell ref="A94:AK94"/>
    <mergeCell ref="N95:AK95"/>
    <mergeCell ref="AA96:AK96"/>
    <mergeCell ref="A99:AK99"/>
    <mergeCell ref="A104:AH104"/>
    <mergeCell ref="A105:F105"/>
    <mergeCell ref="A107:AH107"/>
    <mergeCell ref="A109:AH109"/>
    <mergeCell ref="A118:AK118"/>
    <mergeCell ref="A119:F119"/>
    <mergeCell ref="A121:AK121"/>
    <mergeCell ref="A123:AK123"/>
    <mergeCell ref="L130:AK130"/>
    <mergeCell ref="A134:AK134"/>
    <mergeCell ref="A135:F135"/>
    <mergeCell ref="A137:AJ137"/>
    <mergeCell ref="AH237:AK237"/>
    <mergeCell ref="L254:AK254"/>
    <mergeCell ref="A257:AK257"/>
    <mergeCell ref="A260:AK260"/>
  </mergeCells>
  <conditionalFormatting sqref="AM212:AM213 AM248">
    <cfRule type="endsWith" dxfId="3" priority="1" operator="endsWith" text="NO CORRESPONDE FRANCO">
      <formula>RIGHT((AM212),LEN("NO CORRESPONDE FRANCO"))=("NO CORRESPONDE FRANCO")</formula>
    </cfRule>
  </conditionalFormatting>
  <conditionalFormatting sqref="AP19:AS63 AP65:AS71 AP73:AS262 AO212:AO213 AO248">
    <cfRule type="cellIs" dxfId="4" priority="2" operator="greaterThan">
      <formula>0</formula>
    </cfRule>
  </conditionalFormatting>
  <conditionalFormatting sqref="AO19:AO63 AO65:AO71 AO73:AO262 AN212:AN213 AN248">
    <cfRule type="cellIs" dxfId="4" priority="3" operator="greaterThan">
      <formula>3</formula>
    </cfRule>
  </conditionalFormatting>
  <conditionalFormatting sqref="AN19:AN63 AN65:AN71 AN73:AN121 AN123:AN262 AL124">
    <cfRule type="cellIs" dxfId="3" priority="4" operator="equal">
      <formula>"NO CORRESPONDE FRANCO"</formula>
    </cfRule>
  </conditionalFormatting>
  <printOptions/>
  <pageMargins bottom="0.75" footer="0.0" header="0.0" left="0.7" right="0.7" top="0.75"/>
  <pageSetup orientation="landscape"/>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0.29"/>
    <col customWidth="1" min="2" max="2" width="22.43"/>
    <col customWidth="1" min="3" max="3" width="9.86"/>
    <col customWidth="1" min="4" max="4" width="22.86"/>
    <col customWidth="1" min="5" max="5" width="18.0"/>
    <col customWidth="1" min="6" max="6" width="4.57"/>
    <col customWidth="1" min="7" max="7" width="5.14"/>
    <col customWidth="1" min="8" max="9" width="4.0"/>
    <col customWidth="1" min="10" max="10" width="4.86"/>
    <col customWidth="1" min="11" max="11" width="5.29"/>
    <col customWidth="1" min="12" max="12" width="4.43"/>
    <col customWidth="1" min="13" max="13" width="4.14"/>
    <col customWidth="1" min="14" max="14" width="6.14"/>
    <col customWidth="1" min="15" max="15" width="5.86"/>
    <col customWidth="1" min="16" max="16" width="4.29"/>
    <col customWidth="1" min="17" max="17" width="4.14"/>
    <col customWidth="1" min="18" max="18" width="4.43"/>
    <col customWidth="1" min="19" max="19" width="5.86"/>
    <col customWidth="1" min="20" max="24" width="4.86"/>
    <col customWidth="1" min="25" max="25" width="4.57"/>
    <col customWidth="1" min="26" max="26" width="5.71"/>
    <col customWidth="1" min="27" max="27" width="7.57"/>
    <col customWidth="1" min="28" max="28" width="6.71"/>
    <col customWidth="1" min="29" max="29" width="5.43"/>
    <col customWidth="1" min="30" max="30" width="6.57"/>
    <col customWidth="1" min="31" max="31" width="5.29"/>
    <col customWidth="1" min="32" max="32" width="5.14"/>
    <col customWidth="1" min="33" max="33" width="6.57"/>
    <col customWidth="1" min="34" max="34" width="3.14"/>
    <col customWidth="1" min="35" max="35" width="4.86"/>
    <col customWidth="1" min="36" max="36" width="34.29"/>
    <col customWidth="1" min="37" max="37" width="24.14"/>
    <col customWidth="1" min="38" max="38" width="17.71"/>
    <col customWidth="1" min="39" max="39" width="28.0"/>
    <col customWidth="1" min="40" max="40" width="3.71"/>
    <col customWidth="1" min="41" max="41" width="3.86"/>
    <col customWidth="1" min="42" max="42" width="4.29"/>
    <col customWidth="1" min="43" max="43" width="4.14"/>
    <col customWidth="1" min="44" max="44" width="3.29"/>
    <col customWidth="1" hidden="1" min="45" max="45" width="59.86"/>
    <col customWidth="1" min="46" max="46" width="59.86"/>
  </cols>
  <sheetData>
    <row r="1" ht="15.0" customHeight="1">
      <c r="A1" s="8"/>
      <c r="B1" s="12"/>
      <c r="C1" s="12"/>
      <c r="D1" s="12"/>
      <c r="E1" s="12"/>
      <c r="F1" s="12"/>
      <c r="G1" s="12"/>
      <c r="H1" s="12"/>
      <c r="I1" s="12"/>
      <c r="J1" s="12"/>
      <c r="K1" s="12"/>
      <c r="L1" s="12"/>
      <c r="M1" s="12"/>
      <c r="N1" s="12"/>
      <c r="O1" s="12"/>
      <c r="P1" s="12"/>
      <c r="Q1" s="12"/>
      <c r="R1" s="12"/>
      <c r="S1" s="12"/>
      <c r="T1" s="12"/>
      <c r="U1" s="12"/>
      <c r="V1" s="12"/>
      <c r="W1" s="12"/>
      <c r="X1" s="12"/>
      <c r="Y1" s="12"/>
      <c r="Z1" s="12"/>
      <c r="AA1" s="12"/>
      <c r="AB1" s="12"/>
      <c r="AC1" s="12"/>
      <c r="AD1" s="12"/>
      <c r="AE1" s="12"/>
      <c r="AF1" s="12"/>
      <c r="AG1" s="12"/>
      <c r="AH1" s="12"/>
      <c r="AI1" s="12"/>
      <c r="AJ1" s="23"/>
      <c r="AK1" s="24"/>
      <c r="AL1" s="26"/>
      <c r="AM1" s="26"/>
      <c r="AN1" s="26"/>
      <c r="AO1" s="26"/>
      <c r="AP1" s="26"/>
      <c r="AQ1" s="29"/>
      <c r="AR1" s="29"/>
      <c r="AS1" s="29"/>
      <c r="AT1" s="29"/>
    </row>
    <row r="2">
      <c r="A2" s="34" t="s">
        <v>17</v>
      </c>
      <c r="B2" s="6"/>
      <c r="C2" s="6"/>
      <c r="D2" s="6"/>
      <c r="E2" s="37"/>
      <c r="F2" s="7">
        <v>1.0</v>
      </c>
      <c r="G2" s="7">
        <v>2.0</v>
      </c>
      <c r="H2" s="7">
        <v>3.0</v>
      </c>
      <c r="I2" s="7">
        <v>4.0</v>
      </c>
      <c r="J2" s="7">
        <v>5.0</v>
      </c>
      <c r="K2" s="7">
        <v>6.0</v>
      </c>
      <c r="L2" s="7">
        <v>7.0</v>
      </c>
      <c r="M2" s="7">
        <v>8.0</v>
      </c>
      <c r="N2" s="7">
        <v>9.0</v>
      </c>
      <c r="O2" s="7">
        <v>10.0</v>
      </c>
      <c r="P2" s="7">
        <v>11.0</v>
      </c>
      <c r="Q2" s="7">
        <v>12.0</v>
      </c>
      <c r="R2" s="7">
        <v>13.0</v>
      </c>
      <c r="S2" s="7">
        <v>14.0</v>
      </c>
      <c r="T2" s="7">
        <v>15.0</v>
      </c>
      <c r="U2" s="7">
        <v>16.0</v>
      </c>
      <c r="V2" s="7">
        <v>17.0</v>
      </c>
      <c r="W2" s="7">
        <v>18.0</v>
      </c>
      <c r="X2" s="7">
        <v>19.0</v>
      </c>
      <c r="Y2" s="7">
        <v>20.0</v>
      </c>
      <c r="Z2" s="7">
        <v>21.0</v>
      </c>
      <c r="AA2" s="7">
        <v>22.0</v>
      </c>
      <c r="AB2" s="7">
        <v>23.0</v>
      </c>
      <c r="AC2" s="7">
        <v>24.0</v>
      </c>
      <c r="AD2" s="7">
        <v>25.0</v>
      </c>
      <c r="AE2" s="7">
        <v>26.0</v>
      </c>
      <c r="AF2" s="7">
        <v>27.0</v>
      </c>
      <c r="AG2" s="7">
        <v>28.0</v>
      </c>
      <c r="AH2" s="7">
        <v>29.0</v>
      </c>
      <c r="AI2" s="7">
        <v>30.0</v>
      </c>
      <c r="AJ2" s="7">
        <v>31.0</v>
      </c>
      <c r="AK2" s="50">
        <v>9.0</v>
      </c>
      <c r="AL2" s="52"/>
      <c r="AM2" s="52"/>
      <c r="AN2" s="52"/>
      <c r="AO2" s="52"/>
      <c r="AP2" s="52"/>
      <c r="AQ2" s="53"/>
      <c r="AR2" s="53"/>
      <c r="AS2" s="53"/>
      <c r="AT2" s="53"/>
    </row>
    <row r="3">
      <c r="A3" s="54" t="s">
        <v>4</v>
      </c>
      <c r="B3" s="56" t="s">
        <v>5</v>
      </c>
      <c r="C3" s="54" t="s">
        <v>6</v>
      </c>
      <c r="D3" s="56" t="s">
        <v>7</v>
      </c>
      <c r="E3" s="58" t="s">
        <v>8</v>
      </c>
      <c r="F3" s="7" t="s">
        <v>9</v>
      </c>
      <c r="G3" s="7" t="s">
        <v>10</v>
      </c>
      <c r="H3" s="7" t="s">
        <v>11</v>
      </c>
      <c r="I3" s="7" t="s">
        <v>12</v>
      </c>
      <c r="J3" s="7" t="s">
        <v>12</v>
      </c>
      <c r="K3" s="7" t="s">
        <v>13</v>
      </c>
      <c r="L3" s="7" t="s">
        <v>15</v>
      </c>
      <c r="M3" s="7" t="s">
        <v>9</v>
      </c>
      <c r="N3" s="7" t="s">
        <v>10</v>
      </c>
      <c r="O3" s="7" t="s">
        <v>11</v>
      </c>
      <c r="P3" s="7" t="s">
        <v>12</v>
      </c>
      <c r="Q3" s="7" t="s">
        <v>12</v>
      </c>
      <c r="R3" s="7" t="s">
        <v>13</v>
      </c>
      <c r="S3" s="7" t="s">
        <v>15</v>
      </c>
      <c r="T3" s="7" t="s">
        <v>9</v>
      </c>
      <c r="U3" s="7" t="s">
        <v>10</v>
      </c>
      <c r="V3" s="7" t="s">
        <v>11</v>
      </c>
      <c r="W3" s="7" t="s">
        <v>12</v>
      </c>
      <c r="X3" s="7" t="s">
        <v>12</v>
      </c>
      <c r="Y3" s="7" t="s">
        <v>13</v>
      </c>
      <c r="Z3" s="7" t="s">
        <v>15</v>
      </c>
      <c r="AA3" s="7" t="s">
        <v>9</v>
      </c>
      <c r="AB3" s="7" t="s">
        <v>10</v>
      </c>
      <c r="AC3" s="7" t="s">
        <v>11</v>
      </c>
      <c r="AD3" s="7" t="s">
        <v>12</v>
      </c>
      <c r="AE3" s="7" t="s">
        <v>12</v>
      </c>
      <c r="AF3" s="7" t="s">
        <v>13</v>
      </c>
      <c r="AG3" s="27" t="s">
        <v>15</v>
      </c>
      <c r="AH3" s="7" t="s">
        <v>9</v>
      </c>
      <c r="AI3" s="7" t="s">
        <v>10</v>
      </c>
      <c r="AJ3" s="7" t="s">
        <v>11</v>
      </c>
      <c r="AK3" s="24"/>
      <c r="AL3" s="26"/>
      <c r="AM3" s="31" t="s">
        <v>16</v>
      </c>
      <c r="AN3" s="31" t="s">
        <v>18</v>
      </c>
      <c r="AO3" s="31" t="s">
        <v>19</v>
      </c>
      <c r="AP3" s="31" t="s">
        <v>20</v>
      </c>
      <c r="AQ3" s="31" t="s">
        <v>21</v>
      </c>
      <c r="AR3" s="33" t="s">
        <v>22</v>
      </c>
      <c r="AS3" s="36"/>
      <c r="AT3" s="36"/>
    </row>
    <row r="4">
      <c r="A4" s="66" t="s">
        <v>37</v>
      </c>
      <c r="B4" s="67" t="s">
        <v>38</v>
      </c>
      <c r="C4" s="66">
        <v>13782.0</v>
      </c>
      <c r="D4" s="68" t="s">
        <v>39</v>
      </c>
      <c r="E4" s="69" t="s">
        <v>40</v>
      </c>
      <c r="F4" s="45" t="s">
        <v>27</v>
      </c>
      <c r="G4" s="70"/>
      <c r="H4" s="45" t="s">
        <v>27</v>
      </c>
      <c r="I4" s="44"/>
      <c r="J4" s="44"/>
      <c r="K4" s="44"/>
      <c r="L4" s="45" t="s">
        <v>27</v>
      </c>
      <c r="M4" s="45" t="s">
        <v>27</v>
      </c>
      <c r="N4" s="45" t="s">
        <v>27</v>
      </c>
      <c r="O4" s="45" t="s">
        <v>27</v>
      </c>
      <c r="P4" s="44"/>
      <c r="Q4" s="44"/>
      <c r="R4" s="70"/>
      <c r="S4" s="45" t="s">
        <v>27</v>
      </c>
      <c r="T4" s="74"/>
      <c r="U4" s="77" t="s">
        <v>44</v>
      </c>
      <c r="V4" s="74"/>
      <c r="W4" s="74"/>
      <c r="X4" s="79"/>
      <c r="Y4" s="79"/>
      <c r="Z4" s="79"/>
      <c r="AA4" s="79"/>
      <c r="AB4" s="79"/>
      <c r="AC4" s="79"/>
      <c r="AD4" s="79"/>
      <c r="AE4" s="79"/>
      <c r="AF4" s="79"/>
      <c r="AG4" s="79"/>
      <c r="AH4" s="79"/>
      <c r="AI4" s="79"/>
      <c r="AJ4" s="79"/>
      <c r="AK4" s="24"/>
      <c r="AL4" s="26"/>
      <c r="AM4" s="60" t="str">
        <f t="shared" ref="AM4:AM120" si="1">IFS(AN4&gt;3,"NO CORRESPONDE FRANCO",AS4&gt;0,"NO CORRESPONDE FRANCO",AS4=0,"")</f>
        <v/>
      </c>
      <c r="AN4" s="60">
        <f t="shared" ref="AN4:AN8" si="2">COUNTIF($F4:$AJ4,"LLT")</f>
        <v>0</v>
      </c>
      <c r="AO4" s="60">
        <f t="shared" ref="AO4:AO8" si="3">COUNTIF($F4:$AJ4,"LM")</f>
        <v>0</v>
      </c>
      <c r="AP4" s="60">
        <f t="shared" ref="AP4:AP8" si="4">COUNTIF($F4:$AJ4,"FaC")</f>
        <v>0</v>
      </c>
      <c r="AQ4" s="60">
        <f t="shared" ref="AQ4:AQ8" si="5">COUNTIF($F4:$AJ4,"LxE")</f>
        <v>0</v>
      </c>
      <c r="AR4" s="60">
        <f t="shared" ref="AR4:AR8" si="6">COUNTIF($F4:$AJ4,"LA")</f>
        <v>0</v>
      </c>
      <c r="AS4" s="60">
        <f t="shared" ref="AS4:AS8" si="7">SUM(AO4:AR4)</f>
        <v>0</v>
      </c>
      <c r="AT4" s="36"/>
    </row>
    <row r="5">
      <c r="A5" s="76" t="s">
        <v>33</v>
      </c>
      <c r="B5" s="67" t="s">
        <v>66</v>
      </c>
      <c r="C5" s="76">
        <v>3.8919576E7</v>
      </c>
      <c r="D5" s="97" t="s">
        <v>67</v>
      </c>
      <c r="E5" s="98" t="s">
        <v>68</v>
      </c>
      <c r="F5" s="45" t="s">
        <v>27</v>
      </c>
      <c r="G5" s="45" t="s">
        <v>27</v>
      </c>
      <c r="H5" s="45" t="s">
        <v>27</v>
      </c>
      <c r="I5" s="44"/>
      <c r="J5" s="44"/>
      <c r="K5" s="44"/>
      <c r="L5" s="45" t="s">
        <v>27</v>
      </c>
      <c r="M5" s="45" t="s">
        <v>27</v>
      </c>
      <c r="N5" s="45" t="s">
        <v>27</v>
      </c>
      <c r="O5" s="91" t="s">
        <v>19</v>
      </c>
      <c r="P5" s="44"/>
      <c r="Q5" s="44"/>
      <c r="R5" s="45" t="s">
        <v>27</v>
      </c>
      <c r="S5" s="45" t="s">
        <v>27</v>
      </c>
      <c r="T5" s="45" t="s">
        <v>27</v>
      </c>
      <c r="U5" s="44"/>
      <c r="V5" s="44"/>
      <c r="W5" s="44"/>
      <c r="X5" s="106" t="s">
        <v>32</v>
      </c>
      <c r="Y5" s="45" t="s">
        <v>27</v>
      </c>
      <c r="Z5" s="45" t="s">
        <v>27</v>
      </c>
      <c r="AA5" s="45" t="s">
        <v>27</v>
      </c>
      <c r="AB5" s="44"/>
      <c r="AC5" s="44"/>
      <c r="AD5" s="45" t="s">
        <v>27</v>
      </c>
      <c r="AE5" s="45" t="s">
        <v>27</v>
      </c>
      <c r="AF5" s="45" t="s">
        <v>27</v>
      </c>
      <c r="AG5" s="44"/>
      <c r="AH5" s="103" t="s">
        <v>27</v>
      </c>
      <c r="AI5" s="44"/>
      <c r="AJ5" s="109" t="s">
        <v>79</v>
      </c>
      <c r="AK5" s="24"/>
      <c r="AL5" s="26"/>
      <c r="AM5" s="60" t="str">
        <f t="shared" si="1"/>
        <v>NO CORRESPONDE FRANCO</v>
      </c>
      <c r="AN5" s="60">
        <f t="shared" si="2"/>
        <v>0</v>
      </c>
      <c r="AO5" s="60">
        <f t="shared" si="3"/>
        <v>1</v>
      </c>
      <c r="AP5" s="60">
        <f t="shared" si="4"/>
        <v>0</v>
      </c>
      <c r="AQ5" s="60">
        <f t="shared" si="5"/>
        <v>0</v>
      </c>
      <c r="AR5" s="60">
        <f t="shared" si="6"/>
        <v>0</v>
      </c>
      <c r="AS5" s="60">
        <f t="shared" si="7"/>
        <v>1</v>
      </c>
      <c r="AT5" s="114"/>
    </row>
    <row r="6">
      <c r="A6" s="76" t="s">
        <v>33</v>
      </c>
      <c r="B6" s="116" t="s">
        <v>85</v>
      </c>
      <c r="C6" s="76">
        <v>3.5166947E7</v>
      </c>
      <c r="D6" s="116" t="s">
        <v>87</v>
      </c>
      <c r="E6" s="98" t="s">
        <v>88</v>
      </c>
      <c r="F6" s="45" t="s">
        <v>27</v>
      </c>
      <c r="G6" s="119" t="s">
        <v>79</v>
      </c>
      <c r="H6" s="45" t="s">
        <v>27</v>
      </c>
      <c r="I6" s="44"/>
      <c r="J6" s="44"/>
      <c r="K6" s="44"/>
      <c r="L6" s="45" t="s">
        <v>27</v>
      </c>
      <c r="M6" s="45" t="s">
        <v>27</v>
      </c>
      <c r="N6" s="91" t="s">
        <v>19</v>
      </c>
      <c r="O6" s="45" t="s">
        <v>27</v>
      </c>
      <c r="P6" s="44"/>
      <c r="Q6" s="44"/>
      <c r="R6" s="45" t="s">
        <v>27</v>
      </c>
      <c r="S6" s="45" t="s">
        <v>18</v>
      </c>
      <c r="T6" s="45" t="s">
        <v>27</v>
      </c>
      <c r="U6" s="44"/>
      <c r="V6" s="44"/>
      <c r="W6" s="44"/>
      <c r="X6" s="45" t="s">
        <v>27</v>
      </c>
      <c r="Y6" s="45" t="s">
        <v>27</v>
      </c>
      <c r="Z6" s="45" t="s">
        <v>27</v>
      </c>
      <c r="AA6" s="106" t="s">
        <v>32</v>
      </c>
      <c r="AB6" s="44"/>
      <c r="AC6" s="44"/>
      <c r="AD6" s="45" t="s">
        <v>27</v>
      </c>
      <c r="AE6" s="45" t="s">
        <v>27</v>
      </c>
      <c r="AF6" s="45" t="s">
        <v>27</v>
      </c>
      <c r="AG6" s="44"/>
      <c r="AH6" s="45" t="s">
        <v>27</v>
      </c>
      <c r="AI6" s="44"/>
      <c r="AJ6" s="45" t="s">
        <v>27</v>
      </c>
      <c r="AK6" s="24"/>
      <c r="AL6" s="26"/>
      <c r="AM6" s="60" t="str">
        <f t="shared" si="1"/>
        <v>NO CORRESPONDE FRANCO</v>
      </c>
      <c r="AN6" s="60">
        <f t="shared" si="2"/>
        <v>1</v>
      </c>
      <c r="AO6" s="60">
        <f t="shared" si="3"/>
        <v>1</v>
      </c>
      <c r="AP6" s="60">
        <f t="shared" si="4"/>
        <v>0</v>
      </c>
      <c r="AQ6" s="60">
        <f t="shared" si="5"/>
        <v>0</v>
      </c>
      <c r="AR6" s="60">
        <f t="shared" si="6"/>
        <v>0</v>
      </c>
      <c r="AS6" s="60">
        <f t="shared" si="7"/>
        <v>1</v>
      </c>
      <c r="AT6" s="114"/>
    </row>
    <row r="7">
      <c r="A7" s="130" t="s">
        <v>33</v>
      </c>
      <c r="B7" s="132" t="s">
        <v>105</v>
      </c>
      <c r="C7" s="130">
        <v>9.2902672E7</v>
      </c>
      <c r="D7" s="116" t="s">
        <v>106</v>
      </c>
      <c r="E7" s="133" t="s">
        <v>107</v>
      </c>
      <c r="F7" s="45" t="s">
        <v>18</v>
      </c>
      <c r="G7" s="45" t="s">
        <v>27</v>
      </c>
      <c r="H7" s="45" t="s">
        <v>27</v>
      </c>
      <c r="I7" s="44"/>
      <c r="J7" s="44"/>
      <c r="K7" s="44"/>
      <c r="L7" s="45" t="s">
        <v>27</v>
      </c>
      <c r="M7" s="45" t="s">
        <v>27</v>
      </c>
      <c r="N7" s="45" t="s">
        <v>27</v>
      </c>
      <c r="O7" s="45" t="s">
        <v>27</v>
      </c>
      <c r="P7" s="44"/>
      <c r="Q7" s="44"/>
      <c r="R7" s="45" t="s">
        <v>27</v>
      </c>
      <c r="S7" s="45" t="s">
        <v>27</v>
      </c>
      <c r="T7" s="45" t="s">
        <v>18</v>
      </c>
      <c r="U7" s="45" t="s">
        <v>27</v>
      </c>
      <c r="V7" s="44"/>
      <c r="W7" s="44"/>
      <c r="X7" s="45" t="s">
        <v>27</v>
      </c>
      <c r="Y7" s="45" t="s">
        <v>27</v>
      </c>
      <c r="Z7" s="45" t="s">
        <v>27</v>
      </c>
      <c r="AA7" s="45" t="s">
        <v>27</v>
      </c>
      <c r="AB7" s="44"/>
      <c r="AC7" s="44"/>
      <c r="AD7" s="45" t="s">
        <v>27</v>
      </c>
      <c r="AE7" s="45" t="s">
        <v>27</v>
      </c>
      <c r="AF7" s="45" t="s">
        <v>27</v>
      </c>
      <c r="AG7" s="44"/>
      <c r="AH7" s="44"/>
      <c r="AI7" s="44"/>
      <c r="AJ7" s="119" t="s">
        <v>79</v>
      </c>
      <c r="AK7" s="24"/>
      <c r="AL7" s="26"/>
      <c r="AM7" s="60" t="str">
        <f t="shared" si="1"/>
        <v/>
      </c>
      <c r="AN7" s="60">
        <f t="shared" si="2"/>
        <v>2</v>
      </c>
      <c r="AO7" s="60">
        <f t="shared" si="3"/>
        <v>0</v>
      </c>
      <c r="AP7" s="60">
        <f t="shared" si="4"/>
        <v>0</v>
      </c>
      <c r="AQ7" s="60">
        <f t="shared" si="5"/>
        <v>0</v>
      </c>
      <c r="AR7" s="60">
        <f t="shared" si="6"/>
        <v>0</v>
      </c>
      <c r="AS7" s="60">
        <f t="shared" si="7"/>
        <v>0</v>
      </c>
      <c r="AT7" s="29"/>
    </row>
    <row r="8">
      <c r="A8" s="137" t="s">
        <v>33</v>
      </c>
      <c r="B8" s="139" t="s">
        <v>121</v>
      </c>
      <c r="C8" s="137">
        <v>4.5286302E7</v>
      </c>
      <c r="D8" s="139" t="s">
        <v>122</v>
      </c>
      <c r="E8" s="141" t="s">
        <v>123</v>
      </c>
      <c r="F8" s="45" t="s">
        <v>27</v>
      </c>
      <c r="G8" s="45" t="s">
        <v>27</v>
      </c>
      <c r="H8" s="45" t="s">
        <v>18</v>
      </c>
      <c r="I8" s="44"/>
      <c r="J8" s="44"/>
      <c r="K8" s="44"/>
      <c r="L8" s="45" t="s">
        <v>27</v>
      </c>
      <c r="M8" s="45" t="s">
        <v>27</v>
      </c>
      <c r="N8" s="45" t="s">
        <v>27</v>
      </c>
      <c r="O8" s="45" t="s">
        <v>18</v>
      </c>
      <c r="P8" s="44"/>
      <c r="Q8" s="44"/>
      <c r="R8" s="45" t="s">
        <v>18</v>
      </c>
      <c r="S8" s="45" t="s">
        <v>27</v>
      </c>
      <c r="T8" s="45" t="s">
        <v>18</v>
      </c>
      <c r="U8" s="44"/>
      <c r="V8" s="44"/>
      <c r="W8" s="44"/>
      <c r="X8" s="45" t="s">
        <v>27</v>
      </c>
      <c r="Y8" s="45" t="s">
        <v>27</v>
      </c>
      <c r="Z8" s="45" t="s">
        <v>27</v>
      </c>
      <c r="AA8" s="147" t="s">
        <v>19</v>
      </c>
      <c r="AB8" s="44"/>
      <c r="AC8" s="44"/>
      <c r="AD8" s="45" t="s">
        <v>27</v>
      </c>
      <c r="AE8" s="45" t="s">
        <v>128</v>
      </c>
      <c r="AF8" s="45" t="s">
        <v>18</v>
      </c>
      <c r="AG8" s="44"/>
      <c r="AH8" s="44"/>
      <c r="AI8" s="44"/>
      <c r="AJ8" s="45" t="s">
        <v>27</v>
      </c>
      <c r="AK8" s="24"/>
      <c r="AL8" s="26"/>
      <c r="AM8" s="60" t="str">
        <f t="shared" si="1"/>
        <v>NO CORRESPONDE FRANCO</v>
      </c>
      <c r="AN8" s="60">
        <f t="shared" si="2"/>
        <v>5</v>
      </c>
      <c r="AO8" s="60">
        <f t="shared" si="3"/>
        <v>1</v>
      </c>
      <c r="AP8" s="60">
        <f t="shared" si="4"/>
        <v>0</v>
      </c>
      <c r="AQ8" s="60">
        <f t="shared" si="5"/>
        <v>0</v>
      </c>
      <c r="AR8" s="60">
        <f t="shared" si="6"/>
        <v>0</v>
      </c>
      <c r="AS8" s="60">
        <f t="shared" si="7"/>
        <v>1</v>
      </c>
      <c r="AT8" s="29"/>
    </row>
    <row r="9">
      <c r="A9" s="137" t="s">
        <v>33</v>
      </c>
      <c r="B9" s="67" t="s">
        <v>136</v>
      </c>
      <c r="C9" s="76">
        <v>4.6438246E7</v>
      </c>
      <c r="D9" s="67" t="s">
        <v>138</v>
      </c>
      <c r="E9" s="76" t="s">
        <v>139</v>
      </c>
      <c r="F9" s="152"/>
      <c r="G9" s="152"/>
      <c r="H9" s="152"/>
      <c r="I9" s="154"/>
      <c r="J9" s="154"/>
      <c r="K9" s="154"/>
      <c r="L9" s="45" t="s">
        <v>27</v>
      </c>
      <c r="M9" s="45" t="s">
        <v>27</v>
      </c>
      <c r="N9" s="45" t="s">
        <v>18</v>
      </c>
      <c r="O9" s="45" t="s">
        <v>18</v>
      </c>
      <c r="P9" s="44"/>
      <c r="Q9" s="44"/>
      <c r="R9" s="45" t="s">
        <v>27</v>
      </c>
      <c r="S9" s="45" t="s">
        <v>18</v>
      </c>
      <c r="T9" s="103" t="s">
        <v>18</v>
      </c>
      <c r="U9" s="44"/>
      <c r="V9" s="44"/>
      <c r="W9" s="44"/>
      <c r="X9" s="45" t="s">
        <v>27</v>
      </c>
      <c r="Y9" s="45" t="s">
        <v>27</v>
      </c>
      <c r="Z9" s="45" t="s">
        <v>18</v>
      </c>
      <c r="AA9" s="70"/>
      <c r="AB9" s="44"/>
      <c r="AC9" s="44"/>
      <c r="AD9" s="45" t="s">
        <v>27</v>
      </c>
      <c r="AE9" s="45" t="s">
        <v>18</v>
      </c>
      <c r="AF9" s="45" t="s">
        <v>18</v>
      </c>
      <c r="AG9" s="44"/>
      <c r="AH9" s="44"/>
      <c r="AI9" s="44"/>
      <c r="AJ9" s="45" t="s">
        <v>18</v>
      </c>
      <c r="AK9" s="160"/>
      <c r="AL9" s="26"/>
      <c r="AM9" s="60" t="str">
        <f t="shared" si="1"/>
        <v/>
      </c>
      <c r="AN9" s="60"/>
      <c r="AO9" s="60"/>
      <c r="AP9" s="60"/>
      <c r="AQ9" s="60"/>
      <c r="AR9" s="60"/>
      <c r="AS9" s="60"/>
      <c r="AT9" s="160"/>
    </row>
    <row r="10">
      <c r="A10" s="76" t="s">
        <v>33</v>
      </c>
      <c r="B10" s="67" t="s">
        <v>150</v>
      </c>
      <c r="C10" s="76">
        <v>3.6483668E7</v>
      </c>
      <c r="D10" s="67" t="s">
        <v>151</v>
      </c>
      <c r="E10" s="69" t="s">
        <v>152</v>
      </c>
      <c r="F10" s="103" t="s">
        <v>18</v>
      </c>
      <c r="G10" s="45" t="s">
        <v>27</v>
      </c>
      <c r="H10" s="45" t="s">
        <v>27</v>
      </c>
      <c r="I10" s="44"/>
      <c r="J10" s="44"/>
      <c r="K10" s="44"/>
      <c r="L10" s="45" t="s">
        <v>18</v>
      </c>
      <c r="M10" s="91" t="s">
        <v>19</v>
      </c>
      <c r="N10" s="91" t="s">
        <v>19</v>
      </c>
      <c r="O10" s="91" t="s">
        <v>19</v>
      </c>
      <c r="P10" s="44"/>
      <c r="Q10" s="44"/>
      <c r="R10" s="120" t="s">
        <v>20</v>
      </c>
      <c r="S10" s="120" t="s">
        <v>20</v>
      </c>
      <c r="T10" s="120" t="s">
        <v>20</v>
      </c>
      <c r="U10" s="44"/>
      <c r="V10" s="44"/>
      <c r="W10" s="44"/>
      <c r="X10" s="45" t="s">
        <v>18</v>
      </c>
      <c r="Y10" s="91" t="s">
        <v>19</v>
      </c>
      <c r="Z10" s="45" t="s">
        <v>18</v>
      </c>
      <c r="AA10" s="103" t="s">
        <v>18</v>
      </c>
      <c r="AB10" s="44"/>
      <c r="AC10" s="44"/>
      <c r="AD10" s="45" t="s">
        <v>27</v>
      </c>
      <c r="AE10" s="45" t="s">
        <v>18</v>
      </c>
      <c r="AF10" s="147" t="s">
        <v>19</v>
      </c>
      <c r="AG10" s="44"/>
      <c r="AH10" s="44"/>
      <c r="AI10" s="44"/>
      <c r="AJ10" s="126" t="s">
        <v>19</v>
      </c>
      <c r="AK10" s="167" t="s">
        <v>158</v>
      </c>
      <c r="AL10" s="26"/>
      <c r="AM10" s="60" t="str">
        <f t="shared" si="1"/>
        <v>NO CORRESPONDE FRANCO</v>
      </c>
      <c r="AN10" s="60">
        <f t="shared" ref="AN10:AN14" si="8">COUNTIF($F10:$AJ10,"LLT")</f>
        <v>6</v>
      </c>
      <c r="AO10" s="60">
        <f t="shared" ref="AO10:AO14" si="9">COUNTIF($F10:$AJ10,"LM")</f>
        <v>6</v>
      </c>
      <c r="AP10" s="60">
        <f t="shared" ref="AP10:AP14" si="10">COUNTIF($F10:$AJ10,"FaC")</f>
        <v>3</v>
      </c>
      <c r="AQ10" s="60">
        <f t="shared" ref="AQ10:AQ14" si="11">COUNTIF($F10:$AJ10,"LxE")</f>
        <v>0</v>
      </c>
      <c r="AR10" s="60">
        <f t="shared" ref="AR10:AR14" si="12">COUNTIF($F10:$AJ10,"LA")</f>
        <v>0</v>
      </c>
      <c r="AS10" s="60">
        <f t="shared" ref="AS10:AS14" si="13">SUM(AO10:AR10)</f>
        <v>9</v>
      </c>
      <c r="AT10" s="160"/>
    </row>
    <row r="11">
      <c r="A11" s="76" t="s">
        <v>168</v>
      </c>
      <c r="B11" s="116" t="s">
        <v>169</v>
      </c>
      <c r="C11" s="76">
        <v>3.4566476E7</v>
      </c>
      <c r="D11" s="116" t="s">
        <v>170</v>
      </c>
      <c r="E11" s="98" t="s">
        <v>171</v>
      </c>
      <c r="F11" s="119" t="s">
        <v>79</v>
      </c>
      <c r="G11" s="45" t="s">
        <v>27</v>
      </c>
      <c r="H11" s="45" t="s">
        <v>27</v>
      </c>
      <c r="I11" s="44"/>
      <c r="J11" s="175" t="s">
        <v>27</v>
      </c>
      <c r="K11" s="45" t="s">
        <v>27</v>
      </c>
      <c r="L11" s="45" t="s">
        <v>27</v>
      </c>
      <c r="M11" s="45" t="s">
        <v>27</v>
      </c>
      <c r="N11" s="106" t="s">
        <v>32</v>
      </c>
      <c r="O11" s="96" t="s">
        <v>22</v>
      </c>
      <c r="P11" s="96" t="s">
        <v>22</v>
      </c>
      <c r="Q11" s="96" t="s">
        <v>22</v>
      </c>
      <c r="R11" s="96" t="s">
        <v>22</v>
      </c>
      <c r="S11" s="96" t="s">
        <v>22</v>
      </c>
      <c r="T11" s="96" t="s">
        <v>22</v>
      </c>
      <c r="U11" s="96" t="s">
        <v>22</v>
      </c>
      <c r="V11" s="44"/>
      <c r="W11" s="44"/>
      <c r="X11" s="45" t="s">
        <v>27</v>
      </c>
      <c r="Y11" s="45" t="s">
        <v>27</v>
      </c>
      <c r="Z11" s="45" t="s">
        <v>27</v>
      </c>
      <c r="AA11" s="45" t="s">
        <v>18</v>
      </c>
      <c r="AB11" s="44"/>
      <c r="AC11" s="44"/>
      <c r="AD11" s="45" t="s">
        <v>27</v>
      </c>
      <c r="AE11" s="119" t="s">
        <v>79</v>
      </c>
      <c r="AF11" s="45" t="s">
        <v>27</v>
      </c>
      <c r="AG11" s="45" t="s">
        <v>18</v>
      </c>
      <c r="AH11" s="103" t="s">
        <v>27</v>
      </c>
      <c r="AI11" s="44"/>
      <c r="AJ11" s="119" t="s">
        <v>79</v>
      </c>
      <c r="AK11" s="24"/>
      <c r="AL11" s="26"/>
      <c r="AM11" s="60" t="str">
        <f t="shared" si="1"/>
        <v>NO CORRESPONDE FRANCO</v>
      </c>
      <c r="AN11" s="60">
        <f t="shared" si="8"/>
        <v>2</v>
      </c>
      <c r="AO11" s="60">
        <f t="shared" si="9"/>
        <v>0</v>
      </c>
      <c r="AP11" s="60">
        <f t="shared" si="10"/>
        <v>0</v>
      </c>
      <c r="AQ11" s="60">
        <f t="shared" si="11"/>
        <v>0</v>
      </c>
      <c r="AR11" s="60">
        <f t="shared" si="12"/>
        <v>7</v>
      </c>
      <c r="AS11" s="60">
        <f t="shared" si="13"/>
        <v>7</v>
      </c>
      <c r="AT11" s="29"/>
    </row>
    <row r="12">
      <c r="A12" s="76" t="s">
        <v>33</v>
      </c>
      <c r="B12" s="116" t="s">
        <v>179</v>
      </c>
      <c r="C12" s="144">
        <v>4.6293557E7</v>
      </c>
      <c r="D12" s="116" t="s">
        <v>180</v>
      </c>
      <c r="E12" s="98" t="s">
        <v>181</v>
      </c>
      <c r="F12" s="45" t="s">
        <v>27</v>
      </c>
      <c r="G12" s="45" t="s">
        <v>27</v>
      </c>
      <c r="H12" s="45" t="s">
        <v>27</v>
      </c>
      <c r="I12" s="44"/>
      <c r="J12" s="44"/>
      <c r="K12" s="44"/>
      <c r="L12" s="45" t="s">
        <v>27</v>
      </c>
      <c r="M12" s="106" t="s">
        <v>32</v>
      </c>
      <c r="N12" s="45" t="s">
        <v>27</v>
      </c>
      <c r="O12" s="45" t="s">
        <v>27</v>
      </c>
      <c r="P12" s="44"/>
      <c r="Q12" s="44"/>
      <c r="R12" s="45" t="s">
        <v>27</v>
      </c>
      <c r="S12" s="45" t="s">
        <v>27</v>
      </c>
      <c r="T12" s="45" t="s">
        <v>27</v>
      </c>
      <c r="U12" s="44"/>
      <c r="V12" s="44"/>
      <c r="W12" s="44"/>
      <c r="X12" s="45" t="s">
        <v>27</v>
      </c>
      <c r="Y12" s="45" t="s">
        <v>27</v>
      </c>
      <c r="Z12" s="45" t="s">
        <v>27</v>
      </c>
      <c r="AA12" s="45" t="s">
        <v>27</v>
      </c>
      <c r="AB12" s="44"/>
      <c r="AC12" s="44"/>
      <c r="AD12" s="45" t="s">
        <v>27</v>
      </c>
      <c r="AE12" s="45" t="s">
        <v>27</v>
      </c>
      <c r="AF12" s="45" t="s">
        <v>27</v>
      </c>
      <c r="AG12" s="44"/>
      <c r="AH12" s="44"/>
      <c r="AI12" s="44"/>
      <c r="AJ12" s="45" t="s">
        <v>27</v>
      </c>
      <c r="AK12" s="24"/>
      <c r="AL12" s="26"/>
      <c r="AM12" s="60" t="str">
        <f t="shared" si="1"/>
        <v/>
      </c>
      <c r="AN12" s="60">
        <f t="shared" si="8"/>
        <v>0</v>
      </c>
      <c r="AO12" s="60">
        <f t="shared" si="9"/>
        <v>0</v>
      </c>
      <c r="AP12" s="60">
        <f t="shared" si="10"/>
        <v>0</v>
      </c>
      <c r="AQ12" s="60">
        <f t="shared" si="11"/>
        <v>0</v>
      </c>
      <c r="AR12" s="60">
        <f t="shared" si="12"/>
        <v>0</v>
      </c>
      <c r="AS12" s="60">
        <f t="shared" si="13"/>
        <v>0</v>
      </c>
      <c r="AT12" s="29"/>
    </row>
    <row r="13">
      <c r="A13" s="66" t="s">
        <v>33</v>
      </c>
      <c r="B13" s="67" t="s">
        <v>187</v>
      </c>
      <c r="C13" s="66">
        <v>4.4260361E7</v>
      </c>
      <c r="D13" s="68" t="s">
        <v>188</v>
      </c>
      <c r="E13" s="69" t="s">
        <v>189</v>
      </c>
      <c r="F13" s="45" t="s">
        <v>18</v>
      </c>
      <c r="G13" s="45" t="s">
        <v>18</v>
      </c>
      <c r="H13" s="45" t="s">
        <v>18</v>
      </c>
      <c r="I13" s="44"/>
      <c r="J13" s="44"/>
      <c r="K13" s="44"/>
      <c r="L13" s="192" t="s">
        <v>22</v>
      </c>
      <c r="M13" s="192" t="s">
        <v>22</v>
      </c>
      <c r="N13" s="192" t="s">
        <v>22</v>
      </c>
      <c r="O13" s="192" t="s">
        <v>22</v>
      </c>
      <c r="P13" s="192" t="s">
        <v>22</v>
      </c>
      <c r="Q13" s="192" t="s">
        <v>22</v>
      </c>
      <c r="R13" s="192" t="s">
        <v>22</v>
      </c>
      <c r="S13" s="45" t="s">
        <v>27</v>
      </c>
      <c r="T13" s="106" t="s">
        <v>32</v>
      </c>
      <c r="U13" s="44"/>
      <c r="V13" s="44"/>
      <c r="W13" s="44"/>
      <c r="X13" s="45" t="s">
        <v>27</v>
      </c>
      <c r="Y13" s="45" t="s">
        <v>27</v>
      </c>
      <c r="Z13" s="45" t="s">
        <v>18</v>
      </c>
      <c r="AA13" s="45" t="s">
        <v>18</v>
      </c>
      <c r="AB13" s="106"/>
      <c r="AC13" s="44"/>
      <c r="AD13" s="45" t="s">
        <v>18</v>
      </c>
      <c r="AE13" s="45" t="s">
        <v>27</v>
      </c>
      <c r="AF13" s="70"/>
      <c r="AG13" s="44"/>
      <c r="AH13" s="44"/>
      <c r="AI13" s="44"/>
      <c r="AJ13" s="45" t="s">
        <v>27</v>
      </c>
      <c r="AK13" s="193" t="s">
        <v>194</v>
      </c>
      <c r="AL13" s="26"/>
      <c r="AM13" s="60" t="str">
        <f t="shared" si="1"/>
        <v>NO CORRESPONDE FRANCO</v>
      </c>
      <c r="AN13" s="60">
        <f t="shared" si="8"/>
        <v>6</v>
      </c>
      <c r="AO13" s="60">
        <f t="shared" si="9"/>
        <v>0</v>
      </c>
      <c r="AP13" s="60">
        <f t="shared" si="10"/>
        <v>0</v>
      </c>
      <c r="AQ13" s="60">
        <f t="shared" si="11"/>
        <v>0</v>
      </c>
      <c r="AR13" s="60">
        <f t="shared" si="12"/>
        <v>7</v>
      </c>
      <c r="AS13" s="60">
        <f t="shared" si="13"/>
        <v>7</v>
      </c>
      <c r="AT13" s="29"/>
    </row>
    <row r="14">
      <c r="A14" s="76" t="s">
        <v>33</v>
      </c>
      <c r="B14" s="116" t="s">
        <v>195</v>
      </c>
      <c r="C14" s="76">
        <v>2.792843E7</v>
      </c>
      <c r="D14" s="97" t="s">
        <v>196</v>
      </c>
      <c r="E14" s="98" t="s">
        <v>197</v>
      </c>
      <c r="F14" s="45" t="s">
        <v>27</v>
      </c>
      <c r="G14" s="45" t="s">
        <v>27</v>
      </c>
      <c r="H14" s="45" t="s">
        <v>27</v>
      </c>
      <c r="I14" s="44"/>
      <c r="J14" s="44"/>
      <c r="K14" s="44"/>
      <c r="L14" s="192" t="s">
        <v>22</v>
      </c>
      <c r="M14" s="192" t="s">
        <v>22</v>
      </c>
      <c r="N14" s="192" t="s">
        <v>22</v>
      </c>
      <c r="O14" s="192" t="s">
        <v>22</v>
      </c>
      <c r="P14" s="192" t="s">
        <v>22</v>
      </c>
      <c r="Q14" s="192" t="s">
        <v>22</v>
      </c>
      <c r="R14" s="192" t="s">
        <v>22</v>
      </c>
      <c r="S14" s="106" t="s">
        <v>32</v>
      </c>
      <c r="T14" s="45" t="s">
        <v>18</v>
      </c>
      <c r="U14" s="44"/>
      <c r="V14" s="44"/>
      <c r="W14" s="44"/>
      <c r="X14" s="45" t="s">
        <v>27</v>
      </c>
      <c r="Y14" s="45" t="s">
        <v>27</v>
      </c>
      <c r="Z14" s="45" t="s">
        <v>27</v>
      </c>
      <c r="AA14" s="45" t="s">
        <v>27</v>
      </c>
      <c r="AB14" s="44"/>
      <c r="AC14" s="44"/>
      <c r="AD14" s="45" t="s">
        <v>27</v>
      </c>
      <c r="AE14" s="45" t="s">
        <v>27</v>
      </c>
      <c r="AF14" s="45" t="s">
        <v>27</v>
      </c>
      <c r="AG14" s="44"/>
      <c r="AH14" s="44"/>
      <c r="AI14" s="44"/>
      <c r="AJ14" s="45" t="s">
        <v>27</v>
      </c>
      <c r="AK14" s="24"/>
      <c r="AL14" s="26"/>
      <c r="AM14" s="60" t="str">
        <f t="shared" si="1"/>
        <v>NO CORRESPONDE FRANCO</v>
      </c>
      <c r="AN14" s="60">
        <f t="shared" si="8"/>
        <v>1</v>
      </c>
      <c r="AO14" s="60">
        <f t="shared" si="9"/>
        <v>0</v>
      </c>
      <c r="AP14" s="60">
        <f t="shared" si="10"/>
        <v>0</v>
      </c>
      <c r="AQ14" s="60">
        <f t="shared" si="11"/>
        <v>0</v>
      </c>
      <c r="AR14" s="60">
        <f t="shared" si="12"/>
        <v>7</v>
      </c>
      <c r="AS14" s="60">
        <f t="shared" si="13"/>
        <v>7</v>
      </c>
      <c r="AT14" s="29"/>
    </row>
    <row r="15">
      <c r="A15" s="200"/>
      <c r="B15" s="12"/>
      <c r="C15" s="12"/>
      <c r="D15" s="12"/>
      <c r="E15" s="12"/>
      <c r="F15" s="12"/>
      <c r="G15" s="12"/>
      <c r="H15" s="12"/>
      <c r="I15" s="12"/>
      <c r="J15" s="12"/>
      <c r="K15" s="12"/>
      <c r="L15" s="12"/>
      <c r="M15" s="12"/>
      <c r="N15" s="12"/>
      <c r="O15" s="12"/>
      <c r="P15" s="12"/>
      <c r="Q15" s="12"/>
      <c r="R15" s="12"/>
      <c r="S15" s="12"/>
      <c r="T15" s="12"/>
      <c r="U15" s="12"/>
      <c r="V15" s="12"/>
      <c r="W15" s="12"/>
      <c r="X15" s="12"/>
      <c r="Y15" s="12"/>
      <c r="Z15" s="12"/>
      <c r="AA15" s="12"/>
      <c r="AB15" s="12"/>
      <c r="AC15" s="12"/>
      <c r="AD15" s="12"/>
      <c r="AE15" s="12"/>
      <c r="AF15" s="12"/>
      <c r="AG15" s="12"/>
      <c r="AH15" s="12"/>
      <c r="AI15" s="23"/>
      <c r="AJ15" s="201"/>
      <c r="AK15" s="50" t="s">
        <v>215</v>
      </c>
      <c r="AL15" s="26"/>
      <c r="AM15" s="60" t="str">
        <f t="shared" si="1"/>
        <v/>
      </c>
      <c r="AN15" s="60"/>
      <c r="AO15" s="60"/>
      <c r="AP15" s="60"/>
      <c r="AQ15" s="60"/>
      <c r="AR15" s="60"/>
      <c r="AS15" s="29"/>
      <c r="AT15" s="29"/>
    </row>
    <row r="16">
      <c r="A16" s="203" t="s">
        <v>216</v>
      </c>
      <c r="B16" s="6"/>
      <c r="C16" s="6"/>
      <c r="D16" s="6"/>
      <c r="E16" s="11"/>
      <c r="F16" s="7">
        <v>1.0</v>
      </c>
      <c r="G16" s="7">
        <v>2.0</v>
      </c>
      <c r="H16" s="7">
        <v>3.0</v>
      </c>
      <c r="I16" s="7">
        <v>4.0</v>
      </c>
      <c r="J16" s="7">
        <v>5.0</v>
      </c>
      <c r="K16" s="7">
        <v>6.0</v>
      </c>
      <c r="L16" s="7">
        <v>7.0</v>
      </c>
      <c r="M16" s="7">
        <v>8.0</v>
      </c>
      <c r="N16" s="7">
        <v>9.0</v>
      </c>
      <c r="O16" s="7">
        <v>10.0</v>
      </c>
      <c r="P16" s="7">
        <v>11.0</v>
      </c>
      <c r="Q16" s="7">
        <v>12.0</v>
      </c>
      <c r="R16" s="7">
        <v>13.0</v>
      </c>
      <c r="S16" s="7">
        <v>14.0</v>
      </c>
      <c r="T16" s="7">
        <v>15.0</v>
      </c>
      <c r="U16" s="7">
        <v>16.0</v>
      </c>
      <c r="V16" s="7">
        <v>17.0</v>
      </c>
      <c r="W16" s="7">
        <v>18.0</v>
      </c>
      <c r="X16" s="7">
        <v>19.0</v>
      </c>
      <c r="Y16" s="7">
        <v>20.0</v>
      </c>
      <c r="Z16" s="7">
        <v>21.0</v>
      </c>
      <c r="AA16" s="7">
        <v>22.0</v>
      </c>
      <c r="AB16" s="7">
        <v>23.0</v>
      </c>
      <c r="AC16" s="7">
        <v>24.0</v>
      </c>
      <c r="AD16" s="7">
        <v>25.0</v>
      </c>
      <c r="AE16" s="7">
        <v>26.0</v>
      </c>
      <c r="AF16" s="7">
        <v>27.0</v>
      </c>
      <c r="AG16" s="7">
        <v>28.0</v>
      </c>
      <c r="AH16" s="7">
        <v>29.0</v>
      </c>
      <c r="AI16" s="7">
        <v>30.0</v>
      </c>
      <c r="AJ16" s="7">
        <v>31.0</v>
      </c>
      <c r="AK16" s="24"/>
      <c r="AL16" s="26"/>
      <c r="AM16" s="60" t="str">
        <f t="shared" si="1"/>
        <v/>
      </c>
      <c r="AN16" s="60"/>
      <c r="AO16" s="60"/>
      <c r="AP16" s="60"/>
      <c r="AQ16" s="60"/>
      <c r="AR16" s="60"/>
      <c r="AS16" s="29"/>
      <c r="AT16" s="29"/>
    </row>
    <row r="17">
      <c r="A17" s="207" t="s">
        <v>4</v>
      </c>
      <c r="B17" s="209" t="s">
        <v>5</v>
      </c>
      <c r="C17" s="207" t="s">
        <v>6</v>
      </c>
      <c r="D17" s="209" t="s">
        <v>7</v>
      </c>
      <c r="E17" s="207" t="s">
        <v>8</v>
      </c>
      <c r="F17" s="7" t="s">
        <v>9</v>
      </c>
      <c r="G17" s="7" t="s">
        <v>10</v>
      </c>
      <c r="H17" s="7" t="s">
        <v>11</v>
      </c>
      <c r="I17" s="7" t="s">
        <v>12</v>
      </c>
      <c r="J17" s="7" t="s">
        <v>12</v>
      </c>
      <c r="K17" s="7" t="s">
        <v>13</v>
      </c>
      <c r="L17" s="7" t="s">
        <v>15</v>
      </c>
      <c r="M17" s="7" t="s">
        <v>9</v>
      </c>
      <c r="N17" s="7" t="s">
        <v>10</v>
      </c>
      <c r="O17" s="7" t="s">
        <v>11</v>
      </c>
      <c r="P17" s="7" t="s">
        <v>12</v>
      </c>
      <c r="Q17" s="7" t="s">
        <v>12</v>
      </c>
      <c r="R17" s="7" t="s">
        <v>13</v>
      </c>
      <c r="S17" s="7" t="s">
        <v>15</v>
      </c>
      <c r="T17" s="7" t="s">
        <v>9</v>
      </c>
      <c r="U17" s="7" t="s">
        <v>10</v>
      </c>
      <c r="V17" s="7" t="s">
        <v>11</v>
      </c>
      <c r="W17" s="7" t="s">
        <v>12</v>
      </c>
      <c r="X17" s="7" t="s">
        <v>12</v>
      </c>
      <c r="Y17" s="7" t="s">
        <v>13</v>
      </c>
      <c r="Z17" s="7" t="s">
        <v>15</v>
      </c>
      <c r="AA17" s="7" t="s">
        <v>9</v>
      </c>
      <c r="AB17" s="7" t="s">
        <v>10</v>
      </c>
      <c r="AC17" s="7" t="s">
        <v>11</v>
      </c>
      <c r="AD17" s="7" t="s">
        <v>12</v>
      </c>
      <c r="AE17" s="7" t="s">
        <v>12</v>
      </c>
      <c r="AF17" s="7" t="s">
        <v>13</v>
      </c>
      <c r="AG17" s="27" t="s">
        <v>15</v>
      </c>
      <c r="AH17" s="7" t="s">
        <v>9</v>
      </c>
      <c r="AI17" s="7" t="s">
        <v>10</v>
      </c>
      <c r="AJ17" s="7" t="s">
        <v>11</v>
      </c>
      <c r="AK17" s="24"/>
      <c r="AL17" s="26"/>
      <c r="AM17" s="60" t="str">
        <f t="shared" si="1"/>
        <v/>
      </c>
      <c r="AN17" s="60"/>
      <c r="AO17" s="60"/>
      <c r="AP17" s="60"/>
      <c r="AQ17" s="60"/>
      <c r="AR17" s="60"/>
      <c r="AS17" s="29"/>
      <c r="AT17" s="29"/>
    </row>
    <row r="18">
      <c r="A18" s="66" t="s">
        <v>23</v>
      </c>
      <c r="B18" s="67" t="s">
        <v>235</v>
      </c>
      <c r="C18" s="66">
        <v>12141.0</v>
      </c>
      <c r="D18" s="67" t="s">
        <v>236</v>
      </c>
      <c r="E18" s="69" t="s">
        <v>237</v>
      </c>
      <c r="F18" s="103" t="s">
        <v>18</v>
      </c>
      <c r="G18" s="45" t="s">
        <v>18</v>
      </c>
      <c r="H18" s="45" t="s">
        <v>18</v>
      </c>
      <c r="I18" s="45" t="s">
        <v>18</v>
      </c>
      <c r="J18" s="44"/>
      <c r="K18" s="44"/>
      <c r="L18" s="44"/>
      <c r="M18" s="45" t="s">
        <v>27</v>
      </c>
      <c r="N18" s="45" t="s">
        <v>27</v>
      </c>
      <c r="O18" s="45" t="s">
        <v>27</v>
      </c>
      <c r="P18" s="44"/>
      <c r="Q18" s="44"/>
      <c r="R18" s="45" t="s">
        <v>27</v>
      </c>
      <c r="S18" s="45" t="s">
        <v>18</v>
      </c>
      <c r="T18" s="45" t="s">
        <v>18</v>
      </c>
      <c r="U18" s="45" t="s">
        <v>198</v>
      </c>
      <c r="V18" s="44"/>
      <c r="W18" s="44"/>
      <c r="X18" s="44"/>
      <c r="Y18" s="45" t="s">
        <v>27</v>
      </c>
      <c r="Z18" s="45" t="s">
        <v>27</v>
      </c>
      <c r="AA18" s="103" t="s">
        <v>18</v>
      </c>
      <c r="AB18" s="44"/>
      <c r="AC18" s="44"/>
      <c r="AD18" s="45" t="s">
        <v>27</v>
      </c>
      <c r="AE18" s="45" t="s">
        <v>27</v>
      </c>
      <c r="AF18" s="45" t="s">
        <v>18</v>
      </c>
      <c r="AG18" s="45" t="s">
        <v>18</v>
      </c>
      <c r="AH18" s="44"/>
      <c r="AI18" s="44"/>
      <c r="AJ18" s="44"/>
      <c r="AK18" s="210" t="s">
        <v>238</v>
      </c>
      <c r="AL18" s="26"/>
      <c r="AM18" s="60" t="str">
        <f t="shared" si="1"/>
        <v>NO CORRESPONDE FRANCO</v>
      </c>
      <c r="AN18" s="60">
        <f t="shared" ref="AN18:AN29" si="14">COUNTIF($F18:$AJ18,"LLT")</f>
        <v>9</v>
      </c>
      <c r="AO18" s="60">
        <f t="shared" ref="AO18:AO29" si="15">COUNTIF($F18:$AJ18,"LM")</f>
        <v>0</v>
      </c>
      <c r="AP18" s="60">
        <f t="shared" ref="AP18:AP29" si="16">COUNTIF($F18:$AJ18,"FaC")</f>
        <v>0</v>
      </c>
      <c r="AQ18" s="60">
        <f t="shared" ref="AQ18:AQ29" si="17">COUNTIF($F18:$AJ18,"LxE")</f>
        <v>0</v>
      </c>
      <c r="AR18" s="60">
        <f t="shared" ref="AR18:AR29" si="18">COUNTIF($F18:$AJ18,"LA")</f>
        <v>0</v>
      </c>
      <c r="AS18" s="60">
        <f t="shared" ref="AS18:AS29" si="19">SUM(AO18:AR18)</f>
        <v>0</v>
      </c>
      <c r="AT18" s="213"/>
    </row>
    <row r="19">
      <c r="A19" s="66" t="s">
        <v>23</v>
      </c>
      <c r="B19" s="215" t="s">
        <v>247</v>
      </c>
      <c r="C19" s="217">
        <v>13872.0</v>
      </c>
      <c r="D19" s="94" t="s">
        <v>251</v>
      </c>
      <c r="E19" s="219" t="s">
        <v>252</v>
      </c>
      <c r="F19" s="91" t="s">
        <v>19</v>
      </c>
      <c r="G19" s="91" t="s">
        <v>19</v>
      </c>
      <c r="H19" s="91" t="s">
        <v>19</v>
      </c>
      <c r="I19" s="91" t="s">
        <v>19</v>
      </c>
      <c r="J19" s="91" t="s">
        <v>19</v>
      </c>
      <c r="K19" s="91" t="s">
        <v>19</v>
      </c>
      <c r="L19" s="91" t="s">
        <v>19</v>
      </c>
      <c r="M19" s="91" t="s">
        <v>19</v>
      </c>
      <c r="N19" s="91" t="s">
        <v>19</v>
      </c>
      <c r="O19" s="91" t="s">
        <v>19</v>
      </c>
      <c r="P19" s="91" t="s">
        <v>19</v>
      </c>
      <c r="Q19" s="91" t="s">
        <v>19</v>
      </c>
      <c r="R19" s="91" t="s">
        <v>19</v>
      </c>
      <c r="S19" s="91" t="s">
        <v>19</v>
      </c>
      <c r="T19" s="91" t="s">
        <v>19</v>
      </c>
      <c r="U19" s="222" t="s">
        <v>19</v>
      </c>
      <c r="V19" s="222" t="s">
        <v>19</v>
      </c>
      <c r="W19" s="222" t="s">
        <v>19</v>
      </c>
      <c r="X19" s="222" t="s">
        <v>19</v>
      </c>
      <c r="Y19" s="222" t="s">
        <v>19</v>
      </c>
      <c r="Z19" s="222" t="s">
        <v>19</v>
      </c>
      <c r="AA19" s="222" t="s">
        <v>19</v>
      </c>
      <c r="AB19" s="222" t="s">
        <v>19</v>
      </c>
      <c r="AC19" s="222" t="s">
        <v>19</v>
      </c>
      <c r="AD19" s="222" t="s">
        <v>19</v>
      </c>
      <c r="AE19" s="222" t="s">
        <v>19</v>
      </c>
      <c r="AF19" s="222" t="s">
        <v>19</v>
      </c>
      <c r="AG19" s="222" t="s">
        <v>19</v>
      </c>
      <c r="AH19" s="222" t="s">
        <v>19</v>
      </c>
      <c r="AI19" s="222" t="s">
        <v>19</v>
      </c>
      <c r="AJ19" s="222" t="s">
        <v>19</v>
      </c>
      <c r="AK19" s="222" t="s">
        <v>261</v>
      </c>
      <c r="AL19" s="26"/>
      <c r="AM19" s="60" t="str">
        <f t="shared" si="1"/>
        <v>NO CORRESPONDE FRANCO</v>
      </c>
      <c r="AN19" s="60">
        <f t="shared" si="14"/>
        <v>0</v>
      </c>
      <c r="AO19" s="60">
        <f t="shared" si="15"/>
        <v>31</v>
      </c>
      <c r="AP19" s="60">
        <f t="shared" si="16"/>
        <v>0</v>
      </c>
      <c r="AQ19" s="60">
        <f t="shared" si="17"/>
        <v>0</v>
      </c>
      <c r="AR19" s="60">
        <f t="shared" si="18"/>
        <v>0</v>
      </c>
      <c r="AS19" s="60">
        <f t="shared" si="19"/>
        <v>31</v>
      </c>
      <c r="AT19" s="29"/>
    </row>
    <row r="20">
      <c r="A20" s="225" t="s">
        <v>33</v>
      </c>
      <c r="B20" s="226" t="s">
        <v>266</v>
      </c>
      <c r="C20" s="227">
        <v>2.4293262E7</v>
      </c>
      <c r="D20" s="226" t="s">
        <v>267</v>
      </c>
      <c r="E20" s="228" t="s">
        <v>268</v>
      </c>
      <c r="F20" s="147" t="s">
        <v>19</v>
      </c>
      <c r="G20" s="147" t="s">
        <v>19</v>
      </c>
      <c r="H20" s="147" t="s">
        <v>19</v>
      </c>
      <c r="I20" s="147" t="s">
        <v>19</v>
      </c>
      <c r="J20" s="147" t="s">
        <v>19</v>
      </c>
      <c r="K20" s="147" t="s">
        <v>19</v>
      </c>
      <c r="L20" s="147" t="s">
        <v>19</v>
      </c>
      <c r="M20" s="147" t="s">
        <v>19</v>
      </c>
      <c r="N20" s="147" t="s">
        <v>19</v>
      </c>
      <c r="O20" s="147" t="s">
        <v>19</v>
      </c>
      <c r="P20" s="147" t="s">
        <v>19</v>
      </c>
      <c r="Q20" s="147" t="s">
        <v>19</v>
      </c>
      <c r="R20" s="147" t="s">
        <v>19</v>
      </c>
      <c r="S20" s="147" t="s">
        <v>19</v>
      </c>
      <c r="T20" s="147" t="s">
        <v>19</v>
      </c>
      <c r="U20" s="147" t="s">
        <v>19</v>
      </c>
      <c r="V20" s="147" t="s">
        <v>19</v>
      </c>
      <c r="W20" s="147" t="s">
        <v>19</v>
      </c>
      <c r="X20" s="147" t="s">
        <v>19</v>
      </c>
      <c r="Y20" s="147" t="s">
        <v>19</v>
      </c>
      <c r="Z20" s="147" t="s">
        <v>19</v>
      </c>
      <c r="AA20" s="147" t="s">
        <v>19</v>
      </c>
      <c r="AB20" s="147" t="s">
        <v>19</v>
      </c>
      <c r="AC20" s="147" t="s">
        <v>19</v>
      </c>
      <c r="AD20" s="147" t="s">
        <v>19</v>
      </c>
      <c r="AE20" s="147" t="s">
        <v>19</v>
      </c>
      <c r="AF20" s="147" t="s">
        <v>19</v>
      </c>
      <c r="AG20" s="147" t="s">
        <v>19</v>
      </c>
      <c r="AH20" s="147" t="s">
        <v>19</v>
      </c>
      <c r="AI20" s="147" t="s">
        <v>19</v>
      </c>
      <c r="AJ20" s="147" t="s">
        <v>19</v>
      </c>
      <c r="AK20" s="230" t="s">
        <v>279</v>
      </c>
      <c r="AL20" s="232"/>
      <c r="AM20" s="60" t="str">
        <f t="shared" si="1"/>
        <v>NO CORRESPONDE FRANCO</v>
      </c>
      <c r="AN20" s="60">
        <f t="shared" si="14"/>
        <v>0</v>
      </c>
      <c r="AO20" s="60">
        <f t="shared" si="15"/>
        <v>31</v>
      </c>
      <c r="AP20" s="60">
        <f t="shared" si="16"/>
        <v>0</v>
      </c>
      <c r="AQ20" s="60">
        <f t="shared" si="17"/>
        <v>0</v>
      </c>
      <c r="AR20" s="60">
        <f t="shared" si="18"/>
        <v>0</v>
      </c>
      <c r="AS20" s="60">
        <f t="shared" si="19"/>
        <v>31</v>
      </c>
      <c r="AT20" s="29"/>
    </row>
    <row r="21" ht="15.75" customHeight="1">
      <c r="A21" s="227" t="s">
        <v>33</v>
      </c>
      <c r="B21" s="226" t="s">
        <v>287</v>
      </c>
      <c r="C21" s="227">
        <v>3.0353085E7</v>
      </c>
      <c r="D21" s="226" t="s">
        <v>288</v>
      </c>
      <c r="E21" s="228" t="s">
        <v>289</v>
      </c>
      <c r="F21" s="236" t="s">
        <v>18</v>
      </c>
      <c r="G21" s="236" t="s">
        <v>27</v>
      </c>
      <c r="H21" s="236" t="s">
        <v>27</v>
      </c>
      <c r="I21" s="236" t="s">
        <v>27</v>
      </c>
      <c r="J21" s="237"/>
      <c r="K21" s="237"/>
      <c r="L21" s="237"/>
      <c r="M21" s="96" t="s">
        <v>22</v>
      </c>
      <c r="N21" s="96" t="s">
        <v>22</v>
      </c>
      <c r="O21" s="96" t="s">
        <v>22</v>
      </c>
      <c r="P21" s="96" t="s">
        <v>22</v>
      </c>
      <c r="Q21" s="96" t="s">
        <v>22</v>
      </c>
      <c r="R21" s="96" t="s">
        <v>22</v>
      </c>
      <c r="S21" s="96" t="s">
        <v>22</v>
      </c>
      <c r="T21" s="240" t="s">
        <v>79</v>
      </c>
      <c r="U21" s="106" t="s">
        <v>32</v>
      </c>
      <c r="V21" s="237"/>
      <c r="W21" s="237"/>
      <c r="X21" s="237"/>
      <c r="Y21" s="241" t="s">
        <v>32</v>
      </c>
      <c r="Z21" s="236" t="s">
        <v>27</v>
      </c>
      <c r="AA21" s="236" t="s">
        <v>27</v>
      </c>
      <c r="AB21" s="236" t="s">
        <v>27</v>
      </c>
      <c r="AC21" s="237"/>
      <c r="AD21" s="222" t="s">
        <v>19</v>
      </c>
      <c r="AE21" s="222" t="s">
        <v>19</v>
      </c>
      <c r="AF21" s="236" t="s">
        <v>27</v>
      </c>
      <c r="AG21" s="236" t="s">
        <v>27</v>
      </c>
      <c r="AH21" s="237"/>
      <c r="AI21" s="237"/>
      <c r="AJ21" s="237"/>
      <c r="AK21" s="244"/>
      <c r="AL21" s="232"/>
      <c r="AM21" s="60" t="str">
        <f t="shared" si="1"/>
        <v>NO CORRESPONDE FRANCO</v>
      </c>
      <c r="AN21" s="60">
        <f t="shared" si="14"/>
        <v>1</v>
      </c>
      <c r="AO21" s="60">
        <f t="shared" si="15"/>
        <v>2</v>
      </c>
      <c r="AP21" s="60">
        <f t="shared" si="16"/>
        <v>0</v>
      </c>
      <c r="AQ21" s="60">
        <f t="shared" si="17"/>
        <v>0</v>
      </c>
      <c r="AR21" s="60">
        <f t="shared" si="18"/>
        <v>7</v>
      </c>
      <c r="AS21" s="60">
        <f t="shared" si="19"/>
        <v>9</v>
      </c>
      <c r="AT21" s="29"/>
    </row>
    <row r="22" ht="15.75" customHeight="1">
      <c r="A22" s="227" t="s">
        <v>33</v>
      </c>
      <c r="B22" s="250" t="s">
        <v>298</v>
      </c>
      <c r="C22" s="227">
        <v>4.4006317E7</v>
      </c>
      <c r="D22" s="226" t="s">
        <v>299</v>
      </c>
      <c r="E22" s="228" t="s">
        <v>300</v>
      </c>
      <c r="F22" s="236" t="s">
        <v>27</v>
      </c>
      <c r="G22" s="236" t="s">
        <v>27</v>
      </c>
      <c r="H22" s="236" t="s">
        <v>27</v>
      </c>
      <c r="I22" s="236" t="s">
        <v>27</v>
      </c>
      <c r="J22" s="237"/>
      <c r="K22" s="237"/>
      <c r="L22" s="237"/>
      <c r="M22" s="236" t="s">
        <v>27</v>
      </c>
      <c r="N22" s="236" t="s">
        <v>27</v>
      </c>
      <c r="O22" s="236" t="s">
        <v>27</v>
      </c>
      <c r="P22" s="252" t="s">
        <v>18</v>
      </c>
      <c r="Q22" s="237"/>
      <c r="R22" s="240" t="s">
        <v>79</v>
      </c>
      <c r="S22" s="236" t="s">
        <v>18</v>
      </c>
      <c r="T22" s="236" t="s">
        <v>18</v>
      </c>
      <c r="U22" s="236" t="s">
        <v>27</v>
      </c>
      <c r="V22" s="237"/>
      <c r="W22" s="241" t="s">
        <v>305</v>
      </c>
      <c r="X22" s="237"/>
      <c r="Y22" s="236" t="s">
        <v>18</v>
      </c>
      <c r="Z22" s="236" t="s">
        <v>27</v>
      </c>
      <c r="AA22" s="236" t="s">
        <v>27</v>
      </c>
      <c r="AB22" s="237"/>
      <c r="AC22" s="237"/>
      <c r="AD22" s="236" t="s">
        <v>27</v>
      </c>
      <c r="AE22" s="236" t="s">
        <v>27</v>
      </c>
      <c r="AF22" s="236" t="s">
        <v>18</v>
      </c>
      <c r="AG22" s="236" t="s">
        <v>27</v>
      </c>
      <c r="AH22" s="237"/>
      <c r="AI22" s="237"/>
      <c r="AJ22" s="237"/>
      <c r="AK22" s="244"/>
      <c r="AL22" s="232"/>
      <c r="AM22" s="60" t="str">
        <f t="shared" si="1"/>
        <v>NO CORRESPONDE FRANCO</v>
      </c>
      <c r="AN22" s="60">
        <f t="shared" si="14"/>
        <v>5</v>
      </c>
      <c r="AO22" s="60">
        <f t="shared" si="15"/>
        <v>0</v>
      </c>
      <c r="AP22" s="60">
        <f t="shared" si="16"/>
        <v>0</v>
      </c>
      <c r="AQ22" s="60">
        <f t="shared" si="17"/>
        <v>0</v>
      </c>
      <c r="AR22" s="60">
        <f t="shared" si="18"/>
        <v>0</v>
      </c>
      <c r="AS22" s="60">
        <f t="shared" si="19"/>
        <v>0</v>
      </c>
      <c r="AT22" s="29"/>
    </row>
    <row r="23" ht="15.75" customHeight="1">
      <c r="A23" s="227" t="s">
        <v>33</v>
      </c>
      <c r="B23" s="259" t="s">
        <v>309</v>
      </c>
      <c r="C23" s="227">
        <v>4.522787E7</v>
      </c>
      <c r="D23" s="226" t="s">
        <v>310</v>
      </c>
      <c r="E23" s="228" t="s">
        <v>311</v>
      </c>
      <c r="F23" s="252" t="s">
        <v>18</v>
      </c>
      <c r="G23" s="147" t="s">
        <v>19</v>
      </c>
      <c r="H23" s="147" t="s">
        <v>19</v>
      </c>
      <c r="I23" s="236" t="s">
        <v>27</v>
      </c>
      <c r="J23" s="237"/>
      <c r="K23" s="237"/>
      <c r="L23" s="237"/>
      <c r="M23" s="236" t="s">
        <v>27</v>
      </c>
      <c r="N23" s="236" t="s">
        <v>18</v>
      </c>
      <c r="O23" s="236" t="s">
        <v>27</v>
      </c>
      <c r="P23" s="237"/>
      <c r="Q23" s="237"/>
      <c r="R23" s="236" t="s">
        <v>27</v>
      </c>
      <c r="S23" s="147" t="s">
        <v>19</v>
      </c>
      <c r="T23" s="236" t="s">
        <v>18</v>
      </c>
      <c r="U23" s="147" t="s">
        <v>19</v>
      </c>
      <c r="V23" s="237"/>
      <c r="W23" s="237"/>
      <c r="X23" s="237"/>
      <c r="Y23" s="236" t="s">
        <v>27</v>
      </c>
      <c r="Z23" s="147" t="s">
        <v>19</v>
      </c>
      <c r="AA23" s="147" t="s">
        <v>19</v>
      </c>
      <c r="AB23" s="237"/>
      <c r="AC23" s="237"/>
      <c r="AD23" s="236" t="s">
        <v>27</v>
      </c>
      <c r="AE23" s="222" t="s">
        <v>19</v>
      </c>
      <c r="AF23" s="236" t="s">
        <v>18</v>
      </c>
      <c r="AG23" s="236" t="s">
        <v>27</v>
      </c>
      <c r="AH23" s="237"/>
      <c r="AI23" s="237"/>
      <c r="AJ23" s="237"/>
      <c r="AK23" s="266" t="s">
        <v>315</v>
      </c>
      <c r="AL23" s="232"/>
      <c r="AM23" s="60" t="str">
        <f t="shared" si="1"/>
        <v>NO CORRESPONDE FRANCO</v>
      </c>
      <c r="AN23" s="60">
        <f t="shared" si="14"/>
        <v>4</v>
      </c>
      <c r="AO23" s="60">
        <f t="shared" si="15"/>
        <v>7</v>
      </c>
      <c r="AP23" s="60">
        <f t="shared" si="16"/>
        <v>0</v>
      </c>
      <c r="AQ23" s="60">
        <f t="shared" si="17"/>
        <v>0</v>
      </c>
      <c r="AR23" s="60">
        <f t="shared" si="18"/>
        <v>0</v>
      </c>
      <c r="AS23" s="60">
        <f t="shared" si="19"/>
        <v>7</v>
      </c>
      <c r="AT23" s="29"/>
    </row>
    <row r="24" ht="15.75" customHeight="1">
      <c r="A24" s="225" t="s">
        <v>33</v>
      </c>
      <c r="B24" s="226" t="s">
        <v>317</v>
      </c>
      <c r="C24" s="225">
        <v>4.0835168E7</v>
      </c>
      <c r="D24" s="226" t="s">
        <v>318</v>
      </c>
      <c r="E24" s="228" t="s">
        <v>319</v>
      </c>
      <c r="F24" s="236" t="s">
        <v>27</v>
      </c>
      <c r="G24" s="236" t="s">
        <v>27</v>
      </c>
      <c r="H24" s="236" t="s">
        <v>27</v>
      </c>
      <c r="I24" s="236" t="s">
        <v>27</v>
      </c>
      <c r="J24" s="237"/>
      <c r="K24" s="237"/>
      <c r="L24" s="237"/>
      <c r="M24" s="236" t="s">
        <v>27</v>
      </c>
      <c r="N24" s="236" t="s">
        <v>27</v>
      </c>
      <c r="O24" s="236" t="s">
        <v>27</v>
      </c>
      <c r="P24" s="237"/>
      <c r="Q24" s="237"/>
      <c r="R24" s="236" t="s">
        <v>27</v>
      </c>
      <c r="S24" s="236" t="s">
        <v>27</v>
      </c>
      <c r="T24" s="236" t="s">
        <v>27</v>
      </c>
      <c r="U24" s="236" t="s">
        <v>18</v>
      </c>
      <c r="V24" s="237"/>
      <c r="W24" s="237"/>
      <c r="X24" s="237"/>
      <c r="Y24" s="236" t="s">
        <v>27</v>
      </c>
      <c r="Z24" s="236" t="s">
        <v>27</v>
      </c>
      <c r="AA24" s="236" t="s">
        <v>27</v>
      </c>
      <c r="AB24" s="237"/>
      <c r="AC24" s="237"/>
      <c r="AD24" s="236" t="s">
        <v>27</v>
      </c>
      <c r="AE24" s="236" t="s">
        <v>27</v>
      </c>
      <c r="AF24" s="236" t="s">
        <v>27</v>
      </c>
      <c r="AG24" s="236" t="s">
        <v>27</v>
      </c>
      <c r="AH24" s="237"/>
      <c r="AI24" s="237"/>
      <c r="AJ24" s="237"/>
      <c r="AK24" s="244"/>
      <c r="AL24" s="232"/>
      <c r="AM24" s="60" t="str">
        <f t="shared" si="1"/>
        <v/>
      </c>
      <c r="AN24" s="60">
        <f t="shared" si="14"/>
        <v>1</v>
      </c>
      <c r="AO24" s="60">
        <f t="shared" si="15"/>
        <v>0</v>
      </c>
      <c r="AP24" s="60">
        <f t="shared" si="16"/>
        <v>0</v>
      </c>
      <c r="AQ24" s="60">
        <f t="shared" si="17"/>
        <v>0</v>
      </c>
      <c r="AR24" s="60">
        <f t="shared" si="18"/>
        <v>0</v>
      </c>
      <c r="AS24" s="60">
        <f t="shared" si="19"/>
        <v>0</v>
      </c>
      <c r="AT24" s="29"/>
    </row>
    <row r="25" ht="15.75" customHeight="1">
      <c r="A25" s="225" t="s">
        <v>33</v>
      </c>
      <c r="B25" s="226" t="s">
        <v>330</v>
      </c>
      <c r="C25" s="225">
        <v>4.6089146E7</v>
      </c>
      <c r="D25" s="226" t="s">
        <v>331</v>
      </c>
      <c r="E25" s="228" t="s">
        <v>332</v>
      </c>
      <c r="F25" s="147" t="s">
        <v>19</v>
      </c>
      <c r="G25" s="147" t="s">
        <v>19</v>
      </c>
      <c r="H25" s="147" t="s">
        <v>19</v>
      </c>
      <c r="I25" s="236" t="s">
        <v>27</v>
      </c>
      <c r="J25" s="237"/>
      <c r="K25" s="237"/>
      <c r="L25" s="237"/>
      <c r="M25" s="236" t="s">
        <v>27</v>
      </c>
      <c r="N25" s="236" t="s">
        <v>18</v>
      </c>
      <c r="O25" s="236" t="s">
        <v>27</v>
      </c>
      <c r="P25" s="237"/>
      <c r="Q25" s="237"/>
      <c r="R25" s="236" t="s">
        <v>27</v>
      </c>
      <c r="S25" s="236" t="s">
        <v>27</v>
      </c>
      <c r="T25" s="236" t="s">
        <v>27</v>
      </c>
      <c r="U25" s="236" t="s">
        <v>18</v>
      </c>
      <c r="V25" s="237"/>
      <c r="W25" s="237"/>
      <c r="X25" s="237"/>
      <c r="Y25" s="236" t="s">
        <v>27</v>
      </c>
      <c r="Z25" s="236" t="s">
        <v>27</v>
      </c>
      <c r="AA25" s="236" t="s">
        <v>27</v>
      </c>
      <c r="AB25" s="237"/>
      <c r="AC25" s="237"/>
      <c r="AD25" s="241" t="s">
        <v>32</v>
      </c>
      <c r="AE25" s="236" t="s">
        <v>27</v>
      </c>
      <c r="AF25" s="236" t="s">
        <v>27</v>
      </c>
      <c r="AG25" s="236" t="s">
        <v>27</v>
      </c>
      <c r="AH25" s="237"/>
      <c r="AI25" s="237"/>
      <c r="AJ25" s="237"/>
      <c r="AK25" s="244"/>
      <c r="AL25" s="232"/>
      <c r="AM25" s="60" t="str">
        <f t="shared" si="1"/>
        <v>NO CORRESPONDE FRANCO</v>
      </c>
      <c r="AN25" s="60">
        <f t="shared" si="14"/>
        <v>2</v>
      </c>
      <c r="AO25" s="60">
        <f t="shared" si="15"/>
        <v>3</v>
      </c>
      <c r="AP25" s="60">
        <f t="shared" si="16"/>
        <v>0</v>
      </c>
      <c r="AQ25" s="60">
        <f t="shared" si="17"/>
        <v>0</v>
      </c>
      <c r="AR25" s="60">
        <f t="shared" si="18"/>
        <v>0</v>
      </c>
      <c r="AS25" s="60">
        <f t="shared" si="19"/>
        <v>3</v>
      </c>
      <c r="AT25" s="29"/>
    </row>
    <row r="26" ht="15.75" customHeight="1">
      <c r="A26" s="227" t="s">
        <v>33</v>
      </c>
      <c r="B26" s="275" t="s">
        <v>342</v>
      </c>
      <c r="C26" s="227">
        <v>3.5761085E7</v>
      </c>
      <c r="D26" s="276" t="s">
        <v>343</v>
      </c>
      <c r="E26" s="277" t="s">
        <v>344</v>
      </c>
      <c r="F26" s="236" t="s">
        <v>18</v>
      </c>
      <c r="G26" s="236" t="s">
        <v>18</v>
      </c>
      <c r="H26" s="236" t="s">
        <v>18</v>
      </c>
      <c r="I26" s="236" t="s">
        <v>18</v>
      </c>
      <c r="J26" s="237"/>
      <c r="K26" s="237"/>
      <c r="L26" s="237"/>
      <c r="M26" s="236" t="s">
        <v>27</v>
      </c>
      <c r="N26" s="236" t="s">
        <v>27</v>
      </c>
      <c r="O26" s="236" t="s">
        <v>27</v>
      </c>
      <c r="P26" s="237"/>
      <c r="Q26" s="237"/>
      <c r="R26" s="236" t="s">
        <v>27</v>
      </c>
      <c r="S26" s="236" t="s">
        <v>27</v>
      </c>
      <c r="T26" s="236" t="s">
        <v>27</v>
      </c>
      <c r="U26" s="236" t="s">
        <v>27</v>
      </c>
      <c r="V26" s="237"/>
      <c r="W26" s="237"/>
      <c r="X26" s="237"/>
      <c r="Y26" s="236" t="s">
        <v>27</v>
      </c>
      <c r="Z26" s="236" t="s">
        <v>27</v>
      </c>
      <c r="AA26" s="236" t="s">
        <v>27</v>
      </c>
      <c r="AB26" s="237"/>
      <c r="AC26" s="237"/>
      <c r="AD26" s="236" t="s">
        <v>27</v>
      </c>
      <c r="AE26" s="236" t="s">
        <v>27</v>
      </c>
      <c r="AF26" s="236" t="s">
        <v>27</v>
      </c>
      <c r="AG26" s="236" t="s">
        <v>27</v>
      </c>
      <c r="AH26" s="237"/>
      <c r="AI26" s="237"/>
      <c r="AJ26" s="237"/>
      <c r="AK26" s="244"/>
      <c r="AL26" s="232"/>
      <c r="AM26" s="60" t="str">
        <f t="shared" si="1"/>
        <v>NO CORRESPONDE FRANCO</v>
      </c>
      <c r="AN26" s="60">
        <f t="shared" si="14"/>
        <v>4</v>
      </c>
      <c r="AO26" s="60">
        <f t="shared" si="15"/>
        <v>0</v>
      </c>
      <c r="AP26" s="60">
        <f t="shared" si="16"/>
        <v>0</v>
      </c>
      <c r="AQ26" s="60">
        <f t="shared" si="17"/>
        <v>0</v>
      </c>
      <c r="AR26" s="60">
        <f t="shared" si="18"/>
        <v>0</v>
      </c>
      <c r="AS26" s="60">
        <f t="shared" si="19"/>
        <v>0</v>
      </c>
      <c r="AT26" s="29"/>
    </row>
    <row r="27" ht="15.0" customHeight="1">
      <c r="A27" s="227" t="s">
        <v>33</v>
      </c>
      <c r="B27" s="275" t="s">
        <v>359</v>
      </c>
      <c r="C27" s="227">
        <v>3.9654955E7</v>
      </c>
      <c r="D27" s="276" t="s">
        <v>360</v>
      </c>
      <c r="E27" s="277">
        <v>1.54031725E9</v>
      </c>
      <c r="F27" s="147" t="s">
        <v>19</v>
      </c>
      <c r="G27" s="147" t="s">
        <v>19</v>
      </c>
      <c r="H27" s="236" t="s">
        <v>27</v>
      </c>
      <c r="I27" s="236" t="s">
        <v>27</v>
      </c>
      <c r="J27" s="237"/>
      <c r="K27" s="147" t="s">
        <v>19</v>
      </c>
      <c r="L27" s="147" t="s">
        <v>19</v>
      </c>
      <c r="M27" s="147" t="s">
        <v>19</v>
      </c>
      <c r="N27" s="241" t="s">
        <v>32</v>
      </c>
      <c r="O27" s="147" t="s">
        <v>19</v>
      </c>
      <c r="P27" s="237"/>
      <c r="Q27" s="237"/>
      <c r="R27" s="236" t="s">
        <v>27</v>
      </c>
      <c r="S27" s="236" t="s">
        <v>27</v>
      </c>
      <c r="T27" s="236" t="s">
        <v>27</v>
      </c>
      <c r="U27" s="241" t="s">
        <v>32</v>
      </c>
      <c r="V27" s="237"/>
      <c r="W27" s="237"/>
      <c r="X27" s="237"/>
      <c r="Y27" s="236" t="s">
        <v>27</v>
      </c>
      <c r="Z27" s="236" t="s">
        <v>27</v>
      </c>
      <c r="AA27" s="147" t="s">
        <v>19</v>
      </c>
      <c r="AB27" s="237"/>
      <c r="AC27" s="237"/>
      <c r="AD27" s="144" t="s">
        <v>27</v>
      </c>
      <c r="AE27" s="236" t="s">
        <v>27</v>
      </c>
      <c r="AF27" s="236" t="s">
        <v>27</v>
      </c>
      <c r="AG27" s="240" t="s">
        <v>79</v>
      </c>
      <c r="AH27" s="237"/>
      <c r="AI27" s="237"/>
      <c r="AJ27" s="236" t="s">
        <v>27</v>
      </c>
      <c r="AK27" s="244"/>
      <c r="AL27" s="232"/>
      <c r="AM27" s="60" t="str">
        <f t="shared" si="1"/>
        <v>NO CORRESPONDE FRANCO</v>
      </c>
      <c r="AN27" s="60">
        <f t="shared" si="14"/>
        <v>0</v>
      </c>
      <c r="AO27" s="60">
        <f t="shared" si="15"/>
        <v>7</v>
      </c>
      <c r="AP27" s="60">
        <f t="shared" si="16"/>
        <v>0</v>
      </c>
      <c r="AQ27" s="60">
        <f t="shared" si="17"/>
        <v>0</v>
      </c>
      <c r="AR27" s="60">
        <f t="shared" si="18"/>
        <v>0</v>
      </c>
      <c r="AS27" s="60">
        <f t="shared" si="19"/>
        <v>7</v>
      </c>
      <c r="AT27" s="29"/>
    </row>
    <row r="28" ht="15.75" customHeight="1">
      <c r="A28" s="225" t="s">
        <v>33</v>
      </c>
      <c r="B28" s="275" t="s">
        <v>370</v>
      </c>
      <c r="C28" s="227">
        <v>4.1917769E7</v>
      </c>
      <c r="D28" s="276" t="s">
        <v>371</v>
      </c>
      <c r="E28" s="277" t="s">
        <v>372</v>
      </c>
      <c r="F28" s="236" t="s">
        <v>27</v>
      </c>
      <c r="G28" s="236" t="s">
        <v>27</v>
      </c>
      <c r="H28" s="236" t="s">
        <v>27</v>
      </c>
      <c r="I28" s="236" t="s">
        <v>27</v>
      </c>
      <c r="J28" s="237"/>
      <c r="K28" s="237"/>
      <c r="L28" s="237"/>
      <c r="M28" s="236" t="s">
        <v>27</v>
      </c>
      <c r="N28" s="236" t="s">
        <v>27</v>
      </c>
      <c r="O28" s="236" t="s">
        <v>27</v>
      </c>
      <c r="P28" s="237"/>
      <c r="Q28" s="237"/>
      <c r="R28" s="236" t="s">
        <v>27</v>
      </c>
      <c r="S28" s="236" t="s">
        <v>27</v>
      </c>
      <c r="T28" s="236" t="s">
        <v>27</v>
      </c>
      <c r="U28" s="236" t="s">
        <v>27</v>
      </c>
      <c r="V28" s="237"/>
      <c r="W28" s="237"/>
      <c r="X28" s="237"/>
      <c r="Y28" s="236" t="s">
        <v>27</v>
      </c>
      <c r="Z28" s="236" t="s">
        <v>27</v>
      </c>
      <c r="AA28" s="236" t="s">
        <v>27</v>
      </c>
      <c r="AB28" s="237"/>
      <c r="AC28" s="252" t="s">
        <v>27</v>
      </c>
      <c r="AD28" s="240" t="s">
        <v>79</v>
      </c>
      <c r="AE28" s="236" t="s">
        <v>27</v>
      </c>
      <c r="AF28" s="236" t="s">
        <v>27</v>
      </c>
      <c r="AG28" s="241" t="s">
        <v>32</v>
      </c>
      <c r="AH28" s="237"/>
      <c r="AI28" s="237"/>
      <c r="AJ28" s="237"/>
      <c r="AK28" s="244"/>
      <c r="AL28" s="232"/>
      <c r="AM28" s="60" t="str">
        <f t="shared" si="1"/>
        <v/>
      </c>
      <c r="AN28" s="60">
        <f t="shared" si="14"/>
        <v>0</v>
      </c>
      <c r="AO28" s="60">
        <f t="shared" si="15"/>
        <v>0</v>
      </c>
      <c r="AP28" s="60">
        <f t="shared" si="16"/>
        <v>0</v>
      </c>
      <c r="AQ28" s="60">
        <f t="shared" si="17"/>
        <v>0</v>
      </c>
      <c r="AR28" s="60">
        <f t="shared" si="18"/>
        <v>0</v>
      </c>
      <c r="AS28" s="60">
        <f t="shared" si="19"/>
        <v>0</v>
      </c>
      <c r="AT28" s="29"/>
    </row>
    <row r="29" ht="15.75" customHeight="1">
      <c r="A29" s="225" t="s">
        <v>33</v>
      </c>
      <c r="B29" s="275" t="s">
        <v>380</v>
      </c>
      <c r="C29" s="225">
        <v>4.3106633E7</v>
      </c>
      <c r="D29" s="281" t="s">
        <v>383</v>
      </c>
      <c r="E29" s="228" t="s">
        <v>391</v>
      </c>
      <c r="F29" s="236" t="s">
        <v>27</v>
      </c>
      <c r="G29" s="236" t="s">
        <v>18</v>
      </c>
      <c r="H29" s="236" t="s">
        <v>27</v>
      </c>
      <c r="I29" s="236" t="s">
        <v>18</v>
      </c>
      <c r="J29" s="237"/>
      <c r="K29" s="237"/>
      <c r="L29" s="237"/>
      <c r="M29" s="236" t="s">
        <v>27</v>
      </c>
      <c r="N29" s="96" t="s">
        <v>22</v>
      </c>
      <c r="O29" s="96" t="s">
        <v>22</v>
      </c>
      <c r="P29" s="96" t="s">
        <v>22</v>
      </c>
      <c r="Q29" s="96" t="s">
        <v>22</v>
      </c>
      <c r="R29" s="96" t="s">
        <v>22</v>
      </c>
      <c r="S29" s="96" t="s">
        <v>22</v>
      </c>
      <c r="T29" s="96" t="s">
        <v>22</v>
      </c>
      <c r="U29" s="96" t="s">
        <v>22</v>
      </c>
      <c r="V29" s="237"/>
      <c r="W29" s="237"/>
      <c r="X29" s="237"/>
      <c r="Y29" s="236" t="s">
        <v>27</v>
      </c>
      <c r="Z29" s="236" t="s">
        <v>27</v>
      </c>
      <c r="AA29" s="236" t="s">
        <v>27</v>
      </c>
      <c r="AB29" s="237"/>
      <c r="AC29" s="237"/>
      <c r="AD29" s="91" t="s">
        <v>19</v>
      </c>
      <c r="AE29" s="91" t="s">
        <v>19</v>
      </c>
      <c r="AF29" s="236" t="s">
        <v>18</v>
      </c>
      <c r="AG29" s="236" t="s">
        <v>27</v>
      </c>
      <c r="AH29" s="237"/>
      <c r="AI29" s="237"/>
      <c r="AJ29" s="237"/>
      <c r="AK29" s="244"/>
      <c r="AL29" s="232"/>
      <c r="AM29" s="60" t="str">
        <f t="shared" si="1"/>
        <v>NO CORRESPONDE FRANCO</v>
      </c>
      <c r="AN29" s="60">
        <f t="shared" si="14"/>
        <v>3</v>
      </c>
      <c r="AO29" s="60">
        <f t="shared" si="15"/>
        <v>2</v>
      </c>
      <c r="AP29" s="60">
        <f t="shared" si="16"/>
        <v>0</v>
      </c>
      <c r="AQ29" s="60">
        <f t="shared" si="17"/>
        <v>0</v>
      </c>
      <c r="AR29" s="60">
        <f t="shared" si="18"/>
        <v>8</v>
      </c>
      <c r="AS29" s="60">
        <f t="shared" si="19"/>
        <v>10</v>
      </c>
      <c r="AT29" s="29"/>
    </row>
    <row r="30" ht="15.75" customHeight="1">
      <c r="A30" s="225" t="s">
        <v>33</v>
      </c>
      <c r="B30" s="293" t="s">
        <v>408</v>
      </c>
      <c r="C30" s="295">
        <v>4.7343587E7</v>
      </c>
      <c r="D30" s="281" t="s">
        <v>410</v>
      </c>
      <c r="E30" s="296" t="s">
        <v>411</v>
      </c>
      <c r="F30" s="231"/>
      <c r="G30" s="231"/>
      <c r="H30" s="231"/>
      <c r="I30" s="231"/>
      <c r="J30" s="233"/>
      <c r="K30" s="233"/>
      <c r="L30" s="233"/>
      <c r="M30" s="231"/>
      <c r="N30" s="234"/>
      <c r="O30" s="234"/>
      <c r="P30" s="234"/>
      <c r="Q30" s="234"/>
      <c r="R30" s="234"/>
      <c r="S30" s="234"/>
      <c r="T30" s="234"/>
      <c r="U30" s="234"/>
      <c r="V30" s="233"/>
      <c r="W30" s="252" t="s">
        <v>27</v>
      </c>
      <c r="X30" s="237"/>
      <c r="Y30" s="236"/>
      <c r="Z30" s="236" t="s">
        <v>27</v>
      </c>
      <c r="AA30" s="237"/>
      <c r="AB30" s="237"/>
      <c r="AC30" s="237"/>
      <c r="AD30" s="236" t="s">
        <v>27</v>
      </c>
      <c r="AE30" s="300"/>
      <c r="AF30" s="300"/>
      <c r="AG30" s="300"/>
      <c r="AH30" s="237"/>
      <c r="AI30" s="237"/>
      <c r="AJ30" s="237"/>
      <c r="AK30" s="302" t="s">
        <v>418</v>
      </c>
      <c r="AL30" s="232"/>
      <c r="AM30" s="60" t="str">
        <f t="shared" si="1"/>
        <v/>
      </c>
      <c r="AN30" s="60"/>
      <c r="AO30" s="60"/>
      <c r="AP30" s="60"/>
      <c r="AQ30" s="60"/>
      <c r="AR30" s="60"/>
      <c r="AS30" s="60"/>
      <c r="AT30" s="29"/>
    </row>
    <row r="31" ht="15.75" customHeight="1">
      <c r="AK31" s="244"/>
      <c r="AL31" s="232"/>
      <c r="AM31" s="60" t="str">
        <f t="shared" si="1"/>
        <v/>
      </c>
      <c r="AN31" s="60"/>
      <c r="AO31" s="60"/>
      <c r="AP31" s="60"/>
      <c r="AQ31" s="60"/>
      <c r="AR31" s="60"/>
      <c r="AS31" s="60"/>
      <c r="AT31" s="29"/>
    </row>
    <row r="32" ht="15.75" customHeight="1">
      <c r="A32" s="305"/>
      <c r="B32" s="306"/>
      <c r="C32" s="306"/>
      <c r="D32" s="306"/>
      <c r="E32" s="306"/>
      <c r="F32" s="306"/>
      <c r="G32" s="306"/>
      <c r="H32" s="306"/>
      <c r="I32" s="306"/>
      <c r="J32" s="306"/>
      <c r="K32" s="306"/>
      <c r="L32" s="306"/>
      <c r="M32" s="306"/>
      <c r="N32" s="306"/>
      <c r="O32" s="306"/>
      <c r="P32" s="306"/>
      <c r="Q32" s="306"/>
      <c r="R32" s="306"/>
      <c r="S32" s="306"/>
      <c r="T32" s="306"/>
      <c r="U32" s="306"/>
      <c r="V32" s="306"/>
      <c r="W32" s="306"/>
      <c r="X32" s="306"/>
      <c r="Y32" s="306"/>
      <c r="Z32" s="306"/>
      <c r="AA32" s="306"/>
      <c r="AB32" s="306"/>
      <c r="AC32" s="306"/>
      <c r="AD32" s="306"/>
      <c r="AE32" s="306"/>
      <c r="AF32" s="306"/>
      <c r="AG32" s="306"/>
      <c r="AH32" s="306"/>
      <c r="AI32" s="307"/>
      <c r="AJ32" s="310"/>
      <c r="AK32" s="244"/>
      <c r="AL32" s="232"/>
      <c r="AM32" s="60" t="str">
        <f t="shared" si="1"/>
        <v/>
      </c>
      <c r="AN32" s="60"/>
      <c r="AO32" s="60"/>
      <c r="AP32" s="60"/>
      <c r="AQ32" s="60"/>
      <c r="AR32" s="60"/>
      <c r="AS32" s="29"/>
      <c r="AT32" s="29"/>
    </row>
    <row r="33" ht="15.75" customHeight="1">
      <c r="A33" s="311" t="s">
        <v>427</v>
      </c>
      <c r="B33" s="6"/>
      <c r="C33" s="6"/>
      <c r="D33" s="6"/>
      <c r="E33" s="11"/>
      <c r="F33" s="313">
        <v>1.0</v>
      </c>
      <c r="G33" s="313">
        <v>2.0</v>
      </c>
      <c r="H33" s="313">
        <v>3.0</v>
      </c>
      <c r="I33" s="313">
        <v>4.0</v>
      </c>
      <c r="J33" s="313">
        <v>5.0</v>
      </c>
      <c r="K33" s="313">
        <v>6.0</v>
      </c>
      <c r="L33" s="313">
        <v>7.0</v>
      </c>
      <c r="M33" s="313">
        <v>8.0</v>
      </c>
      <c r="N33" s="313">
        <v>9.0</v>
      </c>
      <c r="O33" s="313">
        <v>10.0</v>
      </c>
      <c r="P33" s="313">
        <v>11.0</v>
      </c>
      <c r="Q33" s="313">
        <v>12.0</v>
      </c>
      <c r="R33" s="313">
        <v>13.0</v>
      </c>
      <c r="S33" s="313">
        <v>14.0</v>
      </c>
      <c r="T33" s="313">
        <v>15.0</v>
      </c>
      <c r="U33" s="313">
        <v>16.0</v>
      </c>
      <c r="V33" s="313">
        <v>17.0</v>
      </c>
      <c r="W33" s="313">
        <v>18.0</v>
      </c>
      <c r="X33" s="313">
        <v>19.0</v>
      </c>
      <c r="Y33" s="313">
        <v>20.0</v>
      </c>
      <c r="Z33" s="313">
        <v>21.0</v>
      </c>
      <c r="AA33" s="313">
        <v>22.0</v>
      </c>
      <c r="AB33" s="313">
        <v>23.0</v>
      </c>
      <c r="AC33" s="313">
        <v>24.0</v>
      </c>
      <c r="AD33" s="313">
        <v>25.0</v>
      </c>
      <c r="AE33" s="313">
        <v>26.0</v>
      </c>
      <c r="AF33" s="313">
        <v>27.0</v>
      </c>
      <c r="AG33" s="313">
        <v>28.0</v>
      </c>
      <c r="AH33" s="313">
        <v>29.0</v>
      </c>
      <c r="AI33" s="313">
        <v>30.0</v>
      </c>
      <c r="AJ33" s="313">
        <v>31.0</v>
      </c>
      <c r="AK33" s="244"/>
      <c r="AL33" s="232"/>
      <c r="AM33" s="60" t="str">
        <f t="shared" si="1"/>
        <v/>
      </c>
      <c r="AN33" s="60"/>
      <c r="AO33" s="60"/>
      <c r="AP33" s="60"/>
      <c r="AQ33" s="60"/>
      <c r="AR33" s="60"/>
      <c r="AS33" s="29"/>
      <c r="AT33" s="29"/>
    </row>
    <row r="34" ht="15.75" customHeight="1">
      <c r="A34" s="318" t="s">
        <v>4</v>
      </c>
      <c r="B34" s="329" t="s">
        <v>5</v>
      </c>
      <c r="C34" s="318" t="s">
        <v>6</v>
      </c>
      <c r="D34" s="329" t="s">
        <v>7</v>
      </c>
      <c r="E34" s="318" t="s">
        <v>8</v>
      </c>
      <c r="F34" s="313" t="s">
        <v>9</v>
      </c>
      <c r="G34" s="313" t="s">
        <v>10</v>
      </c>
      <c r="H34" s="313" t="s">
        <v>11</v>
      </c>
      <c r="I34" s="313" t="s">
        <v>12</v>
      </c>
      <c r="J34" s="313" t="s">
        <v>12</v>
      </c>
      <c r="K34" s="313" t="s">
        <v>13</v>
      </c>
      <c r="L34" s="313" t="s">
        <v>15</v>
      </c>
      <c r="M34" s="313" t="s">
        <v>9</v>
      </c>
      <c r="N34" s="313" t="s">
        <v>10</v>
      </c>
      <c r="O34" s="313" t="s">
        <v>11</v>
      </c>
      <c r="P34" s="313" t="s">
        <v>12</v>
      </c>
      <c r="Q34" s="313" t="s">
        <v>12</v>
      </c>
      <c r="R34" s="313" t="s">
        <v>13</v>
      </c>
      <c r="S34" s="313" t="s">
        <v>15</v>
      </c>
      <c r="T34" s="313" t="s">
        <v>9</v>
      </c>
      <c r="U34" s="313" t="s">
        <v>10</v>
      </c>
      <c r="V34" s="313" t="s">
        <v>11</v>
      </c>
      <c r="W34" s="313" t="s">
        <v>12</v>
      </c>
      <c r="X34" s="313" t="s">
        <v>12</v>
      </c>
      <c r="Y34" s="313" t="s">
        <v>13</v>
      </c>
      <c r="Z34" s="313" t="s">
        <v>15</v>
      </c>
      <c r="AA34" s="313" t="s">
        <v>9</v>
      </c>
      <c r="AB34" s="313" t="s">
        <v>10</v>
      </c>
      <c r="AC34" s="313" t="s">
        <v>11</v>
      </c>
      <c r="AD34" s="313" t="s">
        <v>12</v>
      </c>
      <c r="AE34" s="313" t="s">
        <v>12</v>
      </c>
      <c r="AF34" s="313" t="s">
        <v>13</v>
      </c>
      <c r="AG34" s="334" t="s">
        <v>15</v>
      </c>
      <c r="AH34" s="313" t="s">
        <v>9</v>
      </c>
      <c r="AI34" s="313" t="s">
        <v>10</v>
      </c>
      <c r="AJ34" s="313" t="s">
        <v>11</v>
      </c>
      <c r="AK34" s="244"/>
      <c r="AL34" s="232"/>
      <c r="AM34" s="60" t="str">
        <f t="shared" si="1"/>
        <v/>
      </c>
      <c r="AN34" s="60"/>
      <c r="AO34" s="60"/>
      <c r="AP34" s="60"/>
      <c r="AQ34" s="60"/>
      <c r="AR34" s="60"/>
      <c r="AS34" s="29"/>
      <c r="AT34" s="29"/>
    </row>
    <row r="35" ht="15.75" customHeight="1">
      <c r="A35" s="225" t="s">
        <v>269</v>
      </c>
      <c r="B35" s="275" t="s">
        <v>445</v>
      </c>
      <c r="C35" s="225">
        <v>12434.0</v>
      </c>
      <c r="D35" s="338" t="s">
        <v>447</v>
      </c>
      <c r="E35" s="340" t="s">
        <v>449</v>
      </c>
      <c r="F35" s="344" t="s">
        <v>22</v>
      </c>
      <c r="G35" s="344" t="s">
        <v>22</v>
      </c>
      <c r="H35" s="344" t="s">
        <v>22</v>
      </c>
      <c r="I35" s="344" t="s">
        <v>22</v>
      </c>
      <c r="J35" s="344" t="s">
        <v>22</v>
      </c>
      <c r="K35" s="236" t="s">
        <v>27</v>
      </c>
      <c r="L35" s="237"/>
      <c r="M35" s="237"/>
      <c r="N35" s="252" t="s">
        <v>27</v>
      </c>
      <c r="O35" s="236" t="s">
        <v>18</v>
      </c>
      <c r="P35" s="236" t="s">
        <v>18</v>
      </c>
      <c r="Q35" s="236" t="s">
        <v>18</v>
      </c>
      <c r="R35" s="237"/>
      <c r="S35" s="237"/>
      <c r="T35" s="237"/>
      <c r="U35" s="236" t="s">
        <v>27</v>
      </c>
      <c r="V35" s="236" t="s">
        <v>27</v>
      </c>
      <c r="W35" s="236" t="s">
        <v>18</v>
      </c>
      <c r="X35" s="237"/>
      <c r="Y35" s="237"/>
      <c r="Z35" s="252" t="s">
        <v>18</v>
      </c>
      <c r="AA35" s="236" t="s">
        <v>27</v>
      </c>
      <c r="AB35" s="236" t="s">
        <v>27</v>
      </c>
      <c r="AC35" s="236" t="s">
        <v>18</v>
      </c>
      <c r="AD35" s="237"/>
      <c r="AE35" s="237"/>
      <c r="AF35" s="237"/>
      <c r="AG35" s="236" t="s">
        <v>18</v>
      </c>
      <c r="AH35" s="236" t="s">
        <v>27</v>
      </c>
      <c r="AI35" s="236" t="s">
        <v>27</v>
      </c>
      <c r="AJ35" s="237"/>
      <c r="AK35" s="244"/>
      <c r="AL35" s="232"/>
      <c r="AM35" s="60" t="str">
        <f t="shared" si="1"/>
        <v>NO CORRESPONDE FRANCO</v>
      </c>
      <c r="AN35" s="60">
        <f t="shared" ref="AN35:AN45" si="20">COUNTIF($F35:$AJ35,"LLT")</f>
        <v>7</v>
      </c>
      <c r="AO35" s="60">
        <f t="shared" ref="AO35:AO45" si="21">COUNTIF($F35:$AJ35,"LM")</f>
        <v>0</v>
      </c>
      <c r="AP35" s="60">
        <f t="shared" ref="AP35:AP45" si="22">COUNTIF($F35:$AJ35,"FaC")</f>
        <v>0</v>
      </c>
      <c r="AQ35" s="60">
        <f t="shared" ref="AQ35:AQ45" si="23">COUNTIF($F35:$AJ35,"LxE")</f>
        <v>0</v>
      </c>
      <c r="AR35" s="60">
        <f t="shared" ref="AR35:AR45" si="24">COUNTIF($F35:$AJ35,"LA")</f>
        <v>5</v>
      </c>
      <c r="AS35" s="60">
        <f t="shared" ref="AS35:AS45" si="25">SUM(AO35:AR35)</f>
        <v>5</v>
      </c>
      <c r="AT35" s="29"/>
    </row>
    <row r="36" ht="15.75" customHeight="1">
      <c r="A36" s="225" t="s">
        <v>269</v>
      </c>
      <c r="B36" s="275" t="s">
        <v>475</v>
      </c>
      <c r="C36" s="225">
        <v>12899.0</v>
      </c>
      <c r="D36" s="226" t="s">
        <v>476</v>
      </c>
      <c r="E36" s="225" t="s">
        <v>477</v>
      </c>
      <c r="F36" s="237"/>
      <c r="G36" s="237"/>
      <c r="H36" s="237"/>
      <c r="I36" s="236" t="s">
        <v>18</v>
      </c>
      <c r="J36" s="236" t="s">
        <v>18</v>
      </c>
      <c r="K36" s="236" t="s">
        <v>18</v>
      </c>
      <c r="L36" s="237"/>
      <c r="M36" s="237"/>
      <c r="N36" s="252" t="s">
        <v>18</v>
      </c>
      <c r="O36" s="236" t="s">
        <v>18</v>
      </c>
      <c r="P36" s="236" t="s">
        <v>18</v>
      </c>
      <c r="Q36" s="236" t="s">
        <v>18</v>
      </c>
      <c r="R36" s="237"/>
      <c r="S36" s="237"/>
      <c r="T36" s="237"/>
      <c r="U36" s="236" t="s">
        <v>18</v>
      </c>
      <c r="V36" s="236" t="s">
        <v>18</v>
      </c>
      <c r="W36" s="236" t="s">
        <v>18</v>
      </c>
      <c r="X36" s="237"/>
      <c r="Y36" s="237"/>
      <c r="Z36" s="252" t="s">
        <v>27</v>
      </c>
      <c r="AA36" s="252" t="s">
        <v>27</v>
      </c>
      <c r="AB36" s="236" t="s">
        <v>18</v>
      </c>
      <c r="AC36" s="236" t="s">
        <v>18</v>
      </c>
      <c r="AD36" s="237"/>
      <c r="AE36" s="237"/>
      <c r="AF36" s="237"/>
      <c r="AG36" s="236" t="s">
        <v>18</v>
      </c>
      <c r="AH36" s="236" t="s">
        <v>18</v>
      </c>
      <c r="AI36" s="236" t="s">
        <v>18</v>
      </c>
      <c r="AJ36" s="237"/>
      <c r="AK36" s="363" t="s">
        <v>238</v>
      </c>
      <c r="AL36" s="232"/>
      <c r="AM36" s="60" t="str">
        <f t="shared" si="1"/>
        <v>NO CORRESPONDE FRANCO</v>
      </c>
      <c r="AN36" s="60">
        <f t="shared" si="20"/>
        <v>15</v>
      </c>
      <c r="AO36" s="60">
        <f t="shared" si="21"/>
        <v>0</v>
      </c>
      <c r="AP36" s="60">
        <f t="shared" si="22"/>
        <v>0</v>
      </c>
      <c r="AQ36" s="60">
        <f t="shared" si="23"/>
        <v>0</v>
      </c>
      <c r="AR36" s="60">
        <f t="shared" si="24"/>
        <v>0</v>
      </c>
      <c r="AS36" s="60">
        <f t="shared" si="25"/>
        <v>0</v>
      </c>
      <c r="AT36" s="213"/>
    </row>
    <row r="37" ht="15.75" customHeight="1">
      <c r="A37" s="225" t="s">
        <v>33</v>
      </c>
      <c r="B37" s="226" t="s">
        <v>485</v>
      </c>
      <c r="C37" s="225">
        <v>3.2445282E7</v>
      </c>
      <c r="D37" s="226" t="s">
        <v>486</v>
      </c>
      <c r="E37" s="225" t="s">
        <v>487</v>
      </c>
      <c r="F37" s="237"/>
      <c r="G37" s="237"/>
      <c r="H37" s="237"/>
      <c r="I37" s="236" t="s">
        <v>27</v>
      </c>
      <c r="J37" s="236" t="s">
        <v>27</v>
      </c>
      <c r="K37" s="236" t="s">
        <v>27</v>
      </c>
      <c r="L37" s="237"/>
      <c r="M37" s="237"/>
      <c r="N37" s="241" t="s">
        <v>32</v>
      </c>
      <c r="O37" s="236" t="s">
        <v>27</v>
      </c>
      <c r="P37" s="236" t="s">
        <v>27</v>
      </c>
      <c r="Q37" s="236" t="s">
        <v>27</v>
      </c>
      <c r="R37" s="237"/>
      <c r="S37" s="237"/>
      <c r="T37" s="237"/>
      <c r="U37" s="240" t="s">
        <v>79</v>
      </c>
      <c r="V37" s="236" t="s">
        <v>27</v>
      </c>
      <c r="W37" s="236" t="s">
        <v>27</v>
      </c>
      <c r="X37" s="367" t="s">
        <v>27</v>
      </c>
      <c r="Y37" s="237"/>
      <c r="Z37" s="96" t="s">
        <v>22</v>
      </c>
      <c r="AA37" s="96" t="s">
        <v>22</v>
      </c>
      <c r="AB37" s="96" t="s">
        <v>22</v>
      </c>
      <c r="AC37" s="96" t="s">
        <v>22</v>
      </c>
      <c r="AD37" s="96" t="s">
        <v>22</v>
      </c>
      <c r="AE37" s="237"/>
      <c r="AF37" s="237"/>
      <c r="AG37" s="240" t="s">
        <v>79</v>
      </c>
      <c r="AH37" s="236" t="s">
        <v>27</v>
      </c>
      <c r="AI37" s="241" t="s">
        <v>32</v>
      </c>
      <c r="AJ37" s="237"/>
      <c r="AK37" s="368" t="s">
        <v>494</v>
      </c>
      <c r="AL37" s="232"/>
      <c r="AM37" s="60" t="str">
        <f t="shared" si="1"/>
        <v>NO CORRESPONDE FRANCO</v>
      </c>
      <c r="AN37" s="60">
        <f t="shared" si="20"/>
        <v>0</v>
      </c>
      <c r="AO37" s="60">
        <f t="shared" si="21"/>
        <v>0</v>
      </c>
      <c r="AP37" s="60">
        <f t="shared" si="22"/>
        <v>0</v>
      </c>
      <c r="AQ37" s="60">
        <f t="shared" si="23"/>
        <v>0</v>
      </c>
      <c r="AR37" s="60">
        <f t="shared" si="24"/>
        <v>5</v>
      </c>
      <c r="AS37" s="60">
        <f t="shared" si="25"/>
        <v>5</v>
      </c>
      <c r="AT37" s="29"/>
    </row>
    <row r="38" ht="15.75" customHeight="1">
      <c r="A38" s="227" t="s">
        <v>33</v>
      </c>
      <c r="B38" s="275" t="s">
        <v>499</v>
      </c>
      <c r="C38" s="225">
        <v>3.2003476E7</v>
      </c>
      <c r="D38" s="338" t="s">
        <v>500</v>
      </c>
      <c r="E38" s="225" t="s">
        <v>501</v>
      </c>
      <c r="F38" s="237"/>
      <c r="G38" s="237"/>
      <c r="H38" s="237"/>
      <c r="I38" s="236" t="s">
        <v>27</v>
      </c>
      <c r="J38" s="236" t="s">
        <v>27</v>
      </c>
      <c r="K38" s="236" t="s">
        <v>27</v>
      </c>
      <c r="L38" s="236" t="s">
        <v>27</v>
      </c>
      <c r="M38" s="237"/>
      <c r="N38" s="241" t="s">
        <v>32</v>
      </c>
      <c r="O38" s="236" t="s">
        <v>27</v>
      </c>
      <c r="P38" s="236" t="s">
        <v>27</v>
      </c>
      <c r="Q38" s="236" t="s">
        <v>27</v>
      </c>
      <c r="R38" s="237"/>
      <c r="S38" s="237"/>
      <c r="T38" s="237"/>
      <c r="U38" s="236" t="s">
        <v>18</v>
      </c>
      <c r="V38" s="240" t="s">
        <v>79</v>
      </c>
      <c r="W38" s="236" t="s">
        <v>27</v>
      </c>
      <c r="X38" s="237"/>
      <c r="Y38" s="252" t="s">
        <v>27</v>
      </c>
      <c r="Z38" s="236" t="s">
        <v>27</v>
      </c>
      <c r="AA38" s="236" t="s">
        <v>27</v>
      </c>
      <c r="AB38" s="236" t="s">
        <v>27</v>
      </c>
      <c r="AC38" s="236" t="s">
        <v>27</v>
      </c>
      <c r="AD38" s="237"/>
      <c r="AE38" s="237"/>
      <c r="AF38" s="237"/>
      <c r="AG38" s="236" t="s">
        <v>27</v>
      </c>
      <c r="AH38" s="236" t="s">
        <v>27</v>
      </c>
      <c r="AI38" s="236" t="s">
        <v>18</v>
      </c>
      <c r="AJ38" s="237"/>
      <c r="AK38" s="244"/>
      <c r="AL38" s="232"/>
      <c r="AM38" s="60" t="str">
        <f t="shared" si="1"/>
        <v/>
      </c>
      <c r="AN38" s="60">
        <f t="shared" si="20"/>
        <v>2</v>
      </c>
      <c r="AO38" s="60">
        <f t="shared" si="21"/>
        <v>0</v>
      </c>
      <c r="AP38" s="60">
        <f t="shared" si="22"/>
        <v>0</v>
      </c>
      <c r="AQ38" s="60">
        <f t="shared" si="23"/>
        <v>0</v>
      </c>
      <c r="AR38" s="60">
        <f t="shared" si="24"/>
        <v>0</v>
      </c>
      <c r="AS38" s="60">
        <f t="shared" si="25"/>
        <v>0</v>
      </c>
      <c r="AT38" s="29"/>
    </row>
    <row r="39" ht="15.75" customHeight="1">
      <c r="A39" s="227" t="s">
        <v>33</v>
      </c>
      <c r="B39" s="275" t="s">
        <v>516</v>
      </c>
      <c r="C39" s="227">
        <v>4.1706256E7</v>
      </c>
      <c r="D39" s="275" t="s">
        <v>517</v>
      </c>
      <c r="E39" s="227" t="s">
        <v>518</v>
      </c>
      <c r="F39" s="372" t="s">
        <v>519</v>
      </c>
      <c r="G39" s="372" t="s">
        <v>519</v>
      </c>
      <c r="H39" s="372" t="s">
        <v>519</v>
      </c>
      <c r="I39" s="372" t="s">
        <v>519</v>
      </c>
      <c r="J39" s="372" t="s">
        <v>519</v>
      </c>
      <c r="K39" s="372" t="s">
        <v>519</v>
      </c>
      <c r="L39" s="372" t="s">
        <v>519</v>
      </c>
      <c r="M39" s="372" t="s">
        <v>519</v>
      </c>
      <c r="N39" s="372" t="s">
        <v>519</v>
      </c>
      <c r="O39" s="372" t="s">
        <v>519</v>
      </c>
      <c r="P39" s="372" t="s">
        <v>519</v>
      </c>
      <c r="Q39" s="372" t="s">
        <v>519</v>
      </c>
      <c r="R39" s="372" t="s">
        <v>519</v>
      </c>
      <c r="S39" s="372" t="s">
        <v>519</v>
      </c>
      <c r="T39" s="372" t="s">
        <v>519</v>
      </c>
      <c r="U39" s="372" t="s">
        <v>519</v>
      </c>
      <c r="V39" s="372" t="s">
        <v>519</v>
      </c>
      <c r="W39" s="372" t="s">
        <v>519</v>
      </c>
      <c r="X39" s="372" t="s">
        <v>519</v>
      </c>
      <c r="Y39" s="372" t="s">
        <v>519</v>
      </c>
      <c r="Z39" s="372" t="s">
        <v>519</v>
      </c>
      <c r="AA39" s="372" t="s">
        <v>519</v>
      </c>
      <c r="AB39" s="372" t="s">
        <v>519</v>
      </c>
      <c r="AC39" s="372" t="s">
        <v>519</v>
      </c>
      <c r="AD39" s="372" t="s">
        <v>519</v>
      </c>
      <c r="AE39" s="372" t="s">
        <v>519</v>
      </c>
      <c r="AF39" s="372" t="s">
        <v>519</v>
      </c>
      <c r="AG39" s="372" t="s">
        <v>519</v>
      </c>
      <c r="AH39" s="372" t="s">
        <v>519</v>
      </c>
      <c r="AI39" s="372" t="s">
        <v>519</v>
      </c>
      <c r="AJ39" s="372" t="s">
        <v>519</v>
      </c>
      <c r="AK39" s="373" t="s">
        <v>526</v>
      </c>
      <c r="AL39" s="232"/>
      <c r="AM39" s="60" t="str">
        <f t="shared" si="1"/>
        <v/>
      </c>
      <c r="AN39" s="60">
        <f t="shared" si="20"/>
        <v>0</v>
      </c>
      <c r="AO39" s="60">
        <f t="shared" si="21"/>
        <v>0</v>
      </c>
      <c r="AP39" s="60">
        <f t="shared" si="22"/>
        <v>0</v>
      </c>
      <c r="AQ39" s="60">
        <f t="shared" si="23"/>
        <v>0</v>
      </c>
      <c r="AR39" s="60">
        <f t="shared" si="24"/>
        <v>0</v>
      </c>
      <c r="AS39" s="60">
        <f t="shared" si="25"/>
        <v>0</v>
      </c>
      <c r="AT39" s="29"/>
    </row>
    <row r="40" ht="15.75" customHeight="1">
      <c r="A40" s="227" t="s">
        <v>33</v>
      </c>
      <c r="B40" s="376" t="s">
        <v>535</v>
      </c>
      <c r="C40" s="225">
        <v>4.3988966E7</v>
      </c>
      <c r="D40" s="226" t="s">
        <v>537</v>
      </c>
      <c r="E40" s="225" t="s">
        <v>538</v>
      </c>
      <c r="F40" s="237"/>
      <c r="G40" s="237"/>
      <c r="H40" s="237"/>
      <c r="I40" s="147" t="s">
        <v>19</v>
      </c>
      <c r="J40" s="147" t="s">
        <v>19</v>
      </c>
      <c r="K40" s="147" t="s">
        <v>19</v>
      </c>
      <c r="L40" s="147" t="s">
        <v>19</v>
      </c>
      <c r="M40" s="237"/>
      <c r="N40" s="147" t="s">
        <v>19</v>
      </c>
      <c r="O40" s="236" t="s">
        <v>18</v>
      </c>
      <c r="P40" s="240" t="s">
        <v>79</v>
      </c>
      <c r="Q40" s="236" t="s">
        <v>27</v>
      </c>
      <c r="R40" s="252" t="s">
        <v>27</v>
      </c>
      <c r="S40" s="237"/>
      <c r="T40" s="237"/>
      <c r="U40" s="241" t="s">
        <v>32</v>
      </c>
      <c r="V40" s="236" t="s">
        <v>18</v>
      </c>
      <c r="W40" s="236" t="s">
        <v>18</v>
      </c>
      <c r="X40" s="237"/>
      <c r="Y40" s="237"/>
      <c r="Z40" s="236" t="s">
        <v>27</v>
      </c>
      <c r="AA40" s="236" t="s">
        <v>27</v>
      </c>
      <c r="AB40" s="91" t="s">
        <v>19</v>
      </c>
      <c r="AC40" s="379" t="s">
        <v>79</v>
      </c>
      <c r="AD40" s="252" t="s">
        <v>27</v>
      </c>
      <c r="AE40" s="237"/>
      <c r="AF40" s="237"/>
      <c r="AG40" s="236" t="s">
        <v>27</v>
      </c>
      <c r="AH40" s="236" t="s">
        <v>27</v>
      </c>
      <c r="AI40" s="236" t="s">
        <v>27</v>
      </c>
      <c r="AJ40" s="237"/>
      <c r="AK40" s="244"/>
      <c r="AL40" s="232"/>
      <c r="AM40" s="60" t="str">
        <f t="shared" si="1"/>
        <v>NO CORRESPONDE FRANCO</v>
      </c>
      <c r="AN40" s="60">
        <f t="shared" si="20"/>
        <v>3</v>
      </c>
      <c r="AO40" s="60">
        <f t="shared" si="21"/>
        <v>6</v>
      </c>
      <c r="AP40" s="60">
        <f t="shared" si="22"/>
        <v>0</v>
      </c>
      <c r="AQ40" s="60">
        <f t="shared" si="23"/>
        <v>0</v>
      </c>
      <c r="AR40" s="60">
        <f t="shared" si="24"/>
        <v>0</v>
      </c>
      <c r="AS40" s="60">
        <f t="shared" si="25"/>
        <v>6</v>
      </c>
      <c r="AT40" s="29"/>
    </row>
    <row r="41" ht="15.75" customHeight="1">
      <c r="A41" s="227" t="s">
        <v>33</v>
      </c>
      <c r="B41" s="226" t="s">
        <v>551</v>
      </c>
      <c r="C41" s="225">
        <v>3.7341342E7</v>
      </c>
      <c r="D41" s="338" t="s">
        <v>552</v>
      </c>
      <c r="E41" s="225" t="s">
        <v>553</v>
      </c>
      <c r="F41" s="237"/>
      <c r="G41" s="237"/>
      <c r="H41" s="382" t="s">
        <v>22</v>
      </c>
      <c r="I41" s="382" t="s">
        <v>22</v>
      </c>
      <c r="J41" s="382" t="s">
        <v>22</v>
      </c>
      <c r="K41" s="382" t="s">
        <v>22</v>
      </c>
      <c r="L41" s="382" t="s">
        <v>22</v>
      </c>
      <c r="M41" s="382" t="s">
        <v>22</v>
      </c>
      <c r="N41" s="382" t="s">
        <v>22</v>
      </c>
      <c r="O41" s="382" t="s">
        <v>22</v>
      </c>
      <c r="P41" s="382" t="s">
        <v>22</v>
      </c>
      <c r="Q41" s="382" t="s">
        <v>22</v>
      </c>
      <c r="R41" s="382" t="s">
        <v>22</v>
      </c>
      <c r="S41" s="382" t="s">
        <v>22</v>
      </c>
      <c r="T41" s="382" t="s">
        <v>22</v>
      </c>
      <c r="U41" s="382" t="s">
        <v>22</v>
      </c>
      <c r="V41" s="236" t="s">
        <v>27</v>
      </c>
      <c r="W41" s="236" t="s">
        <v>27</v>
      </c>
      <c r="X41" s="237"/>
      <c r="Y41" s="237"/>
      <c r="Z41" s="236" t="s">
        <v>27</v>
      </c>
      <c r="AA41" s="236" t="s">
        <v>27</v>
      </c>
      <c r="AB41" s="236" t="s">
        <v>27</v>
      </c>
      <c r="AC41" s="236" t="s">
        <v>27</v>
      </c>
      <c r="AD41" s="237"/>
      <c r="AE41" s="237"/>
      <c r="AF41" s="237"/>
      <c r="AG41" s="236" t="s">
        <v>27</v>
      </c>
      <c r="AH41" s="236" t="s">
        <v>27</v>
      </c>
      <c r="AI41" s="236" t="s">
        <v>27</v>
      </c>
      <c r="AJ41" s="237"/>
      <c r="AK41" s="244"/>
      <c r="AL41" s="232"/>
      <c r="AM41" s="60" t="str">
        <f t="shared" si="1"/>
        <v>NO CORRESPONDE FRANCO</v>
      </c>
      <c r="AN41" s="60">
        <f t="shared" si="20"/>
        <v>0</v>
      </c>
      <c r="AO41" s="60">
        <f t="shared" si="21"/>
        <v>0</v>
      </c>
      <c r="AP41" s="60">
        <f t="shared" si="22"/>
        <v>0</v>
      </c>
      <c r="AQ41" s="60">
        <f t="shared" si="23"/>
        <v>0</v>
      </c>
      <c r="AR41" s="60">
        <f t="shared" si="24"/>
        <v>14</v>
      </c>
      <c r="AS41" s="60">
        <f t="shared" si="25"/>
        <v>14</v>
      </c>
      <c r="AT41" s="29"/>
    </row>
    <row r="42" ht="15.75" customHeight="1">
      <c r="A42" s="225" t="s">
        <v>33</v>
      </c>
      <c r="B42" s="275" t="s">
        <v>561</v>
      </c>
      <c r="C42" s="227">
        <v>3.2784025E7</v>
      </c>
      <c r="D42" s="275" t="s">
        <v>563</v>
      </c>
      <c r="E42" s="227" t="s">
        <v>564</v>
      </c>
      <c r="F42" s="237"/>
      <c r="G42" s="237"/>
      <c r="H42" s="237"/>
      <c r="I42" s="236" t="s">
        <v>27</v>
      </c>
      <c r="J42" s="236" t="s">
        <v>27</v>
      </c>
      <c r="K42" s="236" t="s">
        <v>27</v>
      </c>
      <c r="L42" s="237"/>
      <c r="M42" s="237"/>
      <c r="N42" s="241" t="s">
        <v>32</v>
      </c>
      <c r="O42" s="236" t="s">
        <v>27</v>
      </c>
      <c r="P42" s="236" t="s">
        <v>27</v>
      </c>
      <c r="Q42" s="236" t="s">
        <v>27</v>
      </c>
      <c r="R42" s="237"/>
      <c r="S42" s="237"/>
      <c r="T42" s="237"/>
      <c r="U42" s="236" t="s">
        <v>18</v>
      </c>
      <c r="V42" s="236" t="s">
        <v>18</v>
      </c>
      <c r="W42" s="236" t="s">
        <v>27</v>
      </c>
      <c r="X42" s="237"/>
      <c r="Y42" s="237"/>
      <c r="Z42" s="236" t="s">
        <v>27</v>
      </c>
      <c r="AA42" s="236" t="s">
        <v>27</v>
      </c>
      <c r="AB42" s="236" t="s">
        <v>18</v>
      </c>
      <c r="AC42" s="236" t="s">
        <v>128</v>
      </c>
      <c r="AD42" s="237"/>
      <c r="AE42" s="237"/>
      <c r="AF42" s="237"/>
      <c r="AG42" s="236" t="s">
        <v>27</v>
      </c>
      <c r="AH42" s="236" t="s">
        <v>18</v>
      </c>
      <c r="AI42" s="236" t="s">
        <v>18</v>
      </c>
      <c r="AJ42" s="237"/>
      <c r="AK42" s="244"/>
      <c r="AL42" s="232"/>
      <c r="AM42" s="60" t="str">
        <f t="shared" si="1"/>
        <v>NO CORRESPONDE FRANCO</v>
      </c>
      <c r="AN42" s="60">
        <f t="shared" si="20"/>
        <v>5</v>
      </c>
      <c r="AO42" s="60">
        <f t="shared" si="21"/>
        <v>0</v>
      </c>
      <c r="AP42" s="60">
        <f t="shared" si="22"/>
        <v>0</v>
      </c>
      <c r="AQ42" s="60">
        <f t="shared" si="23"/>
        <v>0</v>
      </c>
      <c r="AR42" s="60">
        <f t="shared" si="24"/>
        <v>0</v>
      </c>
      <c r="AS42" s="60">
        <f t="shared" si="25"/>
        <v>0</v>
      </c>
      <c r="AT42" s="29"/>
    </row>
    <row r="43" ht="15.75" customHeight="1">
      <c r="A43" s="227" t="s">
        <v>33</v>
      </c>
      <c r="B43" s="275" t="s">
        <v>569</v>
      </c>
      <c r="C43" s="227">
        <v>2.1474952E7</v>
      </c>
      <c r="D43" s="275" t="s">
        <v>570</v>
      </c>
      <c r="E43" s="227" t="s">
        <v>571</v>
      </c>
      <c r="F43" s="237"/>
      <c r="G43" s="237"/>
      <c r="H43" s="237"/>
      <c r="I43" s="300"/>
      <c r="J43" s="236" t="s">
        <v>18</v>
      </c>
      <c r="K43" s="236" t="s">
        <v>18</v>
      </c>
      <c r="L43" s="237"/>
      <c r="M43" s="237"/>
      <c r="N43" s="236" t="s">
        <v>18</v>
      </c>
      <c r="O43" s="236" t="s">
        <v>27</v>
      </c>
      <c r="P43" s="236" t="s">
        <v>18</v>
      </c>
      <c r="Q43" s="382" t="s">
        <v>22</v>
      </c>
      <c r="R43" s="382" t="s">
        <v>22</v>
      </c>
      <c r="S43" s="382" t="s">
        <v>22</v>
      </c>
      <c r="T43" s="382" t="s">
        <v>22</v>
      </c>
      <c r="U43" s="382" t="s">
        <v>22</v>
      </c>
      <c r="V43" s="382" t="s">
        <v>22</v>
      </c>
      <c r="W43" s="382" t="s">
        <v>22</v>
      </c>
      <c r="X43" s="237"/>
      <c r="Y43" s="237"/>
      <c r="Z43" s="236" t="s">
        <v>18</v>
      </c>
      <c r="AA43" s="236" t="s">
        <v>18</v>
      </c>
      <c r="AB43" s="236" t="s">
        <v>18</v>
      </c>
      <c r="AC43" s="236" t="s">
        <v>18</v>
      </c>
      <c r="AD43" s="237"/>
      <c r="AE43" s="237"/>
      <c r="AF43" s="237"/>
      <c r="AG43" s="236" t="s">
        <v>18</v>
      </c>
      <c r="AH43" s="236" t="s">
        <v>18</v>
      </c>
      <c r="AI43" s="236" t="s">
        <v>27</v>
      </c>
      <c r="AJ43" s="237"/>
      <c r="AK43" s="244"/>
      <c r="AL43" s="232"/>
      <c r="AM43" s="60" t="str">
        <f t="shared" si="1"/>
        <v>NO CORRESPONDE FRANCO</v>
      </c>
      <c r="AN43" s="60">
        <f t="shared" si="20"/>
        <v>10</v>
      </c>
      <c r="AO43" s="60">
        <f t="shared" si="21"/>
        <v>0</v>
      </c>
      <c r="AP43" s="60">
        <f t="shared" si="22"/>
        <v>0</v>
      </c>
      <c r="AQ43" s="60">
        <f t="shared" si="23"/>
        <v>0</v>
      </c>
      <c r="AR43" s="60">
        <f t="shared" si="24"/>
        <v>7</v>
      </c>
      <c r="AS43" s="60">
        <f t="shared" si="25"/>
        <v>7</v>
      </c>
      <c r="AT43" s="29"/>
    </row>
    <row r="44" ht="15.75" customHeight="1">
      <c r="A44" s="227" t="s">
        <v>33</v>
      </c>
      <c r="B44" s="275" t="s">
        <v>576</v>
      </c>
      <c r="C44" s="227">
        <v>4.7257254E7</v>
      </c>
      <c r="D44" s="275" t="s">
        <v>577</v>
      </c>
      <c r="E44" s="227" t="s">
        <v>578</v>
      </c>
      <c r="F44" s="237"/>
      <c r="G44" s="237"/>
      <c r="H44" s="237"/>
      <c r="I44" s="236" t="s">
        <v>18</v>
      </c>
      <c r="J44" s="236" t="s">
        <v>18</v>
      </c>
      <c r="K44" s="236" t="s">
        <v>18</v>
      </c>
      <c r="L44" s="237"/>
      <c r="M44" s="237"/>
      <c r="N44" s="236" t="s">
        <v>18</v>
      </c>
      <c r="O44" s="236" t="s">
        <v>18</v>
      </c>
      <c r="P44" s="236" t="s">
        <v>18</v>
      </c>
      <c r="Q44" s="236" t="s">
        <v>18</v>
      </c>
      <c r="R44" s="237"/>
      <c r="S44" s="237"/>
      <c r="T44" s="237"/>
      <c r="U44" s="96" t="s">
        <v>22</v>
      </c>
      <c r="V44" s="96" t="s">
        <v>22</v>
      </c>
      <c r="W44" s="96" t="s">
        <v>22</v>
      </c>
      <c r="X44" s="96" t="s">
        <v>22</v>
      </c>
      <c r="Y44" s="96" t="s">
        <v>22</v>
      </c>
      <c r="Z44" s="96" t="s">
        <v>22</v>
      </c>
      <c r="AA44" s="96" t="s">
        <v>22</v>
      </c>
      <c r="AB44" s="236" t="s">
        <v>18</v>
      </c>
      <c r="AC44" s="236" t="s">
        <v>18</v>
      </c>
      <c r="AD44" s="237"/>
      <c r="AE44" s="237"/>
      <c r="AF44" s="237"/>
      <c r="AG44" s="300"/>
      <c r="AH44" s="236" t="s">
        <v>27</v>
      </c>
      <c r="AI44" s="236" t="s">
        <v>18</v>
      </c>
      <c r="AJ44" s="237"/>
      <c r="AK44" s="244"/>
      <c r="AL44" s="232"/>
      <c r="AM44" s="60" t="str">
        <f t="shared" si="1"/>
        <v>NO CORRESPONDE FRANCO</v>
      </c>
      <c r="AN44" s="60">
        <f t="shared" si="20"/>
        <v>10</v>
      </c>
      <c r="AO44" s="60">
        <f t="shared" si="21"/>
        <v>0</v>
      </c>
      <c r="AP44" s="60">
        <f t="shared" si="22"/>
        <v>0</v>
      </c>
      <c r="AQ44" s="60">
        <f t="shared" si="23"/>
        <v>0</v>
      </c>
      <c r="AR44" s="60">
        <f t="shared" si="24"/>
        <v>7</v>
      </c>
      <c r="AS44" s="60">
        <f t="shared" si="25"/>
        <v>7</v>
      </c>
      <c r="AT44" s="29"/>
    </row>
    <row r="45" ht="15.75" customHeight="1">
      <c r="A45" s="227" t="s">
        <v>33</v>
      </c>
      <c r="B45" s="275" t="s">
        <v>583</v>
      </c>
      <c r="C45" s="227">
        <v>3.6992993E7</v>
      </c>
      <c r="D45" s="276" t="s">
        <v>584</v>
      </c>
      <c r="E45" s="391" t="s">
        <v>585</v>
      </c>
      <c r="F45" s="237"/>
      <c r="G45" s="367" t="s">
        <v>27</v>
      </c>
      <c r="H45" s="237"/>
      <c r="I45" s="240" t="s">
        <v>79</v>
      </c>
      <c r="J45" s="236" t="s">
        <v>27</v>
      </c>
      <c r="K45" s="236" t="s">
        <v>27</v>
      </c>
      <c r="L45" s="237"/>
      <c r="M45" s="237"/>
      <c r="N45" s="236" t="s">
        <v>27</v>
      </c>
      <c r="O45" s="236" t="s">
        <v>27</v>
      </c>
      <c r="P45" s="236" t="s">
        <v>27</v>
      </c>
      <c r="Q45" s="236" t="s">
        <v>27</v>
      </c>
      <c r="R45" s="237"/>
      <c r="S45" s="237"/>
      <c r="T45" s="237"/>
      <c r="U45" s="236" t="s">
        <v>27</v>
      </c>
      <c r="V45" s="236" t="s">
        <v>27</v>
      </c>
      <c r="W45" s="236" t="s">
        <v>27</v>
      </c>
      <c r="X45" s="237"/>
      <c r="Y45" s="237"/>
      <c r="Z45" s="236" t="s">
        <v>27</v>
      </c>
      <c r="AA45" s="236" t="s">
        <v>27</v>
      </c>
      <c r="AB45" s="236" t="s">
        <v>27</v>
      </c>
      <c r="AC45" s="236" t="s">
        <v>27</v>
      </c>
      <c r="AD45" s="237"/>
      <c r="AE45" s="237"/>
      <c r="AF45" s="237"/>
      <c r="AG45" s="91" t="s">
        <v>19</v>
      </c>
      <c r="AH45" s="91" t="s">
        <v>19</v>
      </c>
      <c r="AI45" s="236" t="s">
        <v>27</v>
      </c>
      <c r="AJ45" s="237"/>
      <c r="AK45" s="244"/>
      <c r="AL45" s="232"/>
      <c r="AM45" s="60" t="str">
        <f t="shared" si="1"/>
        <v>NO CORRESPONDE FRANCO</v>
      </c>
      <c r="AN45" s="60">
        <f t="shared" si="20"/>
        <v>0</v>
      </c>
      <c r="AO45" s="60">
        <f t="shared" si="21"/>
        <v>2</v>
      </c>
      <c r="AP45" s="60">
        <f t="shared" si="22"/>
        <v>0</v>
      </c>
      <c r="AQ45" s="60">
        <f t="shared" si="23"/>
        <v>0</v>
      </c>
      <c r="AR45" s="60">
        <f t="shared" si="24"/>
        <v>0</v>
      </c>
      <c r="AS45" s="60">
        <f t="shared" si="25"/>
        <v>2</v>
      </c>
      <c r="AT45" s="29"/>
    </row>
    <row r="46" ht="15.75" customHeight="1">
      <c r="A46" s="397"/>
      <c r="B46" s="12"/>
      <c r="C46" s="12"/>
      <c r="D46" s="12"/>
      <c r="E46" s="12"/>
      <c r="F46" s="12"/>
      <c r="G46" s="12"/>
      <c r="H46" s="12"/>
      <c r="I46" s="12"/>
      <c r="J46" s="12"/>
      <c r="K46" s="12"/>
      <c r="L46" s="12"/>
      <c r="M46" s="12"/>
      <c r="N46" s="12"/>
      <c r="O46" s="12"/>
      <c r="P46" s="12"/>
      <c r="Q46" s="12"/>
      <c r="R46" s="12"/>
      <c r="S46" s="12"/>
      <c r="T46" s="12"/>
      <c r="U46" s="12"/>
      <c r="V46" s="12"/>
      <c r="W46" s="12"/>
      <c r="X46" s="12"/>
      <c r="Y46" s="12"/>
      <c r="Z46" s="12"/>
      <c r="AA46" s="12"/>
      <c r="AB46" s="12"/>
      <c r="AC46" s="12"/>
      <c r="AD46" s="12"/>
      <c r="AE46" s="12"/>
      <c r="AF46" s="12"/>
      <c r="AG46" s="12"/>
      <c r="AH46" s="12"/>
      <c r="AI46" s="23"/>
      <c r="AJ46" s="310"/>
      <c r="AK46" s="244"/>
      <c r="AL46" s="232"/>
      <c r="AM46" s="60" t="str">
        <f t="shared" si="1"/>
        <v/>
      </c>
      <c r="AN46" s="60"/>
      <c r="AO46" s="60"/>
      <c r="AP46" s="60"/>
      <c r="AQ46" s="60"/>
      <c r="AR46" s="60"/>
      <c r="AS46" s="29"/>
      <c r="AT46" s="29"/>
    </row>
    <row r="47" ht="15.75" customHeight="1">
      <c r="A47" s="402" t="s">
        <v>609</v>
      </c>
      <c r="B47" s="6"/>
      <c r="C47" s="6"/>
      <c r="D47" s="6"/>
      <c r="E47" s="11"/>
      <c r="F47" s="313">
        <v>1.0</v>
      </c>
      <c r="G47" s="313">
        <v>2.0</v>
      </c>
      <c r="H47" s="313">
        <v>3.0</v>
      </c>
      <c r="I47" s="313">
        <v>4.0</v>
      </c>
      <c r="J47" s="313">
        <v>5.0</v>
      </c>
      <c r="K47" s="313">
        <v>6.0</v>
      </c>
      <c r="L47" s="313">
        <v>7.0</v>
      </c>
      <c r="M47" s="313">
        <v>8.0</v>
      </c>
      <c r="N47" s="313">
        <v>9.0</v>
      </c>
      <c r="O47" s="313">
        <v>10.0</v>
      </c>
      <c r="P47" s="313">
        <v>11.0</v>
      </c>
      <c r="Q47" s="313">
        <v>12.0</v>
      </c>
      <c r="R47" s="313">
        <v>13.0</v>
      </c>
      <c r="S47" s="313">
        <v>14.0</v>
      </c>
      <c r="T47" s="313">
        <v>15.0</v>
      </c>
      <c r="U47" s="313">
        <v>16.0</v>
      </c>
      <c r="V47" s="313">
        <v>17.0</v>
      </c>
      <c r="W47" s="313">
        <v>18.0</v>
      </c>
      <c r="X47" s="313">
        <v>19.0</v>
      </c>
      <c r="Y47" s="313">
        <v>20.0</v>
      </c>
      <c r="Z47" s="313">
        <v>21.0</v>
      </c>
      <c r="AA47" s="313">
        <v>22.0</v>
      </c>
      <c r="AB47" s="313">
        <v>23.0</v>
      </c>
      <c r="AC47" s="313">
        <v>24.0</v>
      </c>
      <c r="AD47" s="313">
        <v>25.0</v>
      </c>
      <c r="AE47" s="313">
        <v>26.0</v>
      </c>
      <c r="AF47" s="313">
        <v>27.0</v>
      </c>
      <c r="AG47" s="313">
        <v>28.0</v>
      </c>
      <c r="AH47" s="313">
        <v>29.0</v>
      </c>
      <c r="AI47" s="313">
        <v>30.0</v>
      </c>
      <c r="AJ47" s="313">
        <v>31.0</v>
      </c>
      <c r="AK47" s="244"/>
      <c r="AL47" s="232"/>
      <c r="AM47" s="60" t="str">
        <f t="shared" si="1"/>
        <v/>
      </c>
      <c r="AN47" s="60"/>
      <c r="AO47" s="60"/>
      <c r="AP47" s="60"/>
      <c r="AQ47" s="60"/>
      <c r="AR47" s="60"/>
      <c r="AS47" s="29"/>
      <c r="AT47" s="29"/>
    </row>
    <row r="48" ht="15.75" customHeight="1">
      <c r="A48" s="406" t="s">
        <v>4</v>
      </c>
      <c r="B48" s="407" t="s">
        <v>5</v>
      </c>
      <c r="C48" s="406" t="s">
        <v>6</v>
      </c>
      <c r="D48" s="407" t="s">
        <v>7</v>
      </c>
      <c r="E48" s="406" t="s">
        <v>8</v>
      </c>
      <c r="F48" s="313" t="s">
        <v>9</v>
      </c>
      <c r="G48" s="313" t="s">
        <v>10</v>
      </c>
      <c r="H48" s="313" t="s">
        <v>11</v>
      </c>
      <c r="I48" s="313" t="s">
        <v>12</v>
      </c>
      <c r="J48" s="313" t="s">
        <v>12</v>
      </c>
      <c r="K48" s="313" t="s">
        <v>13</v>
      </c>
      <c r="L48" s="313" t="s">
        <v>15</v>
      </c>
      <c r="M48" s="313" t="s">
        <v>9</v>
      </c>
      <c r="N48" s="313" t="s">
        <v>10</v>
      </c>
      <c r="O48" s="313" t="s">
        <v>11</v>
      </c>
      <c r="P48" s="313" t="s">
        <v>12</v>
      </c>
      <c r="Q48" s="313" t="s">
        <v>12</v>
      </c>
      <c r="R48" s="313" t="s">
        <v>13</v>
      </c>
      <c r="S48" s="313" t="s">
        <v>15</v>
      </c>
      <c r="T48" s="313" t="s">
        <v>9</v>
      </c>
      <c r="U48" s="313" t="s">
        <v>10</v>
      </c>
      <c r="V48" s="313" t="s">
        <v>11</v>
      </c>
      <c r="W48" s="313" t="s">
        <v>12</v>
      </c>
      <c r="X48" s="313" t="s">
        <v>12</v>
      </c>
      <c r="Y48" s="313" t="s">
        <v>13</v>
      </c>
      <c r="Z48" s="313" t="s">
        <v>15</v>
      </c>
      <c r="AA48" s="313" t="s">
        <v>9</v>
      </c>
      <c r="AB48" s="313" t="s">
        <v>10</v>
      </c>
      <c r="AC48" s="313" t="s">
        <v>11</v>
      </c>
      <c r="AD48" s="313" t="s">
        <v>12</v>
      </c>
      <c r="AE48" s="313" t="s">
        <v>12</v>
      </c>
      <c r="AF48" s="313" t="s">
        <v>13</v>
      </c>
      <c r="AG48" s="334" t="s">
        <v>15</v>
      </c>
      <c r="AH48" s="313" t="s">
        <v>9</v>
      </c>
      <c r="AI48" s="313" t="s">
        <v>10</v>
      </c>
      <c r="AJ48" s="313" t="s">
        <v>11</v>
      </c>
      <c r="AK48" s="244"/>
      <c r="AL48" s="232"/>
      <c r="AM48" s="60" t="str">
        <f t="shared" si="1"/>
        <v/>
      </c>
      <c r="AN48" s="60"/>
      <c r="AO48" s="60"/>
      <c r="AP48" s="60"/>
      <c r="AQ48" s="60"/>
      <c r="AR48" s="60"/>
      <c r="AS48" s="29"/>
      <c r="AT48" s="29"/>
    </row>
    <row r="49" ht="15.75" customHeight="1">
      <c r="A49" s="225" t="s">
        <v>269</v>
      </c>
      <c r="B49" s="275" t="s">
        <v>622</v>
      </c>
      <c r="C49" s="225">
        <v>12841.0</v>
      </c>
      <c r="D49" s="226" t="s">
        <v>623</v>
      </c>
      <c r="E49" s="225" t="s">
        <v>625</v>
      </c>
      <c r="F49" s="237"/>
      <c r="G49" s="237"/>
      <c r="H49" s="252" t="s">
        <v>18</v>
      </c>
      <c r="I49" s="236" t="s">
        <v>18</v>
      </c>
      <c r="J49" s="236" t="s">
        <v>27</v>
      </c>
      <c r="K49" s="237"/>
      <c r="L49" s="237"/>
      <c r="M49" s="237"/>
      <c r="N49" s="236" t="s">
        <v>27</v>
      </c>
      <c r="O49" s="236" t="s">
        <v>27</v>
      </c>
      <c r="P49" s="236" t="s">
        <v>27</v>
      </c>
      <c r="Q49" s="236" t="s">
        <v>27</v>
      </c>
      <c r="R49" s="237"/>
      <c r="S49" s="237"/>
      <c r="T49" s="252" t="s">
        <v>27</v>
      </c>
      <c r="U49" s="236" t="s">
        <v>18</v>
      </c>
      <c r="V49" s="236" t="s">
        <v>27</v>
      </c>
      <c r="W49" s="237"/>
      <c r="X49" s="237"/>
      <c r="Y49" s="237"/>
      <c r="Z49" s="236" t="s">
        <v>27</v>
      </c>
      <c r="AA49" s="236" t="s">
        <v>27</v>
      </c>
      <c r="AB49" s="236" t="s">
        <v>27</v>
      </c>
      <c r="AC49" s="236" t="s">
        <v>18</v>
      </c>
      <c r="AD49" s="237"/>
      <c r="AE49" s="237"/>
      <c r="AF49" s="236" t="s">
        <v>27</v>
      </c>
      <c r="AG49" s="236" t="s">
        <v>120</v>
      </c>
      <c r="AH49" s="236" t="s">
        <v>27</v>
      </c>
      <c r="AI49" s="237"/>
      <c r="AJ49" s="237"/>
      <c r="AK49" s="244"/>
      <c r="AL49" s="232"/>
      <c r="AM49" s="60" t="str">
        <f t="shared" si="1"/>
        <v>NO CORRESPONDE FRANCO</v>
      </c>
      <c r="AN49" s="60">
        <f t="shared" ref="AN49:AN59" si="26">COUNTIF($F49:$AJ49,"LLT")</f>
        <v>4</v>
      </c>
      <c r="AO49" s="60">
        <f t="shared" ref="AO49:AO59" si="27">COUNTIF($F49:$AJ49,"LM")</f>
        <v>0</v>
      </c>
      <c r="AP49" s="60">
        <f t="shared" ref="AP49:AP59" si="28">COUNTIF($F49:$AJ49,"FaC")</f>
        <v>0</v>
      </c>
      <c r="AQ49" s="60">
        <f t="shared" ref="AQ49:AQ59" si="29">COUNTIF($F49:$AJ49,"LxE")</f>
        <v>0</v>
      </c>
      <c r="AR49" s="60">
        <f t="shared" ref="AR49:AR59" si="30">COUNTIF($F49:$AJ49,"LA")</f>
        <v>0</v>
      </c>
      <c r="AS49" s="60">
        <f t="shared" ref="AS49:AS59" si="31">SUM(AO49:AR49)</f>
        <v>0</v>
      </c>
      <c r="AT49" s="29"/>
    </row>
    <row r="50" ht="15.75" customHeight="1">
      <c r="A50" s="417" t="s">
        <v>23</v>
      </c>
      <c r="B50" s="275" t="s">
        <v>644</v>
      </c>
      <c r="C50" s="244">
        <v>13798.0</v>
      </c>
      <c r="D50" s="275" t="s">
        <v>645</v>
      </c>
      <c r="E50" s="225" t="s">
        <v>646</v>
      </c>
      <c r="F50" s="237"/>
      <c r="G50" s="237"/>
      <c r="H50" s="252" t="s">
        <v>27</v>
      </c>
      <c r="I50" s="236" t="s">
        <v>27</v>
      </c>
      <c r="J50" s="236" t="s">
        <v>27</v>
      </c>
      <c r="K50" s="237"/>
      <c r="L50" s="237"/>
      <c r="M50" s="237"/>
      <c r="N50" s="236" t="s">
        <v>27</v>
      </c>
      <c r="O50" s="236" t="s">
        <v>27</v>
      </c>
      <c r="P50" s="236" t="s">
        <v>27</v>
      </c>
      <c r="Q50" s="236" t="s">
        <v>27</v>
      </c>
      <c r="R50" s="237"/>
      <c r="S50" s="237"/>
      <c r="T50" s="241" t="s">
        <v>32</v>
      </c>
      <c r="U50" s="236" t="s">
        <v>27</v>
      </c>
      <c r="V50" s="236" t="s">
        <v>27</v>
      </c>
      <c r="W50" s="237"/>
      <c r="X50" s="237"/>
      <c r="Y50" s="237"/>
      <c r="Z50" s="236" t="s">
        <v>27</v>
      </c>
      <c r="AA50" s="91" t="s">
        <v>19</v>
      </c>
      <c r="AB50" s="236" t="s">
        <v>27</v>
      </c>
      <c r="AC50" s="236" t="s">
        <v>27</v>
      </c>
      <c r="AD50" s="237"/>
      <c r="AE50" s="237"/>
      <c r="AF50" s="236" t="s">
        <v>27</v>
      </c>
      <c r="AG50" s="236" t="s">
        <v>27</v>
      </c>
      <c r="AH50" s="241" t="s">
        <v>32</v>
      </c>
      <c r="AI50" s="237"/>
      <c r="AJ50" s="237"/>
      <c r="AK50" s="422" t="s">
        <v>652</v>
      </c>
      <c r="AL50" s="232"/>
      <c r="AM50" s="60" t="str">
        <f t="shared" si="1"/>
        <v>NO CORRESPONDE FRANCO</v>
      </c>
      <c r="AN50" s="60">
        <f t="shared" si="26"/>
        <v>0</v>
      </c>
      <c r="AO50" s="60">
        <f t="shared" si="27"/>
        <v>1</v>
      </c>
      <c r="AP50" s="60">
        <f t="shared" si="28"/>
        <v>0</v>
      </c>
      <c r="AQ50" s="60">
        <f t="shared" si="29"/>
        <v>0</v>
      </c>
      <c r="AR50" s="60">
        <f t="shared" si="30"/>
        <v>0</v>
      </c>
      <c r="AS50" s="60">
        <f t="shared" si="31"/>
        <v>1</v>
      </c>
      <c r="AT50" s="29"/>
    </row>
    <row r="51" ht="15.75" customHeight="1">
      <c r="A51" s="227" t="s">
        <v>33</v>
      </c>
      <c r="B51" s="226" t="s">
        <v>660</v>
      </c>
      <c r="C51" s="225">
        <v>4.3444086E7</v>
      </c>
      <c r="D51" s="226" t="s">
        <v>661</v>
      </c>
      <c r="E51" s="225" t="s">
        <v>663</v>
      </c>
      <c r="F51" s="237"/>
      <c r="G51" s="237"/>
      <c r="H51" s="252" t="s">
        <v>27</v>
      </c>
      <c r="I51" s="236" t="s">
        <v>27</v>
      </c>
      <c r="J51" s="236" t="s">
        <v>27</v>
      </c>
      <c r="K51" s="237"/>
      <c r="L51" s="237"/>
      <c r="M51" s="237"/>
      <c r="N51" s="382" t="s">
        <v>22</v>
      </c>
      <c r="O51" s="382" t="s">
        <v>22</v>
      </c>
      <c r="P51" s="382" t="s">
        <v>22</v>
      </c>
      <c r="Q51" s="382" t="s">
        <v>22</v>
      </c>
      <c r="R51" s="382" t="s">
        <v>22</v>
      </c>
      <c r="S51" s="382" t="s">
        <v>22</v>
      </c>
      <c r="T51" s="382" t="s">
        <v>22</v>
      </c>
      <c r="U51" s="236" t="s">
        <v>27</v>
      </c>
      <c r="V51" s="236" t="s">
        <v>27</v>
      </c>
      <c r="W51" s="237"/>
      <c r="X51" s="237"/>
      <c r="Y51" s="237"/>
      <c r="Z51" s="236" t="s">
        <v>27</v>
      </c>
      <c r="AA51" s="236" t="s">
        <v>27</v>
      </c>
      <c r="AB51" s="236" t="s">
        <v>18</v>
      </c>
      <c r="AC51" s="236" t="s">
        <v>27</v>
      </c>
      <c r="AD51" s="237"/>
      <c r="AE51" s="237"/>
      <c r="AF51" s="236" t="s">
        <v>27</v>
      </c>
      <c r="AG51" s="236" t="s">
        <v>27</v>
      </c>
      <c r="AH51" s="236" t="s">
        <v>27</v>
      </c>
      <c r="AI51" s="237"/>
      <c r="AJ51" s="237"/>
      <c r="AK51" s="244"/>
      <c r="AL51" s="232"/>
      <c r="AM51" s="60" t="str">
        <f t="shared" si="1"/>
        <v>NO CORRESPONDE FRANCO</v>
      </c>
      <c r="AN51" s="60">
        <f t="shared" si="26"/>
        <v>1</v>
      </c>
      <c r="AO51" s="60">
        <f t="shared" si="27"/>
        <v>0</v>
      </c>
      <c r="AP51" s="60">
        <f t="shared" si="28"/>
        <v>0</v>
      </c>
      <c r="AQ51" s="60">
        <f t="shared" si="29"/>
        <v>0</v>
      </c>
      <c r="AR51" s="60">
        <f t="shared" si="30"/>
        <v>7</v>
      </c>
      <c r="AS51" s="60">
        <f t="shared" si="31"/>
        <v>7</v>
      </c>
      <c r="AT51" s="29"/>
    </row>
    <row r="52" ht="15.75" customHeight="1">
      <c r="A52" s="227" t="s">
        <v>33</v>
      </c>
      <c r="B52" s="275" t="s">
        <v>673</v>
      </c>
      <c r="C52" s="227">
        <v>4.0097155E7</v>
      </c>
      <c r="D52" s="275" t="s">
        <v>675</v>
      </c>
      <c r="E52" s="227" t="s">
        <v>676</v>
      </c>
      <c r="F52" s="237"/>
      <c r="G52" s="237"/>
      <c r="H52" s="252" t="s">
        <v>27</v>
      </c>
      <c r="I52" s="236" t="s">
        <v>27</v>
      </c>
      <c r="J52" s="236" t="s">
        <v>27</v>
      </c>
      <c r="K52" s="237"/>
      <c r="L52" s="237"/>
      <c r="M52" s="237"/>
      <c r="N52" s="433" t="s">
        <v>79</v>
      </c>
      <c r="O52" s="236" t="s">
        <v>27</v>
      </c>
      <c r="P52" s="236" t="s">
        <v>27</v>
      </c>
      <c r="Q52" s="236" t="s">
        <v>27</v>
      </c>
      <c r="R52" s="252" t="s">
        <v>27</v>
      </c>
      <c r="S52" s="237"/>
      <c r="T52" s="252" t="s">
        <v>27</v>
      </c>
      <c r="U52" s="379" t="s">
        <v>79</v>
      </c>
      <c r="V52" s="241" t="s">
        <v>32</v>
      </c>
      <c r="W52" s="237"/>
      <c r="X52" s="237"/>
      <c r="Y52" s="237"/>
      <c r="Z52" s="236" t="s">
        <v>27</v>
      </c>
      <c r="AA52" s="236" t="s">
        <v>27</v>
      </c>
      <c r="AB52" s="236" t="s">
        <v>18</v>
      </c>
      <c r="AC52" s="236" t="s">
        <v>27</v>
      </c>
      <c r="AD52" s="237"/>
      <c r="AE52" s="237"/>
      <c r="AF52" s="236" t="s">
        <v>27</v>
      </c>
      <c r="AG52" s="236" t="s">
        <v>27</v>
      </c>
      <c r="AH52" s="236" t="s">
        <v>27</v>
      </c>
      <c r="AI52" s="237"/>
      <c r="AJ52" s="236" t="s">
        <v>27</v>
      </c>
      <c r="AK52" s="244"/>
      <c r="AL52" s="232"/>
      <c r="AM52" s="60" t="str">
        <f t="shared" si="1"/>
        <v/>
      </c>
      <c r="AN52" s="60">
        <f t="shared" si="26"/>
        <v>1</v>
      </c>
      <c r="AO52" s="60">
        <f t="shared" si="27"/>
        <v>0</v>
      </c>
      <c r="AP52" s="60">
        <f t="shared" si="28"/>
        <v>0</v>
      </c>
      <c r="AQ52" s="60">
        <f t="shared" si="29"/>
        <v>0</v>
      </c>
      <c r="AR52" s="60">
        <f t="shared" si="30"/>
        <v>0</v>
      </c>
      <c r="AS52" s="60">
        <f t="shared" si="31"/>
        <v>0</v>
      </c>
      <c r="AT52" s="29"/>
    </row>
    <row r="53" ht="15.75" customHeight="1">
      <c r="A53" s="227" t="s">
        <v>33</v>
      </c>
      <c r="B53" s="226" t="s">
        <v>685</v>
      </c>
      <c r="C53" s="225">
        <v>4.001253E7</v>
      </c>
      <c r="D53" s="226" t="s">
        <v>688</v>
      </c>
      <c r="E53" s="225" t="s">
        <v>690</v>
      </c>
      <c r="F53" s="237"/>
      <c r="G53" s="252" t="s">
        <v>27</v>
      </c>
      <c r="H53" s="252" t="s">
        <v>27</v>
      </c>
      <c r="I53" s="236" t="s">
        <v>18</v>
      </c>
      <c r="J53" s="236" t="s">
        <v>18</v>
      </c>
      <c r="K53" s="237"/>
      <c r="L53" s="237"/>
      <c r="M53" s="237"/>
      <c r="N53" s="382" t="s">
        <v>22</v>
      </c>
      <c r="O53" s="382" t="s">
        <v>22</v>
      </c>
      <c r="P53" s="382" t="s">
        <v>22</v>
      </c>
      <c r="Q53" s="382" t="s">
        <v>22</v>
      </c>
      <c r="R53" s="382" t="s">
        <v>22</v>
      </c>
      <c r="S53" s="382" t="s">
        <v>22</v>
      </c>
      <c r="T53" s="382" t="s">
        <v>22</v>
      </c>
      <c r="U53" s="236" t="s">
        <v>18</v>
      </c>
      <c r="V53" s="236" t="s">
        <v>27</v>
      </c>
      <c r="W53" s="237"/>
      <c r="X53" s="237"/>
      <c r="Y53" s="237"/>
      <c r="Z53" s="236" t="s">
        <v>27</v>
      </c>
      <c r="AA53" s="236" t="s">
        <v>18</v>
      </c>
      <c r="AB53" s="236" t="s">
        <v>27</v>
      </c>
      <c r="AC53" s="236" t="s">
        <v>27</v>
      </c>
      <c r="AD53" s="237"/>
      <c r="AE53" s="237"/>
      <c r="AF53" s="236" t="s">
        <v>27</v>
      </c>
      <c r="AG53" s="236" t="s">
        <v>18</v>
      </c>
      <c r="AH53" s="433" t="s">
        <v>79</v>
      </c>
      <c r="AI53" s="237"/>
      <c r="AJ53" s="237"/>
      <c r="AK53" s="244"/>
      <c r="AL53" s="232"/>
      <c r="AM53" s="60" t="str">
        <f t="shared" si="1"/>
        <v>NO CORRESPONDE FRANCO</v>
      </c>
      <c r="AN53" s="60">
        <f t="shared" si="26"/>
        <v>5</v>
      </c>
      <c r="AO53" s="60">
        <f t="shared" si="27"/>
        <v>0</v>
      </c>
      <c r="AP53" s="60">
        <f t="shared" si="28"/>
        <v>0</v>
      </c>
      <c r="AQ53" s="60">
        <f t="shared" si="29"/>
        <v>0</v>
      </c>
      <c r="AR53" s="60">
        <f t="shared" si="30"/>
        <v>7</v>
      </c>
      <c r="AS53" s="60">
        <f t="shared" si="31"/>
        <v>7</v>
      </c>
      <c r="AT53" s="29"/>
    </row>
    <row r="54" ht="15.75" customHeight="1">
      <c r="A54" s="227" t="s">
        <v>33</v>
      </c>
      <c r="B54" s="259" t="s">
        <v>695</v>
      </c>
      <c r="C54" s="225">
        <v>3.4949458E7</v>
      </c>
      <c r="D54" s="226" t="s">
        <v>696</v>
      </c>
      <c r="E54" s="225">
        <v>1.15111804E9</v>
      </c>
      <c r="F54" s="237"/>
      <c r="G54" s="237"/>
      <c r="H54" s="252" t="s">
        <v>27</v>
      </c>
      <c r="I54" s="236" t="s">
        <v>27</v>
      </c>
      <c r="J54" s="236" t="s">
        <v>18</v>
      </c>
      <c r="K54" s="237"/>
      <c r="L54" s="237"/>
      <c r="M54" s="252" t="s">
        <v>27</v>
      </c>
      <c r="N54" s="236" t="s">
        <v>27</v>
      </c>
      <c r="O54" s="236" t="s">
        <v>27</v>
      </c>
      <c r="P54" s="236" t="s">
        <v>27</v>
      </c>
      <c r="Q54" s="236" t="s">
        <v>27</v>
      </c>
      <c r="R54" s="237"/>
      <c r="S54" s="252" t="s">
        <v>27</v>
      </c>
      <c r="T54" s="252" t="s">
        <v>27</v>
      </c>
      <c r="U54" s="236" t="s">
        <v>27</v>
      </c>
      <c r="V54" s="236" t="s">
        <v>27</v>
      </c>
      <c r="W54" s="237"/>
      <c r="X54" s="237"/>
      <c r="Y54" s="237"/>
      <c r="Z54" s="379" t="s">
        <v>79</v>
      </c>
      <c r="AA54" s="240" t="s">
        <v>79</v>
      </c>
      <c r="AB54" s="236" t="s">
        <v>27</v>
      </c>
      <c r="AC54" s="236" t="s">
        <v>27</v>
      </c>
      <c r="AD54" s="237"/>
      <c r="AE54" s="237"/>
      <c r="AF54" s="236" t="s">
        <v>27</v>
      </c>
      <c r="AG54" s="236" t="s">
        <v>27</v>
      </c>
      <c r="AH54" s="240" t="s">
        <v>79</v>
      </c>
      <c r="AI54" s="252" t="s">
        <v>27</v>
      </c>
      <c r="AJ54" s="237"/>
      <c r="AK54" s="244"/>
      <c r="AL54" s="232"/>
      <c r="AM54" s="60" t="str">
        <f t="shared" si="1"/>
        <v/>
      </c>
      <c r="AN54" s="60">
        <f t="shared" si="26"/>
        <v>1</v>
      </c>
      <c r="AO54" s="60">
        <f t="shared" si="27"/>
        <v>0</v>
      </c>
      <c r="AP54" s="60">
        <f t="shared" si="28"/>
        <v>0</v>
      </c>
      <c r="AQ54" s="60">
        <f t="shared" si="29"/>
        <v>0</v>
      </c>
      <c r="AR54" s="60">
        <f t="shared" si="30"/>
        <v>0</v>
      </c>
      <c r="AS54" s="60">
        <f t="shared" si="31"/>
        <v>0</v>
      </c>
      <c r="AT54" s="29"/>
    </row>
    <row r="55" ht="15.75" customHeight="1">
      <c r="A55" s="227" t="s">
        <v>33</v>
      </c>
      <c r="B55" s="275" t="s">
        <v>701</v>
      </c>
      <c r="C55" s="227">
        <v>4.5077746E7</v>
      </c>
      <c r="D55" s="275" t="s">
        <v>702</v>
      </c>
      <c r="E55" s="227" t="s">
        <v>703</v>
      </c>
      <c r="F55" s="237"/>
      <c r="G55" s="237"/>
      <c r="H55" s="252" t="s">
        <v>27</v>
      </c>
      <c r="I55" s="236" t="s">
        <v>27</v>
      </c>
      <c r="J55" s="236" t="s">
        <v>27</v>
      </c>
      <c r="K55" s="237"/>
      <c r="L55" s="237"/>
      <c r="M55" s="237"/>
      <c r="N55" s="236" t="s">
        <v>27</v>
      </c>
      <c r="O55" s="236" t="s">
        <v>27</v>
      </c>
      <c r="P55" s="236" t="s">
        <v>27</v>
      </c>
      <c r="Q55" s="236" t="s">
        <v>27</v>
      </c>
      <c r="R55" s="237"/>
      <c r="S55" s="237"/>
      <c r="T55" s="252" t="s">
        <v>27</v>
      </c>
      <c r="U55" s="236" t="s">
        <v>27</v>
      </c>
      <c r="V55" s="236" t="s">
        <v>27</v>
      </c>
      <c r="W55" s="237"/>
      <c r="X55" s="237"/>
      <c r="Y55" s="237"/>
      <c r="Z55" s="236" t="s">
        <v>27</v>
      </c>
      <c r="AA55" s="236" t="s">
        <v>27</v>
      </c>
      <c r="AB55" s="236" t="s">
        <v>27</v>
      </c>
      <c r="AC55" s="241" t="s">
        <v>32</v>
      </c>
      <c r="AD55" s="237"/>
      <c r="AE55" s="237"/>
      <c r="AF55" s="236" t="s">
        <v>27</v>
      </c>
      <c r="AG55" s="236" t="s">
        <v>27</v>
      </c>
      <c r="AH55" s="236" t="s">
        <v>27</v>
      </c>
      <c r="AI55" s="237"/>
      <c r="AJ55" s="237"/>
      <c r="AK55" s="244"/>
      <c r="AL55" s="232"/>
      <c r="AM55" s="60" t="str">
        <f t="shared" si="1"/>
        <v/>
      </c>
      <c r="AN55" s="60">
        <f t="shared" si="26"/>
        <v>0</v>
      </c>
      <c r="AO55" s="60">
        <f t="shared" si="27"/>
        <v>0</v>
      </c>
      <c r="AP55" s="60">
        <f t="shared" si="28"/>
        <v>0</v>
      </c>
      <c r="AQ55" s="60">
        <f t="shared" si="29"/>
        <v>0</v>
      </c>
      <c r="AR55" s="60">
        <f t="shared" si="30"/>
        <v>0</v>
      </c>
      <c r="AS55" s="60">
        <f t="shared" si="31"/>
        <v>0</v>
      </c>
      <c r="AT55" s="29"/>
    </row>
    <row r="56" ht="15.75" customHeight="1">
      <c r="A56" s="227" t="s">
        <v>33</v>
      </c>
      <c r="B56" s="275" t="s">
        <v>709</v>
      </c>
      <c r="C56" s="227">
        <v>4.237334E7</v>
      </c>
      <c r="D56" s="275" t="s">
        <v>702</v>
      </c>
      <c r="E56" s="227" t="s">
        <v>711</v>
      </c>
      <c r="F56" s="237"/>
      <c r="G56" s="252" t="s">
        <v>27</v>
      </c>
      <c r="H56" s="252" t="s">
        <v>27</v>
      </c>
      <c r="I56" s="236" t="s">
        <v>27</v>
      </c>
      <c r="J56" s="236" t="s">
        <v>27</v>
      </c>
      <c r="K56" s="237"/>
      <c r="L56" s="237"/>
      <c r="M56" s="237"/>
      <c r="N56" s="236" t="s">
        <v>27</v>
      </c>
      <c r="O56" s="236" t="s">
        <v>27</v>
      </c>
      <c r="P56" s="236" t="s">
        <v>27</v>
      </c>
      <c r="Q56" s="241" t="s">
        <v>32</v>
      </c>
      <c r="R56" s="237"/>
      <c r="S56" s="237"/>
      <c r="T56" s="252" t="s">
        <v>27</v>
      </c>
      <c r="U56" s="236" t="s">
        <v>27</v>
      </c>
      <c r="V56" s="236" t="s">
        <v>27</v>
      </c>
      <c r="W56" s="237"/>
      <c r="X56" s="237"/>
      <c r="Y56" s="237"/>
      <c r="Z56" s="236" t="s">
        <v>27</v>
      </c>
      <c r="AA56" s="236" t="s">
        <v>27</v>
      </c>
      <c r="AB56" s="236" t="s">
        <v>27</v>
      </c>
      <c r="AC56" s="241" t="s">
        <v>32</v>
      </c>
      <c r="AD56" s="237"/>
      <c r="AE56" s="237"/>
      <c r="AF56" s="236" t="s">
        <v>27</v>
      </c>
      <c r="AG56" s="236" t="s">
        <v>27</v>
      </c>
      <c r="AH56" s="236" t="s">
        <v>27</v>
      </c>
      <c r="AI56" s="237"/>
      <c r="AJ56" s="237"/>
      <c r="AK56" s="244"/>
      <c r="AL56" s="232"/>
      <c r="AM56" s="60" t="str">
        <f t="shared" si="1"/>
        <v/>
      </c>
      <c r="AN56" s="60">
        <f t="shared" si="26"/>
        <v>0</v>
      </c>
      <c r="AO56" s="60">
        <f t="shared" si="27"/>
        <v>0</v>
      </c>
      <c r="AP56" s="60">
        <f t="shared" si="28"/>
        <v>0</v>
      </c>
      <c r="AQ56" s="60">
        <f t="shared" si="29"/>
        <v>0</v>
      </c>
      <c r="AR56" s="60">
        <f t="shared" si="30"/>
        <v>0</v>
      </c>
      <c r="AS56" s="60">
        <f t="shared" si="31"/>
        <v>0</v>
      </c>
      <c r="AT56" s="29"/>
    </row>
    <row r="57" ht="15.75" customHeight="1">
      <c r="A57" s="227" t="s">
        <v>33</v>
      </c>
      <c r="B57" s="226" t="s">
        <v>722</v>
      </c>
      <c r="C57" s="225">
        <v>3.9467782E7</v>
      </c>
      <c r="D57" s="338" t="s">
        <v>723</v>
      </c>
      <c r="E57" s="225">
        <v>1.130635715E9</v>
      </c>
      <c r="F57" s="454" t="s">
        <v>27</v>
      </c>
      <c r="G57" s="237"/>
      <c r="H57" s="91" t="s">
        <v>19</v>
      </c>
      <c r="I57" s="91" t="s">
        <v>19</v>
      </c>
      <c r="J57" s="433" t="s">
        <v>79</v>
      </c>
      <c r="K57" s="237"/>
      <c r="L57" s="237"/>
      <c r="M57" s="237"/>
      <c r="N57" s="241" t="s">
        <v>32</v>
      </c>
      <c r="O57" s="236" t="s">
        <v>27</v>
      </c>
      <c r="P57" s="236" t="s">
        <v>27</v>
      </c>
      <c r="Q57" s="236" t="s">
        <v>27</v>
      </c>
      <c r="R57" s="252" t="s">
        <v>27</v>
      </c>
      <c r="S57" s="237"/>
      <c r="T57" s="252" t="s">
        <v>27</v>
      </c>
      <c r="U57" s="236" t="s">
        <v>27</v>
      </c>
      <c r="V57" s="236" t="s">
        <v>27</v>
      </c>
      <c r="W57" s="237"/>
      <c r="X57" s="237"/>
      <c r="Y57" s="237"/>
      <c r="Z57" s="236" t="s">
        <v>27</v>
      </c>
      <c r="AA57" s="236" t="s">
        <v>27</v>
      </c>
      <c r="AB57" s="236" t="s">
        <v>27</v>
      </c>
      <c r="AC57" s="300"/>
      <c r="AD57" s="237"/>
      <c r="AE57" s="237"/>
      <c r="AF57" s="379" t="s">
        <v>79</v>
      </c>
      <c r="AG57" s="236" t="s">
        <v>27</v>
      </c>
      <c r="AH57" s="236" t="s">
        <v>27</v>
      </c>
      <c r="AI57" s="237"/>
      <c r="AJ57" s="237"/>
      <c r="AK57" s="244"/>
      <c r="AL57" s="232"/>
      <c r="AM57" s="60" t="str">
        <f t="shared" si="1"/>
        <v>NO CORRESPONDE FRANCO</v>
      </c>
      <c r="AN57" s="60">
        <f t="shared" si="26"/>
        <v>0</v>
      </c>
      <c r="AO57" s="60">
        <f t="shared" si="27"/>
        <v>2</v>
      </c>
      <c r="AP57" s="60">
        <f t="shared" si="28"/>
        <v>0</v>
      </c>
      <c r="AQ57" s="60">
        <f t="shared" si="29"/>
        <v>0</v>
      </c>
      <c r="AR57" s="60">
        <f t="shared" si="30"/>
        <v>0</v>
      </c>
      <c r="AS57" s="60">
        <f t="shared" si="31"/>
        <v>2</v>
      </c>
      <c r="AT57" s="29"/>
    </row>
    <row r="58" ht="15.75" customHeight="1">
      <c r="A58" s="456" t="s">
        <v>33</v>
      </c>
      <c r="B58" s="457" t="s">
        <v>724</v>
      </c>
      <c r="C58" s="456">
        <v>4.4965623E7</v>
      </c>
      <c r="D58" s="458" t="s">
        <v>725</v>
      </c>
      <c r="E58" s="456" t="s">
        <v>726</v>
      </c>
      <c r="F58" s="237"/>
      <c r="G58" s="237"/>
      <c r="H58" s="460" t="s">
        <v>27</v>
      </c>
      <c r="I58" s="236" t="s">
        <v>27</v>
      </c>
      <c r="J58" s="236" t="s">
        <v>18</v>
      </c>
      <c r="K58" s="237"/>
      <c r="L58" s="237"/>
      <c r="M58" s="237"/>
      <c r="N58" s="241" t="s">
        <v>32</v>
      </c>
      <c r="O58" s="236" t="s">
        <v>27</v>
      </c>
      <c r="P58" s="236" t="s">
        <v>27</v>
      </c>
      <c r="Q58" s="236" t="s">
        <v>27</v>
      </c>
      <c r="R58" s="237"/>
      <c r="S58" s="237"/>
      <c r="T58" s="252" t="s">
        <v>27</v>
      </c>
      <c r="U58" s="236" t="s">
        <v>18</v>
      </c>
      <c r="V58" s="236" t="s">
        <v>18</v>
      </c>
      <c r="W58" s="237"/>
      <c r="X58" s="237"/>
      <c r="Y58" s="237"/>
      <c r="Z58" s="236" t="s">
        <v>27</v>
      </c>
      <c r="AA58" s="236" t="s">
        <v>18</v>
      </c>
      <c r="AB58" s="91" t="s">
        <v>19</v>
      </c>
      <c r="AC58" s="300"/>
      <c r="AD58" s="237"/>
      <c r="AE58" s="237"/>
      <c r="AF58" s="236" t="s">
        <v>27</v>
      </c>
      <c r="AG58" s="91" t="s">
        <v>19</v>
      </c>
      <c r="AH58" s="240" t="s">
        <v>79</v>
      </c>
      <c r="AI58" s="237"/>
      <c r="AJ58" s="252" t="s">
        <v>733</v>
      </c>
      <c r="AK58" s="244"/>
      <c r="AL58" s="232"/>
      <c r="AM58" s="60" t="str">
        <f t="shared" si="1"/>
        <v>NO CORRESPONDE FRANCO</v>
      </c>
      <c r="AN58" s="60">
        <f t="shared" si="26"/>
        <v>4</v>
      </c>
      <c r="AO58" s="60">
        <f t="shared" si="27"/>
        <v>2</v>
      </c>
      <c r="AP58" s="60">
        <f t="shared" si="28"/>
        <v>0</v>
      </c>
      <c r="AQ58" s="60">
        <f t="shared" si="29"/>
        <v>0</v>
      </c>
      <c r="AR58" s="60">
        <f t="shared" si="30"/>
        <v>0</v>
      </c>
      <c r="AS58" s="60">
        <f t="shared" si="31"/>
        <v>2</v>
      </c>
      <c r="AT58" s="29"/>
    </row>
    <row r="59" ht="15.75" customHeight="1">
      <c r="A59" s="225" t="s">
        <v>33</v>
      </c>
      <c r="B59" s="226" t="s">
        <v>737</v>
      </c>
      <c r="C59" s="225">
        <v>2.6667211E7</v>
      </c>
      <c r="D59" s="226" t="s">
        <v>738</v>
      </c>
      <c r="E59" s="465" t="s">
        <v>739</v>
      </c>
      <c r="F59" s="237"/>
      <c r="G59" s="237"/>
      <c r="H59" s="433" t="s">
        <v>79</v>
      </c>
      <c r="I59" s="433" t="s">
        <v>79</v>
      </c>
      <c r="J59" s="468" t="s">
        <v>78</v>
      </c>
      <c r="K59" s="237"/>
      <c r="L59" s="237"/>
      <c r="M59" s="237"/>
      <c r="N59" s="91" t="s">
        <v>19</v>
      </c>
      <c r="O59" s="91" t="s">
        <v>19</v>
      </c>
      <c r="P59" s="236" t="s">
        <v>27</v>
      </c>
      <c r="Q59" s="236" t="s">
        <v>27</v>
      </c>
      <c r="R59" s="367" t="s">
        <v>27</v>
      </c>
      <c r="S59" s="237"/>
      <c r="T59" s="252" t="s">
        <v>27</v>
      </c>
      <c r="U59" s="236" t="s">
        <v>27</v>
      </c>
      <c r="V59" s="236" t="s">
        <v>27</v>
      </c>
      <c r="W59" s="237"/>
      <c r="X59" s="237"/>
      <c r="Y59" s="237"/>
      <c r="Z59" s="236" t="s">
        <v>27</v>
      </c>
      <c r="AA59" s="236" t="s">
        <v>27</v>
      </c>
      <c r="AB59" s="91" t="s">
        <v>19</v>
      </c>
      <c r="AC59" s="236" t="s">
        <v>27</v>
      </c>
      <c r="AD59" s="468" t="s">
        <v>733</v>
      </c>
      <c r="AE59" s="237"/>
      <c r="AF59" s="236" t="s">
        <v>27</v>
      </c>
      <c r="AG59" s="236" t="s">
        <v>27</v>
      </c>
      <c r="AH59" s="236" t="s">
        <v>27</v>
      </c>
      <c r="AI59" s="237"/>
      <c r="AJ59" s="237"/>
      <c r="AK59" s="244"/>
      <c r="AL59" s="232"/>
      <c r="AM59" s="60" t="str">
        <f t="shared" si="1"/>
        <v>NO CORRESPONDE FRANCO</v>
      </c>
      <c r="AN59" s="60">
        <f t="shared" si="26"/>
        <v>0</v>
      </c>
      <c r="AO59" s="60">
        <f t="shared" si="27"/>
        <v>3</v>
      </c>
      <c r="AP59" s="60">
        <f t="shared" si="28"/>
        <v>0</v>
      </c>
      <c r="AQ59" s="60">
        <f t="shared" si="29"/>
        <v>0</v>
      </c>
      <c r="AR59" s="60">
        <f t="shared" si="30"/>
        <v>0</v>
      </c>
      <c r="AS59" s="60">
        <f t="shared" si="31"/>
        <v>3</v>
      </c>
      <c r="AT59" s="29"/>
    </row>
    <row r="60" ht="15.75" customHeight="1">
      <c r="A60" s="397"/>
      <c r="B60" s="12"/>
      <c r="C60" s="12"/>
      <c r="D60" s="12"/>
      <c r="E60" s="12"/>
      <c r="F60" s="12"/>
      <c r="G60" s="12"/>
      <c r="H60" s="12"/>
      <c r="I60" s="12"/>
      <c r="J60" s="12"/>
      <c r="K60" s="12"/>
      <c r="L60" s="12"/>
      <c r="M60" s="12"/>
      <c r="N60" s="12"/>
      <c r="O60" s="12"/>
      <c r="P60" s="12"/>
      <c r="Q60" s="12"/>
      <c r="R60" s="12"/>
      <c r="S60" s="12"/>
      <c r="T60" s="12"/>
      <c r="U60" s="12"/>
      <c r="V60" s="12"/>
      <c r="W60" s="12"/>
      <c r="X60" s="12"/>
      <c r="Y60" s="12"/>
      <c r="Z60" s="12"/>
      <c r="AA60" s="12"/>
      <c r="AB60" s="12"/>
      <c r="AC60" s="12"/>
      <c r="AD60" s="12"/>
      <c r="AE60" s="12"/>
      <c r="AF60" s="12"/>
      <c r="AG60" s="12"/>
      <c r="AH60" s="12"/>
      <c r="AI60" s="23"/>
      <c r="AJ60" s="310"/>
      <c r="AK60" s="244"/>
      <c r="AL60" s="232"/>
      <c r="AM60" s="60" t="str">
        <f t="shared" si="1"/>
        <v/>
      </c>
      <c r="AN60" s="60"/>
      <c r="AO60" s="60"/>
      <c r="AP60" s="60"/>
      <c r="AQ60" s="60"/>
      <c r="AR60" s="60"/>
      <c r="AS60" s="29"/>
      <c r="AT60" s="29"/>
    </row>
    <row r="61" ht="15.75" customHeight="1">
      <c r="A61" s="311" t="s">
        <v>761</v>
      </c>
      <c r="B61" s="6"/>
      <c r="C61" s="6"/>
      <c r="D61" s="6"/>
      <c r="E61" s="11"/>
      <c r="F61" s="313">
        <v>1.0</v>
      </c>
      <c r="G61" s="313">
        <v>2.0</v>
      </c>
      <c r="H61" s="313">
        <v>3.0</v>
      </c>
      <c r="I61" s="313">
        <v>4.0</v>
      </c>
      <c r="J61" s="313">
        <v>5.0</v>
      </c>
      <c r="K61" s="313">
        <v>6.0</v>
      </c>
      <c r="L61" s="313">
        <v>7.0</v>
      </c>
      <c r="M61" s="313">
        <v>8.0</v>
      </c>
      <c r="N61" s="313">
        <v>9.0</v>
      </c>
      <c r="O61" s="313">
        <v>10.0</v>
      </c>
      <c r="P61" s="313">
        <v>11.0</v>
      </c>
      <c r="Q61" s="313">
        <v>12.0</v>
      </c>
      <c r="R61" s="313">
        <v>13.0</v>
      </c>
      <c r="S61" s="313">
        <v>14.0</v>
      </c>
      <c r="T61" s="313">
        <v>15.0</v>
      </c>
      <c r="U61" s="313">
        <v>16.0</v>
      </c>
      <c r="V61" s="313">
        <v>17.0</v>
      </c>
      <c r="W61" s="313">
        <v>18.0</v>
      </c>
      <c r="X61" s="313">
        <v>19.0</v>
      </c>
      <c r="Y61" s="313">
        <v>20.0</v>
      </c>
      <c r="Z61" s="313">
        <v>21.0</v>
      </c>
      <c r="AA61" s="313">
        <v>22.0</v>
      </c>
      <c r="AB61" s="313">
        <v>23.0</v>
      </c>
      <c r="AC61" s="313">
        <v>24.0</v>
      </c>
      <c r="AD61" s="313">
        <v>25.0</v>
      </c>
      <c r="AE61" s="313">
        <v>26.0</v>
      </c>
      <c r="AF61" s="313">
        <v>27.0</v>
      </c>
      <c r="AG61" s="313">
        <v>28.0</v>
      </c>
      <c r="AH61" s="313">
        <v>29.0</v>
      </c>
      <c r="AI61" s="313">
        <v>30.0</v>
      </c>
      <c r="AJ61" s="313">
        <v>31.0</v>
      </c>
      <c r="AK61" s="244"/>
      <c r="AL61" s="232"/>
      <c r="AM61" s="60" t="str">
        <f t="shared" si="1"/>
        <v/>
      </c>
      <c r="AN61" s="60"/>
      <c r="AO61" s="60"/>
      <c r="AP61" s="60"/>
      <c r="AQ61" s="60"/>
      <c r="AR61" s="60"/>
      <c r="AS61" s="29"/>
      <c r="AT61" s="29"/>
    </row>
    <row r="62" ht="15.75" customHeight="1">
      <c r="A62" s="318" t="s">
        <v>4</v>
      </c>
      <c r="B62" s="329" t="s">
        <v>5</v>
      </c>
      <c r="C62" s="318" t="s">
        <v>6</v>
      </c>
      <c r="D62" s="329" t="s">
        <v>7</v>
      </c>
      <c r="E62" s="318" t="s">
        <v>8</v>
      </c>
      <c r="F62" s="313" t="s">
        <v>9</v>
      </c>
      <c r="G62" s="313" t="s">
        <v>10</v>
      </c>
      <c r="H62" s="313" t="s">
        <v>11</v>
      </c>
      <c r="I62" s="313" t="s">
        <v>12</v>
      </c>
      <c r="J62" s="313" t="s">
        <v>12</v>
      </c>
      <c r="K62" s="313" t="s">
        <v>13</v>
      </c>
      <c r="L62" s="313" t="s">
        <v>15</v>
      </c>
      <c r="M62" s="313" t="s">
        <v>9</v>
      </c>
      <c r="N62" s="313" t="s">
        <v>10</v>
      </c>
      <c r="O62" s="313" t="s">
        <v>11</v>
      </c>
      <c r="P62" s="313" t="s">
        <v>12</v>
      </c>
      <c r="Q62" s="313" t="s">
        <v>12</v>
      </c>
      <c r="R62" s="313" t="s">
        <v>13</v>
      </c>
      <c r="S62" s="313" t="s">
        <v>15</v>
      </c>
      <c r="T62" s="313" t="s">
        <v>9</v>
      </c>
      <c r="U62" s="313" t="s">
        <v>10</v>
      </c>
      <c r="V62" s="313" t="s">
        <v>11</v>
      </c>
      <c r="W62" s="313" t="s">
        <v>12</v>
      </c>
      <c r="X62" s="313" t="s">
        <v>12</v>
      </c>
      <c r="Y62" s="313" t="s">
        <v>13</v>
      </c>
      <c r="Z62" s="313" t="s">
        <v>15</v>
      </c>
      <c r="AA62" s="313" t="s">
        <v>9</v>
      </c>
      <c r="AB62" s="313" t="s">
        <v>10</v>
      </c>
      <c r="AC62" s="313" t="s">
        <v>11</v>
      </c>
      <c r="AD62" s="313" t="s">
        <v>12</v>
      </c>
      <c r="AE62" s="313" t="s">
        <v>12</v>
      </c>
      <c r="AF62" s="313" t="s">
        <v>13</v>
      </c>
      <c r="AG62" s="334" t="s">
        <v>15</v>
      </c>
      <c r="AH62" s="313" t="s">
        <v>9</v>
      </c>
      <c r="AI62" s="313" t="s">
        <v>10</v>
      </c>
      <c r="AJ62" s="313" t="s">
        <v>11</v>
      </c>
      <c r="AK62" s="244"/>
      <c r="AL62" s="232"/>
      <c r="AM62" s="60" t="str">
        <f t="shared" si="1"/>
        <v/>
      </c>
      <c r="AN62" s="60"/>
      <c r="AO62" s="60"/>
      <c r="AP62" s="60"/>
      <c r="AQ62" s="60"/>
      <c r="AR62" s="60"/>
      <c r="AS62" s="29"/>
      <c r="AT62" s="29"/>
    </row>
    <row r="63" ht="15.75" customHeight="1">
      <c r="A63" s="478" t="s">
        <v>269</v>
      </c>
      <c r="B63" s="480" t="s">
        <v>773</v>
      </c>
      <c r="C63" s="482">
        <v>12435.0</v>
      </c>
      <c r="D63" s="483" t="s">
        <v>776</v>
      </c>
      <c r="E63" s="484" t="s">
        <v>777</v>
      </c>
      <c r="F63" s="382" t="s">
        <v>22</v>
      </c>
      <c r="G63" s="382" t="s">
        <v>22</v>
      </c>
      <c r="H63" s="382" t="s">
        <v>22</v>
      </c>
      <c r="I63" s="382" t="s">
        <v>22</v>
      </c>
      <c r="J63" s="382" t="s">
        <v>22</v>
      </c>
      <c r="K63" s="382" t="s">
        <v>22</v>
      </c>
      <c r="L63" s="236" t="s">
        <v>27</v>
      </c>
      <c r="M63" s="241" t="s">
        <v>32</v>
      </c>
      <c r="N63" s="237"/>
      <c r="O63" s="237"/>
      <c r="P63" s="236" t="s">
        <v>27</v>
      </c>
      <c r="Q63" s="236" t="s">
        <v>27</v>
      </c>
      <c r="R63" s="236" t="s">
        <v>18</v>
      </c>
      <c r="S63" s="237"/>
      <c r="T63" s="237"/>
      <c r="U63" s="237"/>
      <c r="V63" s="236" t="s">
        <v>18</v>
      </c>
      <c r="W63" s="236" t="s">
        <v>27</v>
      </c>
      <c r="X63" s="236" t="s">
        <v>27</v>
      </c>
      <c r="Y63" s="236" t="s">
        <v>18</v>
      </c>
      <c r="Z63" s="237"/>
      <c r="AA63" s="237"/>
      <c r="AB63" s="236" t="s">
        <v>27</v>
      </c>
      <c r="AC63" s="236" t="s">
        <v>128</v>
      </c>
      <c r="AD63" s="236" t="s">
        <v>27</v>
      </c>
      <c r="AE63" s="237"/>
      <c r="AF63" s="237"/>
      <c r="AG63" s="237"/>
      <c r="AH63" s="241" t="s">
        <v>32</v>
      </c>
      <c r="AI63" s="236" t="s">
        <v>27</v>
      </c>
      <c r="AJ63" s="236" t="s">
        <v>27</v>
      </c>
      <c r="AK63" s="244"/>
      <c r="AL63" s="232"/>
      <c r="AM63" s="60" t="str">
        <f t="shared" si="1"/>
        <v>NO CORRESPONDE FRANCO</v>
      </c>
      <c r="AN63" s="60">
        <f t="shared" ref="AN63:AN74" si="32">COUNTIF($F63:$AJ63,"LLT")</f>
        <v>3</v>
      </c>
      <c r="AO63" s="60">
        <f t="shared" ref="AO63:AO74" si="33">COUNTIF($F63:$AJ63,"LM")</f>
        <v>0</v>
      </c>
      <c r="AP63" s="60">
        <f t="shared" ref="AP63:AP74" si="34">COUNTIF($F63:$AJ63,"FaC")</f>
        <v>0</v>
      </c>
      <c r="AQ63" s="60">
        <f t="shared" ref="AQ63:AQ74" si="35">COUNTIF($F63:$AJ63,"LxE")</f>
        <v>0</v>
      </c>
      <c r="AR63" s="60">
        <f t="shared" ref="AR63:AR74" si="36">COUNTIF($F63:$AJ63,"LA")</f>
        <v>6</v>
      </c>
      <c r="AS63" s="60">
        <f t="shared" ref="AS63:AS74" si="37">SUM(AO63:AR63)</f>
        <v>6</v>
      </c>
      <c r="AT63" s="29"/>
    </row>
    <row r="64" ht="15.75" customHeight="1">
      <c r="A64" s="227" t="s">
        <v>230</v>
      </c>
      <c r="B64" s="275" t="s">
        <v>788</v>
      </c>
      <c r="C64" s="227">
        <v>33106.0</v>
      </c>
      <c r="D64" s="275" t="s">
        <v>789</v>
      </c>
      <c r="E64" s="227" t="s">
        <v>791</v>
      </c>
      <c r="F64" s="236" t="s">
        <v>18</v>
      </c>
      <c r="G64" s="237"/>
      <c r="H64" s="237"/>
      <c r="I64" s="237"/>
      <c r="J64" s="236" t="s">
        <v>18</v>
      </c>
      <c r="K64" s="91" t="s">
        <v>19</v>
      </c>
      <c r="L64" s="91" t="s">
        <v>19</v>
      </c>
      <c r="M64" s="300"/>
      <c r="N64" s="237"/>
      <c r="O64" s="488" t="s">
        <v>796</v>
      </c>
      <c r="P64" s="6"/>
      <c r="Q64" s="6"/>
      <c r="R64" s="6"/>
      <c r="S64" s="6"/>
      <c r="T64" s="6"/>
      <c r="U64" s="6"/>
      <c r="V64" s="6"/>
      <c r="W64" s="6"/>
      <c r="X64" s="6"/>
      <c r="Y64" s="6"/>
      <c r="Z64" s="6"/>
      <c r="AA64" s="6"/>
      <c r="AB64" s="6"/>
      <c r="AC64" s="6"/>
      <c r="AD64" s="6"/>
      <c r="AE64" s="6"/>
      <c r="AF64" s="6"/>
      <c r="AG64" s="6"/>
      <c r="AH64" s="6"/>
      <c r="AI64" s="6"/>
      <c r="AJ64" s="11"/>
      <c r="AK64" s="244"/>
      <c r="AL64" s="232"/>
      <c r="AM64" s="60" t="str">
        <f t="shared" si="1"/>
        <v>NO CORRESPONDE FRANCO</v>
      </c>
      <c r="AN64" s="60">
        <f t="shared" si="32"/>
        <v>2</v>
      </c>
      <c r="AO64" s="60">
        <f t="shared" si="33"/>
        <v>2</v>
      </c>
      <c r="AP64" s="60">
        <f t="shared" si="34"/>
        <v>0</v>
      </c>
      <c r="AQ64" s="60">
        <f t="shared" si="35"/>
        <v>0</v>
      </c>
      <c r="AR64" s="60">
        <f t="shared" si="36"/>
        <v>0</v>
      </c>
      <c r="AS64" s="60">
        <f t="shared" si="37"/>
        <v>2</v>
      </c>
      <c r="AT64" s="29"/>
    </row>
    <row r="65" ht="15.75" customHeight="1">
      <c r="A65" s="225" t="s">
        <v>33</v>
      </c>
      <c r="B65" s="275" t="s">
        <v>806</v>
      </c>
      <c r="C65" s="225">
        <v>3.8635499E7</v>
      </c>
      <c r="D65" s="226" t="s">
        <v>807</v>
      </c>
      <c r="E65" s="225" t="s">
        <v>808</v>
      </c>
      <c r="F65" s="236" t="s">
        <v>18</v>
      </c>
      <c r="G65" s="237"/>
      <c r="H65" s="237"/>
      <c r="I65" s="237"/>
      <c r="J65" s="236" t="s">
        <v>18</v>
      </c>
      <c r="K65" s="236" t="s">
        <v>18</v>
      </c>
      <c r="L65" s="236" t="s">
        <v>27</v>
      </c>
      <c r="M65" s="236" t="s">
        <v>27</v>
      </c>
      <c r="N65" s="237"/>
      <c r="O65" s="237"/>
      <c r="P65" s="236" t="s">
        <v>18</v>
      </c>
      <c r="Q65" s="236" t="s">
        <v>27</v>
      </c>
      <c r="R65" s="236" t="s">
        <v>27</v>
      </c>
      <c r="S65" s="237"/>
      <c r="T65" s="237"/>
      <c r="U65" s="237"/>
      <c r="V65" s="236" t="s">
        <v>27</v>
      </c>
      <c r="W65" s="236" t="s">
        <v>27</v>
      </c>
      <c r="X65" s="236" t="s">
        <v>27</v>
      </c>
      <c r="Y65" s="236" t="s">
        <v>18</v>
      </c>
      <c r="Z65" s="237"/>
      <c r="AA65" s="237"/>
      <c r="AB65" s="91" t="s">
        <v>19</v>
      </c>
      <c r="AC65" s="236" t="s">
        <v>18</v>
      </c>
      <c r="AD65" s="236" t="s">
        <v>27</v>
      </c>
      <c r="AE65" s="237"/>
      <c r="AF65" s="237"/>
      <c r="AG65" s="237"/>
      <c r="AH65" s="236" t="s">
        <v>27</v>
      </c>
      <c r="AI65" s="236" t="s">
        <v>27</v>
      </c>
      <c r="AJ65" s="236" t="s">
        <v>27</v>
      </c>
      <c r="AK65" s="244"/>
      <c r="AL65" s="232"/>
      <c r="AM65" s="60" t="str">
        <f t="shared" si="1"/>
        <v>NO CORRESPONDE FRANCO</v>
      </c>
      <c r="AN65" s="60">
        <f t="shared" si="32"/>
        <v>6</v>
      </c>
      <c r="AO65" s="60">
        <f t="shared" si="33"/>
        <v>1</v>
      </c>
      <c r="AP65" s="60">
        <f t="shared" si="34"/>
        <v>0</v>
      </c>
      <c r="AQ65" s="60">
        <f t="shared" si="35"/>
        <v>0</v>
      </c>
      <c r="AR65" s="60">
        <f t="shared" si="36"/>
        <v>0</v>
      </c>
      <c r="AS65" s="60">
        <f t="shared" si="37"/>
        <v>1</v>
      </c>
      <c r="AT65" s="29"/>
    </row>
    <row r="66" ht="15.75" customHeight="1">
      <c r="A66" s="227" t="s">
        <v>33</v>
      </c>
      <c r="B66" s="275" t="s">
        <v>817</v>
      </c>
      <c r="C66" s="225">
        <v>3.6696432E7</v>
      </c>
      <c r="D66" s="338" t="s">
        <v>818</v>
      </c>
      <c r="E66" s="225" t="s">
        <v>819</v>
      </c>
      <c r="F66" s="236" t="s">
        <v>18</v>
      </c>
      <c r="G66" s="237"/>
      <c r="H66" s="237"/>
      <c r="I66" s="237"/>
      <c r="J66" s="236" t="s">
        <v>18</v>
      </c>
      <c r="K66" s="236" t="s">
        <v>18</v>
      </c>
      <c r="L66" s="236" t="s">
        <v>18</v>
      </c>
      <c r="M66" s="236" t="s">
        <v>18</v>
      </c>
      <c r="N66" s="236" t="s">
        <v>18</v>
      </c>
      <c r="O66" s="237"/>
      <c r="P66" s="236" t="s">
        <v>18</v>
      </c>
      <c r="Q66" s="236" t="s">
        <v>18</v>
      </c>
      <c r="R66" s="433" t="s">
        <v>79</v>
      </c>
      <c r="S66" s="237"/>
      <c r="T66" s="237"/>
      <c r="U66" s="237"/>
      <c r="V66" s="96" t="s">
        <v>22</v>
      </c>
      <c r="W66" s="96" t="s">
        <v>22</v>
      </c>
      <c r="X66" s="96" t="s">
        <v>22</v>
      </c>
      <c r="Y66" s="96" t="s">
        <v>22</v>
      </c>
      <c r="Z66" s="96" t="s">
        <v>22</v>
      </c>
      <c r="AA66" s="96" t="s">
        <v>22</v>
      </c>
      <c r="AB66" s="96" t="s">
        <v>22</v>
      </c>
      <c r="AC66" s="236" t="s">
        <v>128</v>
      </c>
      <c r="AD66" s="236" t="s">
        <v>18</v>
      </c>
      <c r="AE66" s="237"/>
      <c r="AF66" s="237"/>
      <c r="AG66" s="237"/>
      <c r="AH66" s="236" t="s">
        <v>18</v>
      </c>
      <c r="AI66" s="236" t="s">
        <v>18</v>
      </c>
      <c r="AJ66" s="236" t="s">
        <v>18</v>
      </c>
      <c r="AK66" s="244"/>
      <c r="AL66" s="232"/>
      <c r="AM66" s="60" t="str">
        <f t="shared" si="1"/>
        <v>NO CORRESPONDE FRANCO</v>
      </c>
      <c r="AN66" s="60">
        <f t="shared" si="32"/>
        <v>12</v>
      </c>
      <c r="AO66" s="60">
        <f t="shared" si="33"/>
        <v>0</v>
      </c>
      <c r="AP66" s="60">
        <f t="shared" si="34"/>
        <v>0</v>
      </c>
      <c r="AQ66" s="60">
        <f t="shared" si="35"/>
        <v>0</v>
      </c>
      <c r="AR66" s="60">
        <f t="shared" si="36"/>
        <v>7</v>
      </c>
      <c r="AS66" s="60">
        <f t="shared" si="37"/>
        <v>7</v>
      </c>
      <c r="AT66" s="493"/>
    </row>
    <row r="67" ht="15.75" customHeight="1">
      <c r="A67" s="225" t="s">
        <v>33</v>
      </c>
      <c r="B67" s="376" t="s">
        <v>828</v>
      </c>
      <c r="C67" s="225">
        <v>4.1474117E7</v>
      </c>
      <c r="D67" s="226" t="s">
        <v>829</v>
      </c>
      <c r="E67" s="225" t="s">
        <v>830</v>
      </c>
      <c r="F67" s="236" t="s">
        <v>27</v>
      </c>
      <c r="G67" s="237"/>
      <c r="H67" s="237"/>
      <c r="I67" s="237"/>
      <c r="J67" s="236" t="s">
        <v>27</v>
      </c>
      <c r="K67" s="433" t="s">
        <v>79</v>
      </c>
      <c r="L67" s="236" t="s">
        <v>18</v>
      </c>
      <c r="M67" s="236" t="s">
        <v>27</v>
      </c>
      <c r="N67" s="237"/>
      <c r="O67" s="237"/>
      <c r="P67" s="236" t="s">
        <v>27</v>
      </c>
      <c r="Q67" s="236" t="s">
        <v>27</v>
      </c>
      <c r="R67" s="236" t="s">
        <v>27</v>
      </c>
      <c r="S67" s="237"/>
      <c r="T67" s="236" t="s">
        <v>27</v>
      </c>
      <c r="U67" s="237"/>
      <c r="V67" s="91" t="s">
        <v>19</v>
      </c>
      <c r="W67" s="91" t="s">
        <v>19</v>
      </c>
      <c r="X67" s="236" t="s">
        <v>27</v>
      </c>
      <c r="Y67" s="236" t="s">
        <v>27</v>
      </c>
      <c r="Z67" s="237"/>
      <c r="AA67" s="252" t="s">
        <v>27</v>
      </c>
      <c r="AB67" s="433" t="s">
        <v>79</v>
      </c>
      <c r="AC67" s="91" t="s">
        <v>19</v>
      </c>
      <c r="AD67" s="91" t="s">
        <v>19</v>
      </c>
      <c r="AE67" s="236" t="s">
        <v>18</v>
      </c>
      <c r="AF67" s="237"/>
      <c r="AG67" s="237"/>
      <c r="AH67" s="240" t="s">
        <v>79</v>
      </c>
      <c r="AI67" s="240" t="s">
        <v>79</v>
      </c>
      <c r="AJ67" s="236" t="s">
        <v>27</v>
      </c>
      <c r="AK67" s="244"/>
      <c r="AL67" s="232"/>
      <c r="AM67" s="60" t="str">
        <f t="shared" si="1"/>
        <v>NO CORRESPONDE FRANCO</v>
      </c>
      <c r="AN67" s="60">
        <f t="shared" si="32"/>
        <v>2</v>
      </c>
      <c r="AO67" s="60">
        <f t="shared" si="33"/>
        <v>4</v>
      </c>
      <c r="AP67" s="60">
        <f t="shared" si="34"/>
        <v>0</v>
      </c>
      <c r="AQ67" s="60">
        <f t="shared" si="35"/>
        <v>0</v>
      </c>
      <c r="AR67" s="60">
        <f t="shared" si="36"/>
        <v>0</v>
      </c>
      <c r="AS67" s="60">
        <f t="shared" si="37"/>
        <v>4</v>
      </c>
      <c r="AT67" s="29"/>
    </row>
    <row r="68" ht="15.75" customHeight="1">
      <c r="A68" s="227" t="s">
        <v>33</v>
      </c>
      <c r="B68" s="275" t="s">
        <v>837</v>
      </c>
      <c r="C68" s="227">
        <v>4.5926911E7</v>
      </c>
      <c r="D68" s="275" t="s">
        <v>838</v>
      </c>
      <c r="E68" s="227" t="s">
        <v>839</v>
      </c>
      <c r="F68" s="236" t="s">
        <v>27</v>
      </c>
      <c r="G68" s="237"/>
      <c r="H68" s="237"/>
      <c r="I68" s="237"/>
      <c r="J68" s="236" t="s">
        <v>27</v>
      </c>
      <c r="K68" s="236" t="s">
        <v>27</v>
      </c>
      <c r="L68" s="236" t="s">
        <v>27</v>
      </c>
      <c r="M68" s="236" t="s">
        <v>27</v>
      </c>
      <c r="N68" s="237"/>
      <c r="O68" s="237"/>
      <c r="P68" s="382" t="s">
        <v>22</v>
      </c>
      <c r="Q68" s="382" t="s">
        <v>22</v>
      </c>
      <c r="R68" s="382" t="s">
        <v>22</v>
      </c>
      <c r="S68" s="237"/>
      <c r="T68" s="237"/>
      <c r="U68" s="237"/>
      <c r="V68" s="236" t="s">
        <v>18</v>
      </c>
      <c r="W68" s="236" t="s">
        <v>27</v>
      </c>
      <c r="X68" s="236" t="s">
        <v>27</v>
      </c>
      <c r="Y68" s="236" t="s">
        <v>18</v>
      </c>
      <c r="Z68" s="237"/>
      <c r="AA68" s="237"/>
      <c r="AB68" s="241" t="s">
        <v>32</v>
      </c>
      <c r="AC68" s="236" t="s">
        <v>27</v>
      </c>
      <c r="AD68" s="236" t="s">
        <v>27</v>
      </c>
      <c r="AE68" s="237"/>
      <c r="AF68" s="237"/>
      <c r="AG68" s="237"/>
      <c r="AH68" s="236" t="s">
        <v>18</v>
      </c>
      <c r="AI68" s="236" t="s">
        <v>27</v>
      </c>
      <c r="AJ68" s="236" t="s">
        <v>27</v>
      </c>
      <c r="AK68" s="244"/>
      <c r="AL68" s="232"/>
      <c r="AM68" s="60" t="str">
        <f t="shared" si="1"/>
        <v>NO CORRESPONDE FRANCO</v>
      </c>
      <c r="AN68" s="60">
        <f t="shared" si="32"/>
        <v>3</v>
      </c>
      <c r="AO68" s="60">
        <f t="shared" si="33"/>
        <v>0</v>
      </c>
      <c r="AP68" s="60">
        <f t="shared" si="34"/>
        <v>0</v>
      </c>
      <c r="AQ68" s="60">
        <f t="shared" si="35"/>
        <v>0</v>
      </c>
      <c r="AR68" s="60">
        <f t="shared" si="36"/>
        <v>3</v>
      </c>
      <c r="AS68" s="60">
        <f t="shared" si="37"/>
        <v>3</v>
      </c>
      <c r="AT68" s="29"/>
    </row>
    <row r="69" ht="15.75" customHeight="1">
      <c r="A69" s="66" t="s">
        <v>33</v>
      </c>
      <c r="B69" s="67" t="s">
        <v>847</v>
      </c>
      <c r="C69" s="66">
        <v>3.962553E7</v>
      </c>
      <c r="D69" s="67" t="s">
        <v>849</v>
      </c>
      <c r="E69" s="66" t="s">
        <v>851</v>
      </c>
      <c r="F69" s="45" t="s">
        <v>27</v>
      </c>
      <c r="G69" s="44"/>
      <c r="H69" s="44"/>
      <c r="I69" s="44"/>
      <c r="J69" s="45" t="s">
        <v>27</v>
      </c>
      <c r="K69" s="45" t="s">
        <v>27</v>
      </c>
      <c r="L69" s="45" t="s">
        <v>27</v>
      </c>
      <c r="M69" s="45" t="s">
        <v>27</v>
      </c>
      <c r="N69" s="44"/>
      <c r="O69" s="44"/>
      <c r="P69" s="45" t="s">
        <v>27</v>
      </c>
      <c r="Q69" s="45" t="s">
        <v>27</v>
      </c>
      <c r="R69" s="45" t="s">
        <v>27</v>
      </c>
      <c r="S69" s="44"/>
      <c r="T69" s="44"/>
      <c r="U69" s="44"/>
      <c r="V69" s="45" t="s">
        <v>18</v>
      </c>
      <c r="W69" s="106" t="s">
        <v>32</v>
      </c>
      <c r="X69" s="45" t="s">
        <v>27</v>
      </c>
      <c r="Y69" s="45" t="s">
        <v>27</v>
      </c>
      <c r="Z69" s="44"/>
      <c r="AA69" s="44"/>
      <c r="AB69" s="45" t="s">
        <v>18</v>
      </c>
      <c r="AC69" s="45" t="s">
        <v>27</v>
      </c>
      <c r="AD69" s="45" t="s">
        <v>27</v>
      </c>
      <c r="AE69" s="44"/>
      <c r="AF69" s="44"/>
      <c r="AG69" s="44"/>
      <c r="AH69" s="106" t="s">
        <v>32</v>
      </c>
      <c r="AI69" s="45" t="s">
        <v>27</v>
      </c>
      <c r="AJ69" s="45" t="s">
        <v>27</v>
      </c>
      <c r="AK69" s="244"/>
      <c r="AL69" s="26"/>
      <c r="AM69" s="60" t="str">
        <f t="shared" si="1"/>
        <v/>
      </c>
      <c r="AN69" s="60">
        <f t="shared" si="32"/>
        <v>2</v>
      </c>
      <c r="AO69" s="60">
        <f t="shared" si="33"/>
        <v>0</v>
      </c>
      <c r="AP69" s="60">
        <f t="shared" si="34"/>
        <v>0</v>
      </c>
      <c r="AQ69" s="60">
        <f t="shared" si="35"/>
        <v>0</v>
      </c>
      <c r="AR69" s="60">
        <f t="shared" si="36"/>
        <v>0</v>
      </c>
      <c r="AS69" s="60">
        <f t="shared" si="37"/>
        <v>0</v>
      </c>
      <c r="AT69" s="290"/>
    </row>
    <row r="70" ht="15.75" customHeight="1">
      <c r="A70" s="76" t="s">
        <v>33</v>
      </c>
      <c r="B70" s="116" t="s">
        <v>855</v>
      </c>
      <c r="C70" s="76">
        <v>2.2833741E7</v>
      </c>
      <c r="D70" s="116" t="s">
        <v>856</v>
      </c>
      <c r="E70" s="66" t="s">
        <v>857</v>
      </c>
      <c r="F70" s="45" t="s">
        <v>27</v>
      </c>
      <c r="G70" s="44"/>
      <c r="H70" s="44"/>
      <c r="I70" s="44"/>
      <c r="J70" s="45" t="s">
        <v>18</v>
      </c>
      <c r="K70" s="45" t="s">
        <v>27</v>
      </c>
      <c r="L70" s="45" t="s">
        <v>27</v>
      </c>
      <c r="M70" s="45" t="s">
        <v>27</v>
      </c>
      <c r="N70" s="44"/>
      <c r="O70" s="44"/>
      <c r="P70" s="45" t="s">
        <v>27</v>
      </c>
      <c r="Q70" s="45" t="s">
        <v>27</v>
      </c>
      <c r="R70" s="45" t="s">
        <v>27</v>
      </c>
      <c r="S70" s="44"/>
      <c r="T70" s="44"/>
      <c r="U70" s="44"/>
      <c r="V70" s="45" t="s">
        <v>27</v>
      </c>
      <c r="W70" s="45" t="s">
        <v>27</v>
      </c>
      <c r="X70" s="45" t="s">
        <v>27</v>
      </c>
      <c r="Y70" s="45" t="s">
        <v>27</v>
      </c>
      <c r="Z70" s="44"/>
      <c r="AA70" s="44"/>
      <c r="AB70" s="45" t="s">
        <v>27</v>
      </c>
      <c r="AC70" s="45" t="s">
        <v>27</v>
      </c>
      <c r="AD70" s="45" t="s">
        <v>27</v>
      </c>
      <c r="AE70" s="44"/>
      <c r="AF70" s="44"/>
      <c r="AG70" s="44"/>
      <c r="AH70" s="45" t="s">
        <v>27</v>
      </c>
      <c r="AI70" s="45" t="s">
        <v>27</v>
      </c>
      <c r="AJ70" s="45" t="s">
        <v>27</v>
      </c>
      <c r="AK70" s="244"/>
      <c r="AL70" s="26"/>
      <c r="AM70" s="60" t="str">
        <f t="shared" si="1"/>
        <v/>
      </c>
      <c r="AN70" s="60">
        <f t="shared" si="32"/>
        <v>1</v>
      </c>
      <c r="AO70" s="60">
        <f t="shared" si="33"/>
        <v>0</v>
      </c>
      <c r="AP70" s="60">
        <f t="shared" si="34"/>
        <v>0</v>
      </c>
      <c r="AQ70" s="60">
        <f t="shared" si="35"/>
        <v>0</v>
      </c>
      <c r="AR70" s="60">
        <f t="shared" si="36"/>
        <v>0</v>
      </c>
      <c r="AS70" s="60">
        <f t="shared" si="37"/>
        <v>0</v>
      </c>
      <c r="AT70" s="29"/>
    </row>
    <row r="71" ht="15.75" customHeight="1">
      <c r="A71" s="76" t="s">
        <v>33</v>
      </c>
      <c r="B71" s="116" t="s">
        <v>866</v>
      </c>
      <c r="C71" s="76">
        <v>2.2367119E7</v>
      </c>
      <c r="D71" s="116" t="s">
        <v>868</v>
      </c>
      <c r="E71" s="76" t="s">
        <v>869</v>
      </c>
      <c r="F71" s="45" t="s">
        <v>27</v>
      </c>
      <c r="G71" s="44"/>
      <c r="H71" s="44"/>
      <c r="I71" s="44"/>
      <c r="J71" s="45" t="s">
        <v>27</v>
      </c>
      <c r="K71" s="45" t="s">
        <v>27</v>
      </c>
      <c r="L71" s="45" t="s">
        <v>27</v>
      </c>
      <c r="M71" s="103" t="s">
        <v>27</v>
      </c>
      <c r="N71" s="44"/>
      <c r="O71" s="44"/>
      <c r="P71" s="45" t="s">
        <v>27</v>
      </c>
      <c r="Q71" s="45" t="s">
        <v>27</v>
      </c>
      <c r="R71" s="45" t="s">
        <v>27</v>
      </c>
      <c r="S71" s="44"/>
      <c r="T71" s="44"/>
      <c r="U71" s="44"/>
      <c r="V71" s="45" t="s">
        <v>27</v>
      </c>
      <c r="W71" s="45" t="s">
        <v>27</v>
      </c>
      <c r="X71" s="45" t="s">
        <v>27</v>
      </c>
      <c r="Y71" s="45" t="s">
        <v>27</v>
      </c>
      <c r="Z71" s="44"/>
      <c r="AA71" s="44"/>
      <c r="AB71" s="45" t="s">
        <v>27</v>
      </c>
      <c r="AC71" s="45" t="s">
        <v>27</v>
      </c>
      <c r="AD71" s="45" t="s">
        <v>27</v>
      </c>
      <c r="AE71" s="44"/>
      <c r="AF71" s="44"/>
      <c r="AG71" s="103" t="s">
        <v>27</v>
      </c>
      <c r="AH71" s="103" t="s">
        <v>27</v>
      </c>
      <c r="AI71" s="106" t="s">
        <v>32</v>
      </c>
      <c r="AJ71" s="45" t="s">
        <v>27</v>
      </c>
      <c r="AK71" s="511" t="s">
        <v>873</v>
      </c>
      <c r="AL71" s="26"/>
      <c r="AM71" s="60" t="str">
        <f t="shared" si="1"/>
        <v/>
      </c>
      <c r="AN71" s="60">
        <f t="shared" si="32"/>
        <v>0</v>
      </c>
      <c r="AO71" s="60">
        <f t="shared" si="33"/>
        <v>0</v>
      </c>
      <c r="AP71" s="60">
        <f t="shared" si="34"/>
        <v>0</v>
      </c>
      <c r="AQ71" s="60">
        <f t="shared" si="35"/>
        <v>0</v>
      </c>
      <c r="AR71" s="60">
        <f t="shared" si="36"/>
        <v>0</v>
      </c>
      <c r="AS71" s="60">
        <f t="shared" si="37"/>
        <v>0</v>
      </c>
      <c r="AT71" s="29"/>
    </row>
    <row r="72" ht="15.75" customHeight="1">
      <c r="A72" s="76" t="s">
        <v>33</v>
      </c>
      <c r="B72" s="116" t="s">
        <v>874</v>
      </c>
      <c r="C72" s="76">
        <v>3.9344532E7</v>
      </c>
      <c r="D72" s="116" t="s">
        <v>875</v>
      </c>
      <c r="E72" s="76" t="s">
        <v>876</v>
      </c>
      <c r="F72" s="45" t="s">
        <v>27</v>
      </c>
      <c r="G72" s="44"/>
      <c r="H72" s="45" t="s">
        <v>27</v>
      </c>
      <c r="I72" s="175" t="s">
        <v>27</v>
      </c>
      <c r="J72" s="45" t="s">
        <v>27</v>
      </c>
      <c r="K72" s="45" t="s">
        <v>27</v>
      </c>
      <c r="L72" s="45" t="s">
        <v>27</v>
      </c>
      <c r="M72" s="45" t="s">
        <v>27</v>
      </c>
      <c r="N72" s="44"/>
      <c r="O72" s="44"/>
      <c r="P72" s="45" t="s">
        <v>27</v>
      </c>
      <c r="Q72" s="45" t="s">
        <v>27</v>
      </c>
      <c r="R72" s="119" t="s">
        <v>79</v>
      </c>
      <c r="S72" s="44"/>
      <c r="T72" s="44"/>
      <c r="U72" s="44"/>
      <c r="V72" s="96" t="s">
        <v>22</v>
      </c>
      <c r="W72" s="96" t="s">
        <v>22</v>
      </c>
      <c r="X72" s="96" t="s">
        <v>22</v>
      </c>
      <c r="Y72" s="96" t="s">
        <v>22</v>
      </c>
      <c r="Z72" s="96" t="s">
        <v>22</v>
      </c>
      <c r="AA72" s="96" t="s">
        <v>22</v>
      </c>
      <c r="AB72" s="96" t="s">
        <v>22</v>
      </c>
      <c r="AC72" s="106" t="s">
        <v>32</v>
      </c>
      <c r="AD72" s="119" t="s">
        <v>79</v>
      </c>
      <c r="AE72" s="44"/>
      <c r="AF72" s="44"/>
      <c r="AG72" s="44"/>
      <c r="AH72" s="516" t="s">
        <v>19</v>
      </c>
      <c r="AI72" s="516" t="s">
        <v>19</v>
      </c>
      <c r="AJ72" s="45" t="s">
        <v>27</v>
      </c>
      <c r="AK72" s="244"/>
      <c r="AL72" s="26"/>
      <c r="AM72" s="60" t="str">
        <f t="shared" si="1"/>
        <v>NO CORRESPONDE FRANCO</v>
      </c>
      <c r="AN72" s="60">
        <f t="shared" si="32"/>
        <v>0</v>
      </c>
      <c r="AO72" s="60">
        <f t="shared" si="33"/>
        <v>2</v>
      </c>
      <c r="AP72" s="60">
        <f t="shared" si="34"/>
        <v>0</v>
      </c>
      <c r="AQ72" s="60">
        <f t="shared" si="35"/>
        <v>0</v>
      </c>
      <c r="AR72" s="60">
        <f t="shared" si="36"/>
        <v>7</v>
      </c>
      <c r="AS72" s="60">
        <f t="shared" si="37"/>
        <v>9</v>
      </c>
      <c r="AT72" s="29"/>
    </row>
    <row r="73" ht="15.75" customHeight="1">
      <c r="A73" s="66" t="s">
        <v>33</v>
      </c>
      <c r="B73" s="67" t="s">
        <v>884</v>
      </c>
      <c r="C73" s="66">
        <v>4.5322664E7</v>
      </c>
      <c r="D73" s="116" t="s">
        <v>885</v>
      </c>
      <c r="E73" s="76" t="s">
        <v>886</v>
      </c>
      <c r="F73" s="45" t="s">
        <v>27</v>
      </c>
      <c r="G73" s="44"/>
      <c r="H73" s="44"/>
      <c r="I73" s="44"/>
      <c r="J73" s="45" t="s">
        <v>27</v>
      </c>
      <c r="K73" s="45" t="s">
        <v>27</v>
      </c>
      <c r="L73" s="45" t="s">
        <v>27</v>
      </c>
      <c r="M73" s="45" t="s">
        <v>27</v>
      </c>
      <c r="N73" s="44"/>
      <c r="O73" s="44"/>
      <c r="P73" s="45" t="s">
        <v>27</v>
      </c>
      <c r="Q73" s="45" t="s">
        <v>27</v>
      </c>
      <c r="R73" s="45" t="s">
        <v>27</v>
      </c>
      <c r="S73" s="44"/>
      <c r="T73" s="44"/>
      <c r="U73" s="44"/>
      <c r="V73" s="45" t="s">
        <v>27</v>
      </c>
      <c r="W73" s="45" t="s">
        <v>27</v>
      </c>
      <c r="X73" s="45" t="s">
        <v>27</v>
      </c>
      <c r="Y73" s="45" t="s">
        <v>27</v>
      </c>
      <c r="Z73" s="44"/>
      <c r="AA73" s="44"/>
      <c r="AB73" s="106" t="s">
        <v>32</v>
      </c>
      <c r="AC73" s="45" t="s">
        <v>27</v>
      </c>
      <c r="AD73" s="45" t="s">
        <v>27</v>
      </c>
      <c r="AE73" s="44"/>
      <c r="AF73" s="44"/>
      <c r="AG73" s="44"/>
      <c r="AH73" s="45" t="s">
        <v>27</v>
      </c>
      <c r="AI73" s="106" t="s">
        <v>32</v>
      </c>
      <c r="AJ73" s="45" t="s">
        <v>27</v>
      </c>
      <c r="AK73" s="244"/>
      <c r="AL73" s="26"/>
      <c r="AM73" s="60" t="str">
        <f t="shared" si="1"/>
        <v/>
      </c>
      <c r="AN73" s="60">
        <f t="shared" si="32"/>
        <v>0</v>
      </c>
      <c r="AO73" s="60">
        <f t="shared" si="33"/>
        <v>0</v>
      </c>
      <c r="AP73" s="60">
        <f t="shared" si="34"/>
        <v>0</v>
      </c>
      <c r="AQ73" s="60">
        <f t="shared" si="35"/>
        <v>0</v>
      </c>
      <c r="AR73" s="60">
        <f t="shared" si="36"/>
        <v>0</v>
      </c>
      <c r="AS73" s="60">
        <f t="shared" si="37"/>
        <v>0</v>
      </c>
      <c r="AT73" s="29"/>
    </row>
    <row r="74" ht="15.75" customHeight="1">
      <c r="A74" s="76" t="s">
        <v>33</v>
      </c>
      <c r="B74" s="67" t="s">
        <v>598</v>
      </c>
      <c r="C74" s="76">
        <v>4.3445489E7</v>
      </c>
      <c r="D74" s="116" t="s">
        <v>599</v>
      </c>
      <c r="E74" s="76">
        <v>1.168396444E9</v>
      </c>
      <c r="F74" s="121" t="s">
        <v>890</v>
      </c>
      <c r="G74" s="11"/>
      <c r="H74" s="44"/>
      <c r="I74" s="44"/>
      <c r="J74" s="45" t="s">
        <v>27</v>
      </c>
      <c r="K74" s="45" t="s">
        <v>27</v>
      </c>
      <c r="L74" s="45" t="s">
        <v>27</v>
      </c>
      <c r="M74" s="45" t="s">
        <v>27</v>
      </c>
      <c r="N74" s="44"/>
      <c r="O74" s="44"/>
      <c r="P74" s="45" t="s">
        <v>27</v>
      </c>
      <c r="Q74" s="45" t="s">
        <v>18</v>
      </c>
      <c r="R74" s="106" t="s">
        <v>32</v>
      </c>
      <c r="S74" s="44"/>
      <c r="T74" s="44"/>
      <c r="U74" s="44"/>
      <c r="V74" s="96" t="s">
        <v>22</v>
      </c>
      <c r="W74" s="96" t="s">
        <v>22</v>
      </c>
      <c r="X74" s="96" t="s">
        <v>22</v>
      </c>
      <c r="Y74" s="96" t="s">
        <v>22</v>
      </c>
      <c r="Z74" s="96" t="s">
        <v>22</v>
      </c>
      <c r="AA74" s="96" t="s">
        <v>22</v>
      </c>
      <c r="AB74" s="96" t="s">
        <v>22</v>
      </c>
      <c r="AC74" s="45" t="s">
        <v>18</v>
      </c>
      <c r="AD74" s="45" t="s">
        <v>27</v>
      </c>
      <c r="AE74" s="44"/>
      <c r="AF74" s="44"/>
      <c r="AG74" s="44"/>
      <c r="AH74" s="45" t="s">
        <v>27</v>
      </c>
      <c r="AI74" s="45" t="s">
        <v>27</v>
      </c>
      <c r="AJ74" s="45" t="s">
        <v>27</v>
      </c>
      <c r="AK74" s="244"/>
      <c r="AL74" s="26"/>
      <c r="AM74" s="60" t="str">
        <f t="shared" si="1"/>
        <v>NO CORRESPONDE FRANCO</v>
      </c>
      <c r="AN74" s="60">
        <f t="shared" si="32"/>
        <v>2</v>
      </c>
      <c r="AO74" s="60">
        <f t="shared" si="33"/>
        <v>0</v>
      </c>
      <c r="AP74" s="60">
        <f t="shared" si="34"/>
        <v>0</v>
      </c>
      <c r="AQ74" s="60">
        <f t="shared" si="35"/>
        <v>0</v>
      </c>
      <c r="AR74" s="60">
        <f t="shared" si="36"/>
        <v>7</v>
      </c>
      <c r="AS74" s="60">
        <f t="shared" si="37"/>
        <v>7</v>
      </c>
      <c r="AT74" s="29"/>
    </row>
    <row r="75" ht="15.75" customHeight="1">
      <c r="A75" s="200"/>
      <c r="B75" s="12"/>
      <c r="C75" s="12"/>
      <c r="D75" s="12"/>
      <c r="E75" s="12"/>
      <c r="F75" s="12"/>
      <c r="G75" s="12"/>
      <c r="H75" s="12"/>
      <c r="I75" s="12"/>
      <c r="J75" s="12"/>
      <c r="K75" s="12"/>
      <c r="L75" s="12"/>
      <c r="M75" s="12"/>
      <c r="N75" s="12"/>
      <c r="O75" s="12"/>
      <c r="P75" s="12"/>
      <c r="Q75" s="12"/>
      <c r="R75" s="12"/>
      <c r="S75" s="12"/>
      <c r="T75" s="12"/>
      <c r="U75" s="12"/>
      <c r="V75" s="12"/>
      <c r="W75" s="12"/>
      <c r="X75" s="12"/>
      <c r="Y75" s="12"/>
      <c r="Z75" s="12"/>
      <c r="AA75" s="12"/>
      <c r="AB75" s="12"/>
      <c r="AC75" s="12"/>
      <c r="AD75" s="12"/>
      <c r="AE75" s="12"/>
      <c r="AF75" s="12"/>
      <c r="AG75" s="12"/>
      <c r="AH75" s="12"/>
      <c r="AI75" s="23"/>
      <c r="AJ75" s="201"/>
      <c r="AK75" s="244"/>
      <c r="AL75" s="26"/>
      <c r="AM75" s="60" t="str">
        <f t="shared" si="1"/>
        <v/>
      </c>
      <c r="AN75" s="60"/>
      <c r="AO75" s="60"/>
      <c r="AP75" s="60"/>
      <c r="AQ75" s="60"/>
      <c r="AR75" s="60"/>
      <c r="AS75" s="29"/>
      <c r="AT75" s="29"/>
    </row>
    <row r="76" ht="15.75" customHeight="1">
      <c r="A76" s="203" t="s">
        <v>893</v>
      </c>
      <c r="B76" s="6"/>
      <c r="C76" s="6"/>
      <c r="D76" s="6"/>
      <c r="E76" s="11"/>
      <c r="F76" s="7">
        <v>1.0</v>
      </c>
      <c r="G76" s="7">
        <v>2.0</v>
      </c>
      <c r="H76" s="7">
        <v>3.0</v>
      </c>
      <c r="I76" s="7">
        <v>4.0</v>
      </c>
      <c r="J76" s="7">
        <v>5.0</v>
      </c>
      <c r="K76" s="7">
        <v>6.0</v>
      </c>
      <c r="L76" s="7">
        <v>7.0</v>
      </c>
      <c r="M76" s="7">
        <v>8.0</v>
      </c>
      <c r="N76" s="7">
        <v>9.0</v>
      </c>
      <c r="O76" s="7">
        <v>10.0</v>
      </c>
      <c r="P76" s="7">
        <v>11.0</v>
      </c>
      <c r="Q76" s="7">
        <v>12.0</v>
      </c>
      <c r="R76" s="7">
        <v>13.0</v>
      </c>
      <c r="S76" s="7">
        <v>14.0</v>
      </c>
      <c r="T76" s="7">
        <v>15.0</v>
      </c>
      <c r="U76" s="7">
        <v>16.0</v>
      </c>
      <c r="V76" s="7">
        <v>17.0</v>
      </c>
      <c r="W76" s="7">
        <v>18.0</v>
      </c>
      <c r="X76" s="7">
        <v>19.0</v>
      </c>
      <c r="Y76" s="7">
        <v>20.0</v>
      </c>
      <c r="Z76" s="7">
        <v>21.0</v>
      </c>
      <c r="AA76" s="7">
        <v>22.0</v>
      </c>
      <c r="AB76" s="7">
        <v>23.0</v>
      </c>
      <c r="AC76" s="7">
        <v>24.0</v>
      </c>
      <c r="AD76" s="7">
        <v>25.0</v>
      </c>
      <c r="AE76" s="7">
        <v>26.0</v>
      </c>
      <c r="AF76" s="7">
        <v>27.0</v>
      </c>
      <c r="AG76" s="7">
        <v>28.0</v>
      </c>
      <c r="AH76" s="7">
        <v>29.0</v>
      </c>
      <c r="AI76" s="7">
        <v>30.0</v>
      </c>
      <c r="AJ76" s="7">
        <v>31.0</v>
      </c>
      <c r="AK76" s="244"/>
      <c r="AL76" s="26"/>
      <c r="AM76" s="60" t="str">
        <f t="shared" si="1"/>
        <v/>
      </c>
      <c r="AN76" s="60"/>
      <c r="AO76" s="60"/>
      <c r="AP76" s="60"/>
      <c r="AQ76" s="60"/>
      <c r="AR76" s="60"/>
      <c r="AS76" s="29"/>
      <c r="AT76" s="29"/>
    </row>
    <row r="77" ht="15.75" customHeight="1">
      <c r="A77" s="207" t="s">
        <v>4</v>
      </c>
      <c r="B77" s="209" t="s">
        <v>5</v>
      </c>
      <c r="C77" s="207" t="s">
        <v>6</v>
      </c>
      <c r="D77" s="209" t="s">
        <v>7</v>
      </c>
      <c r="E77" s="207" t="s">
        <v>8</v>
      </c>
      <c r="F77" s="7" t="s">
        <v>9</v>
      </c>
      <c r="G77" s="7" t="s">
        <v>10</v>
      </c>
      <c r="H77" s="7" t="s">
        <v>11</v>
      </c>
      <c r="I77" s="7" t="s">
        <v>12</v>
      </c>
      <c r="J77" s="7" t="s">
        <v>12</v>
      </c>
      <c r="K77" s="7" t="s">
        <v>13</v>
      </c>
      <c r="L77" s="7" t="s">
        <v>15</v>
      </c>
      <c r="M77" s="7" t="s">
        <v>9</v>
      </c>
      <c r="N77" s="7" t="s">
        <v>10</v>
      </c>
      <c r="O77" s="7" t="s">
        <v>11</v>
      </c>
      <c r="P77" s="7" t="s">
        <v>12</v>
      </c>
      <c r="Q77" s="7" t="s">
        <v>12</v>
      </c>
      <c r="R77" s="7" t="s">
        <v>13</v>
      </c>
      <c r="S77" s="7" t="s">
        <v>15</v>
      </c>
      <c r="T77" s="7" t="s">
        <v>9</v>
      </c>
      <c r="U77" s="7" t="s">
        <v>10</v>
      </c>
      <c r="V77" s="7" t="s">
        <v>11</v>
      </c>
      <c r="W77" s="7" t="s">
        <v>12</v>
      </c>
      <c r="X77" s="7" t="s">
        <v>12</v>
      </c>
      <c r="Y77" s="7" t="s">
        <v>13</v>
      </c>
      <c r="Z77" s="7" t="s">
        <v>15</v>
      </c>
      <c r="AA77" s="7" t="s">
        <v>9</v>
      </c>
      <c r="AB77" s="7" t="s">
        <v>10</v>
      </c>
      <c r="AC77" s="7" t="s">
        <v>11</v>
      </c>
      <c r="AD77" s="7" t="s">
        <v>12</v>
      </c>
      <c r="AE77" s="7" t="s">
        <v>12</v>
      </c>
      <c r="AF77" s="7" t="s">
        <v>13</v>
      </c>
      <c r="AG77" s="27" t="s">
        <v>15</v>
      </c>
      <c r="AH77" s="7" t="s">
        <v>9</v>
      </c>
      <c r="AI77" s="7" t="s">
        <v>10</v>
      </c>
      <c r="AJ77" s="7" t="s">
        <v>11</v>
      </c>
      <c r="AK77" s="244"/>
      <c r="AL77" s="26"/>
      <c r="AM77" s="60" t="str">
        <f t="shared" si="1"/>
        <v/>
      </c>
      <c r="AN77" s="60"/>
      <c r="AO77" s="60"/>
      <c r="AP77" s="60"/>
      <c r="AQ77" s="60"/>
      <c r="AR77" s="60"/>
      <c r="AS77" s="29"/>
      <c r="AT77" s="29"/>
    </row>
    <row r="78" ht="15.75" customHeight="1">
      <c r="A78" s="66" t="s">
        <v>898</v>
      </c>
      <c r="B78" s="67" t="s">
        <v>899</v>
      </c>
      <c r="C78" s="66">
        <v>12177.0</v>
      </c>
      <c r="D78" s="67"/>
      <c r="E78" s="67"/>
      <c r="F78" s="45" t="s">
        <v>78</v>
      </c>
      <c r="G78" s="45" t="s">
        <v>733</v>
      </c>
      <c r="H78" s="44"/>
      <c r="I78" s="44"/>
      <c r="J78" s="44"/>
      <c r="K78" s="352" t="s">
        <v>733</v>
      </c>
      <c r="L78" s="468" t="s">
        <v>78</v>
      </c>
      <c r="M78" s="468" t="s">
        <v>78</v>
      </c>
      <c r="N78" s="44"/>
      <c r="O78" s="44"/>
      <c r="P78" s="468" t="s">
        <v>78</v>
      </c>
      <c r="Q78" s="468" t="s">
        <v>78</v>
      </c>
      <c r="R78" s="468" t="s">
        <v>78</v>
      </c>
      <c r="S78" s="468" t="s">
        <v>78</v>
      </c>
      <c r="T78" s="44"/>
      <c r="U78" s="44"/>
      <c r="V78" s="44"/>
      <c r="W78" s="468" t="s">
        <v>78</v>
      </c>
      <c r="X78" s="468" t="s">
        <v>78</v>
      </c>
      <c r="Y78" s="70"/>
      <c r="Z78" s="44"/>
      <c r="AA78" s="44"/>
      <c r="AB78" s="352" t="s">
        <v>733</v>
      </c>
      <c r="AC78" s="352" t="s">
        <v>733</v>
      </c>
      <c r="AD78" s="352" t="s">
        <v>733</v>
      </c>
      <c r="AE78" s="352" t="s">
        <v>733</v>
      </c>
      <c r="AF78" s="44"/>
      <c r="AG78" s="44"/>
      <c r="AH78" s="44"/>
      <c r="AI78" s="352" t="s">
        <v>78</v>
      </c>
      <c r="AJ78" s="352" t="s">
        <v>78</v>
      </c>
      <c r="AK78" s="244"/>
      <c r="AL78" s="26"/>
      <c r="AM78" s="60" t="str">
        <f t="shared" si="1"/>
        <v/>
      </c>
      <c r="AN78" s="60">
        <f t="shared" ref="AN78:AN87" si="38">COUNTIF($F78:$AJ78,"LLT")</f>
        <v>0</v>
      </c>
      <c r="AO78" s="60">
        <f t="shared" ref="AO78:AO87" si="39">COUNTIF($F78:$AJ78,"LM")</f>
        <v>0</v>
      </c>
      <c r="AP78" s="60">
        <f t="shared" ref="AP78:AP87" si="40">COUNTIF($F78:$AJ78,"FaC")</f>
        <v>0</v>
      </c>
      <c r="AQ78" s="60">
        <f t="shared" ref="AQ78:AQ87" si="41">COUNTIF($F78:$AJ78,"LxE")</f>
        <v>0</v>
      </c>
      <c r="AR78" s="60">
        <f t="shared" ref="AR78:AR87" si="42">COUNTIF($F78:$AJ78,"LA")</f>
        <v>0</v>
      </c>
      <c r="AS78" s="60">
        <f t="shared" ref="AS78:AS87" si="43">SUM(AO78:AR78)</f>
        <v>0</v>
      </c>
      <c r="AT78" s="29"/>
    </row>
    <row r="79" ht="15.75" customHeight="1">
      <c r="A79" s="66" t="s">
        <v>33</v>
      </c>
      <c r="B79" s="116" t="s">
        <v>903</v>
      </c>
      <c r="C79" s="76">
        <v>1.8822937E7</v>
      </c>
      <c r="D79" s="116" t="s">
        <v>904</v>
      </c>
      <c r="E79" s="76" t="s">
        <v>905</v>
      </c>
      <c r="F79" s="45" t="s">
        <v>27</v>
      </c>
      <c r="G79" s="45" t="s">
        <v>27</v>
      </c>
      <c r="H79" s="44"/>
      <c r="I79" s="44"/>
      <c r="J79" s="44"/>
      <c r="K79" s="45" t="s">
        <v>27</v>
      </c>
      <c r="L79" s="45" t="s">
        <v>27</v>
      </c>
      <c r="M79" s="106" t="s">
        <v>32</v>
      </c>
      <c r="N79" s="44"/>
      <c r="O79" s="44"/>
      <c r="P79" s="45" t="s">
        <v>27</v>
      </c>
      <c r="Q79" s="45" t="s">
        <v>27</v>
      </c>
      <c r="R79" s="45" t="s">
        <v>27</v>
      </c>
      <c r="S79" s="45" t="s">
        <v>27</v>
      </c>
      <c r="T79" s="44"/>
      <c r="U79" s="44"/>
      <c r="V79" s="44"/>
      <c r="W79" s="45" t="s">
        <v>27</v>
      </c>
      <c r="X79" s="45" t="s">
        <v>27</v>
      </c>
      <c r="Y79" s="45" t="s">
        <v>27</v>
      </c>
      <c r="Z79" s="44"/>
      <c r="AA79" s="44"/>
      <c r="AB79" s="45" t="s">
        <v>27</v>
      </c>
      <c r="AC79" s="45" t="s">
        <v>27</v>
      </c>
      <c r="AD79" s="45" t="s">
        <v>27</v>
      </c>
      <c r="AE79" s="45" t="s">
        <v>27</v>
      </c>
      <c r="AF79" s="44"/>
      <c r="AG79" s="44"/>
      <c r="AH79" s="44"/>
      <c r="AI79" s="106" t="s">
        <v>32</v>
      </c>
      <c r="AJ79" s="106" t="s">
        <v>32</v>
      </c>
      <c r="AK79" s="244"/>
      <c r="AL79" s="26"/>
      <c r="AM79" s="60" t="str">
        <f t="shared" si="1"/>
        <v/>
      </c>
      <c r="AN79" s="60">
        <f t="shared" si="38"/>
        <v>0</v>
      </c>
      <c r="AO79" s="60">
        <f t="shared" si="39"/>
        <v>0</v>
      </c>
      <c r="AP79" s="60">
        <f t="shared" si="40"/>
        <v>0</v>
      </c>
      <c r="AQ79" s="60">
        <f t="shared" si="41"/>
        <v>0</v>
      </c>
      <c r="AR79" s="60">
        <f t="shared" si="42"/>
        <v>0</v>
      </c>
      <c r="AS79" s="60">
        <f t="shared" si="43"/>
        <v>0</v>
      </c>
      <c r="AT79" s="29"/>
    </row>
    <row r="80" ht="15.75" customHeight="1">
      <c r="A80" s="66" t="s">
        <v>33</v>
      </c>
      <c r="B80" s="159" t="s">
        <v>907</v>
      </c>
      <c r="C80" s="76">
        <v>2.2819436E7</v>
      </c>
      <c r="D80" s="67" t="s">
        <v>909</v>
      </c>
      <c r="E80" s="66" t="s">
        <v>910</v>
      </c>
      <c r="F80" s="45" t="s">
        <v>27</v>
      </c>
      <c r="G80" s="45" t="s">
        <v>27</v>
      </c>
      <c r="H80" s="44"/>
      <c r="I80" s="44"/>
      <c r="J80" s="44"/>
      <c r="K80" s="45" t="s">
        <v>27</v>
      </c>
      <c r="L80" s="45" t="s">
        <v>27</v>
      </c>
      <c r="M80" s="45" t="s">
        <v>27</v>
      </c>
      <c r="N80" s="44"/>
      <c r="O80" s="44"/>
      <c r="P80" s="45" t="s">
        <v>27</v>
      </c>
      <c r="Q80" s="45" t="s">
        <v>27</v>
      </c>
      <c r="R80" s="45" t="s">
        <v>27</v>
      </c>
      <c r="S80" s="45" t="s">
        <v>27</v>
      </c>
      <c r="T80" s="44"/>
      <c r="U80" s="175" t="s">
        <v>27</v>
      </c>
      <c r="V80" s="103" t="s">
        <v>27</v>
      </c>
      <c r="W80" s="45" t="s">
        <v>27</v>
      </c>
      <c r="X80" s="533" t="s">
        <v>79</v>
      </c>
      <c r="Y80" s="109" t="s">
        <v>79</v>
      </c>
      <c r="Z80" s="44"/>
      <c r="AA80" s="44"/>
      <c r="AB80" s="192" t="s">
        <v>22</v>
      </c>
      <c r="AC80" s="192" t="s">
        <v>22</v>
      </c>
      <c r="AD80" s="192" t="s">
        <v>22</v>
      </c>
      <c r="AE80" s="192" t="s">
        <v>22</v>
      </c>
      <c r="AF80" s="192" t="s">
        <v>22</v>
      </c>
      <c r="AG80" s="192" t="s">
        <v>22</v>
      </c>
      <c r="AH80" s="44"/>
      <c r="AI80" s="45" t="s">
        <v>27</v>
      </c>
      <c r="AJ80" s="45" t="s">
        <v>27</v>
      </c>
      <c r="AK80" s="244"/>
      <c r="AL80" s="26"/>
      <c r="AM80" s="60" t="str">
        <f t="shared" si="1"/>
        <v>NO CORRESPONDE FRANCO</v>
      </c>
      <c r="AN80" s="60">
        <f t="shared" si="38"/>
        <v>0</v>
      </c>
      <c r="AO80" s="60">
        <f t="shared" si="39"/>
        <v>0</v>
      </c>
      <c r="AP80" s="60">
        <f t="shared" si="40"/>
        <v>0</v>
      </c>
      <c r="AQ80" s="60">
        <f t="shared" si="41"/>
        <v>0</v>
      </c>
      <c r="AR80" s="60">
        <f t="shared" si="42"/>
        <v>6</v>
      </c>
      <c r="AS80" s="60">
        <f t="shared" si="43"/>
        <v>6</v>
      </c>
      <c r="AT80" s="29"/>
    </row>
    <row r="81" ht="15.75" customHeight="1">
      <c r="A81" s="76" t="s">
        <v>33</v>
      </c>
      <c r="B81" s="116" t="s">
        <v>912</v>
      </c>
      <c r="C81" s="76">
        <v>2.5512003E7</v>
      </c>
      <c r="D81" s="97" t="s">
        <v>913</v>
      </c>
      <c r="E81" s="66" t="s">
        <v>914</v>
      </c>
      <c r="F81" s="45" t="s">
        <v>27</v>
      </c>
      <c r="G81" s="45" t="s">
        <v>27</v>
      </c>
      <c r="H81" s="44"/>
      <c r="I81" s="44"/>
      <c r="J81" s="44"/>
      <c r="K81" s="45" t="s">
        <v>27</v>
      </c>
      <c r="L81" s="45" t="s">
        <v>27</v>
      </c>
      <c r="M81" s="45" t="s">
        <v>27</v>
      </c>
      <c r="N81" s="44"/>
      <c r="O81" s="44"/>
      <c r="P81" s="45" t="s">
        <v>27</v>
      </c>
      <c r="Q81" s="45" t="s">
        <v>27</v>
      </c>
      <c r="R81" s="45" t="s">
        <v>27</v>
      </c>
      <c r="S81" s="45" t="s">
        <v>27</v>
      </c>
      <c r="T81" s="44"/>
      <c r="U81" s="44"/>
      <c r="V81" s="44"/>
      <c r="W81" s="45" t="s">
        <v>27</v>
      </c>
      <c r="X81" s="45" t="s">
        <v>27</v>
      </c>
      <c r="Y81" s="45" t="s">
        <v>27</v>
      </c>
      <c r="Z81" s="44"/>
      <c r="AA81" s="44"/>
      <c r="AB81" s="45" t="s">
        <v>27</v>
      </c>
      <c r="AC81" s="45" t="s">
        <v>27</v>
      </c>
      <c r="AD81" s="45" t="s">
        <v>27</v>
      </c>
      <c r="AE81" s="45" t="s">
        <v>27</v>
      </c>
      <c r="AF81" s="44"/>
      <c r="AG81" s="44"/>
      <c r="AH81" s="44"/>
      <c r="AI81" s="106" t="s">
        <v>32</v>
      </c>
      <c r="AJ81" s="106" t="s">
        <v>32</v>
      </c>
      <c r="AK81" s="244"/>
      <c r="AL81" s="26"/>
      <c r="AM81" s="60" t="str">
        <f t="shared" si="1"/>
        <v/>
      </c>
      <c r="AN81" s="60">
        <f t="shared" si="38"/>
        <v>0</v>
      </c>
      <c r="AO81" s="60">
        <f t="shared" si="39"/>
        <v>0</v>
      </c>
      <c r="AP81" s="60">
        <f t="shared" si="40"/>
        <v>0</v>
      </c>
      <c r="AQ81" s="60">
        <f t="shared" si="41"/>
        <v>0</v>
      </c>
      <c r="AR81" s="60">
        <f t="shared" si="42"/>
        <v>0</v>
      </c>
      <c r="AS81" s="60">
        <f t="shared" si="43"/>
        <v>0</v>
      </c>
      <c r="AT81" s="29"/>
    </row>
    <row r="82" ht="15.75" customHeight="1">
      <c r="A82" s="76" t="s">
        <v>168</v>
      </c>
      <c r="B82" s="116" t="s">
        <v>916</v>
      </c>
      <c r="C82" s="76">
        <v>3.7536984E7</v>
      </c>
      <c r="D82" s="116" t="s">
        <v>917</v>
      </c>
      <c r="E82" s="66" t="s">
        <v>918</v>
      </c>
      <c r="F82" s="45" t="s">
        <v>27</v>
      </c>
      <c r="G82" s="45" t="s">
        <v>27</v>
      </c>
      <c r="H82" s="44"/>
      <c r="I82" s="44"/>
      <c r="J82" s="44"/>
      <c r="K82" s="192" t="s">
        <v>22</v>
      </c>
      <c r="L82" s="192" t="s">
        <v>22</v>
      </c>
      <c r="M82" s="192" t="s">
        <v>22</v>
      </c>
      <c r="N82" s="192" t="s">
        <v>22</v>
      </c>
      <c r="O82" s="192" t="s">
        <v>22</v>
      </c>
      <c r="P82" s="192" t="s">
        <v>22</v>
      </c>
      <c r="Q82" s="192" t="s">
        <v>22</v>
      </c>
      <c r="R82" s="106" t="s">
        <v>32</v>
      </c>
      <c r="S82" s="45" t="s">
        <v>27</v>
      </c>
      <c r="T82" s="44"/>
      <c r="U82" s="44"/>
      <c r="V82" s="44"/>
      <c r="W82" s="45" t="s">
        <v>27</v>
      </c>
      <c r="X82" s="45" t="s">
        <v>27</v>
      </c>
      <c r="Y82" s="45" t="s">
        <v>27</v>
      </c>
      <c r="Z82" s="44"/>
      <c r="AA82" s="44"/>
      <c r="AB82" s="70"/>
      <c r="AC82" s="134" t="s">
        <v>19</v>
      </c>
      <c r="AD82" s="134" t="s">
        <v>19</v>
      </c>
      <c r="AE82" s="45" t="s">
        <v>27</v>
      </c>
      <c r="AF82" s="44"/>
      <c r="AG82" s="44"/>
      <c r="AH82" s="44"/>
      <c r="AI82" s="45" t="s">
        <v>27</v>
      </c>
      <c r="AJ82" s="45" t="s">
        <v>27</v>
      </c>
      <c r="AK82" s="244"/>
      <c r="AL82" s="26"/>
      <c r="AM82" s="60" t="str">
        <f t="shared" si="1"/>
        <v>NO CORRESPONDE FRANCO</v>
      </c>
      <c r="AN82" s="60">
        <f t="shared" si="38"/>
        <v>0</v>
      </c>
      <c r="AO82" s="60">
        <f t="shared" si="39"/>
        <v>2</v>
      </c>
      <c r="AP82" s="60">
        <f t="shared" si="40"/>
        <v>0</v>
      </c>
      <c r="AQ82" s="60">
        <f t="shared" si="41"/>
        <v>0</v>
      </c>
      <c r="AR82" s="60">
        <f t="shared" si="42"/>
        <v>7</v>
      </c>
      <c r="AS82" s="60">
        <f t="shared" si="43"/>
        <v>9</v>
      </c>
      <c r="AT82" s="29"/>
    </row>
    <row r="83" ht="15.75" customHeight="1">
      <c r="A83" s="76" t="s">
        <v>168</v>
      </c>
      <c r="B83" s="116" t="s">
        <v>920</v>
      </c>
      <c r="C83" s="76">
        <v>3.935289E7</v>
      </c>
      <c r="D83" s="534" t="s">
        <v>921</v>
      </c>
      <c r="E83" s="66" t="s">
        <v>922</v>
      </c>
      <c r="F83" s="352" t="s">
        <v>78</v>
      </c>
      <c r="G83" s="45" t="s">
        <v>27</v>
      </c>
      <c r="H83" s="44"/>
      <c r="I83" s="44"/>
      <c r="J83" s="44"/>
      <c r="K83" s="45" t="s">
        <v>27</v>
      </c>
      <c r="L83" s="45" t="s">
        <v>27</v>
      </c>
      <c r="M83" s="45" t="s">
        <v>27</v>
      </c>
      <c r="N83" s="44"/>
      <c r="O83" s="44"/>
      <c r="P83" s="45" t="s">
        <v>27</v>
      </c>
      <c r="Q83" s="45" t="s">
        <v>27</v>
      </c>
      <c r="R83" s="45" t="s">
        <v>27</v>
      </c>
      <c r="S83" s="45" t="s">
        <v>27</v>
      </c>
      <c r="T83" s="44"/>
      <c r="U83" s="44"/>
      <c r="V83" s="44"/>
      <c r="W83" s="45" t="s">
        <v>27</v>
      </c>
      <c r="X83" s="45" t="s">
        <v>27</v>
      </c>
      <c r="Y83" s="45" t="s">
        <v>27</v>
      </c>
      <c r="Z83" s="44"/>
      <c r="AA83" s="44"/>
      <c r="AB83" s="45" t="s">
        <v>27</v>
      </c>
      <c r="AC83" s="45" t="s">
        <v>27</v>
      </c>
      <c r="AD83" s="45" t="s">
        <v>27</v>
      </c>
      <c r="AE83" s="45" t="s">
        <v>27</v>
      </c>
      <c r="AF83" s="44"/>
      <c r="AG83" s="44"/>
      <c r="AH83" s="44"/>
      <c r="AI83" s="45" t="s">
        <v>27</v>
      </c>
      <c r="AJ83" s="45" t="s">
        <v>27</v>
      </c>
      <c r="AK83" s="244"/>
      <c r="AL83" s="26"/>
      <c r="AM83" s="60" t="str">
        <f t="shared" si="1"/>
        <v/>
      </c>
      <c r="AN83" s="60">
        <f t="shared" si="38"/>
        <v>0</v>
      </c>
      <c r="AO83" s="60">
        <f t="shared" si="39"/>
        <v>0</v>
      </c>
      <c r="AP83" s="60">
        <f t="shared" si="40"/>
        <v>0</v>
      </c>
      <c r="AQ83" s="60">
        <f t="shared" si="41"/>
        <v>0</v>
      </c>
      <c r="AR83" s="60">
        <f t="shared" si="42"/>
        <v>0</v>
      </c>
      <c r="AS83" s="60">
        <f t="shared" si="43"/>
        <v>0</v>
      </c>
      <c r="AT83" s="29"/>
    </row>
    <row r="84" ht="15.75" customHeight="1">
      <c r="A84" s="76" t="s">
        <v>168</v>
      </c>
      <c r="B84" s="116" t="s">
        <v>924</v>
      </c>
      <c r="C84" s="76">
        <v>2.5594921E7</v>
      </c>
      <c r="D84" s="116" t="s">
        <v>925</v>
      </c>
      <c r="E84" s="66" t="s">
        <v>926</v>
      </c>
      <c r="F84" s="134" t="s">
        <v>19</v>
      </c>
      <c r="G84" s="134" t="s">
        <v>19</v>
      </c>
      <c r="H84" s="134" t="s">
        <v>19</v>
      </c>
      <c r="I84" s="134" t="s">
        <v>19</v>
      </c>
      <c r="J84" s="134" t="s">
        <v>19</v>
      </c>
      <c r="K84" s="134" t="s">
        <v>19</v>
      </c>
      <c r="L84" s="134" t="s">
        <v>19</v>
      </c>
      <c r="M84" s="134" t="s">
        <v>19</v>
      </c>
      <c r="N84" s="134" t="s">
        <v>19</v>
      </c>
      <c r="O84" s="134" t="s">
        <v>19</v>
      </c>
      <c r="P84" s="134" t="s">
        <v>19</v>
      </c>
      <c r="Q84" s="134" t="s">
        <v>19</v>
      </c>
      <c r="R84" s="134" t="s">
        <v>19</v>
      </c>
      <c r="S84" s="134" t="s">
        <v>19</v>
      </c>
      <c r="T84" s="134" t="s">
        <v>19</v>
      </c>
      <c r="U84" s="134" t="s">
        <v>19</v>
      </c>
      <c r="V84" s="134" t="s">
        <v>19</v>
      </c>
      <c r="W84" s="134" t="s">
        <v>19</v>
      </c>
      <c r="X84" s="134"/>
      <c r="Y84" s="134" t="s">
        <v>19</v>
      </c>
      <c r="Z84" s="134" t="s">
        <v>19</v>
      </c>
      <c r="AA84" s="134" t="s">
        <v>19</v>
      </c>
      <c r="AB84" s="134" t="s">
        <v>19</v>
      </c>
      <c r="AC84" s="134" t="s">
        <v>19</v>
      </c>
      <c r="AD84" s="134" t="s">
        <v>19</v>
      </c>
      <c r="AE84" s="134" t="s">
        <v>19</v>
      </c>
      <c r="AF84" s="134" t="s">
        <v>19</v>
      </c>
      <c r="AG84" s="134" t="s">
        <v>19</v>
      </c>
      <c r="AH84" s="134" t="s">
        <v>19</v>
      </c>
      <c r="AI84" s="134" t="s">
        <v>19</v>
      </c>
      <c r="AJ84" s="134" t="s">
        <v>19</v>
      </c>
      <c r="AK84" s="134" t="s">
        <v>930</v>
      </c>
      <c r="AL84" s="26"/>
      <c r="AM84" s="60" t="str">
        <f t="shared" si="1"/>
        <v>NO CORRESPONDE FRANCO</v>
      </c>
      <c r="AN84" s="60">
        <f t="shared" si="38"/>
        <v>0</v>
      </c>
      <c r="AO84" s="60">
        <f t="shared" si="39"/>
        <v>30</v>
      </c>
      <c r="AP84" s="60">
        <f t="shared" si="40"/>
        <v>0</v>
      </c>
      <c r="AQ84" s="60">
        <f t="shared" si="41"/>
        <v>0</v>
      </c>
      <c r="AR84" s="60">
        <f t="shared" si="42"/>
        <v>0</v>
      </c>
      <c r="AS84" s="60">
        <f t="shared" si="43"/>
        <v>30</v>
      </c>
      <c r="AT84" s="29"/>
    </row>
    <row r="85" ht="14.25" customHeight="1">
      <c r="A85" s="292" t="s">
        <v>168</v>
      </c>
      <c r="B85" s="385" t="s">
        <v>932</v>
      </c>
      <c r="C85" s="292">
        <v>3.9761723E7</v>
      </c>
      <c r="D85" s="534" t="s">
        <v>933</v>
      </c>
      <c r="E85" s="108" t="s">
        <v>934</v>
      </c>
      <c r="F85" s="45" t="s">
        <v>27</v>
      </c>
      <c r="G85" s="533" t="s">
        <v>79</v>
      </c>
      <c r="H85" s="44"/>
      <c r="I85" s="44"/>
      <c r="J85" s="44"/>
      <c r="K85" s="192" t="s">
        <v>22</v>
      </c>
      <c r="L85" s="192" t="s">
        <v>22</v>
      </c>
      <c r="M85" s="192" t="s">
        <v>22</v>
      </c>
      <c r="N85" s="192" t="s">
        <v>22</v>
      </c>
      <c r="O85" s="192" t="s">
        <v>22</v>
      </c>
      <c r="P85" s="192" t="s">
        <v>22</v>
      </c>
      <c r="Q85" s="192" t="s">
        <v>22</v>
      </c>
      <c r="R85" s="533" t="s">
        <v>79</v>
      </c>
      <c r="S85" s="533" t="s">
        <v>79</v>
      </c>
      <c r="T85" s="44"/>
      <c r="U85" s="44"/>
      <c r="V85" s="44"/>
      <c r="W85" s="45" t="s">
        <v>27</v>
      </c>
      <c r="X85" s="45" t="s">
        <v>27</v>
      </c>
      <c r="Y85" s="134" t="s">
        <v>19</v>
      </c>
      <c r="Z85" s="134" t="s">
        <v>19</v>
      </c>
      <c r="AA85" s="44"/>
      <c r="AB85" s="134" t="s">
        <v>19</v>
      </c>
      <c r="AC85" s="134" t="s">
        <v>19</v>
      </c>
      <c r="AD85" s="45" t="s">
        <v>27</v>
      </c>
      <c r="AE85" s="45" t="s">
        <v>18</v>
      </c>
      <c r="AF85" s="352" t="s">
        <v>733</v>
      </c>
      <c r="AG85" s="44"/>
      <c r="AH85" s="44"/>
      <c r="AI85" s="91" t="s">
        <v>19</v>
      </c>
      <c r="AJ85" s="91" t="s">
        <v>19</v>
      </c>
      <c r="AK85" s="244"/>
      <c r="AL85" s="26"/>
      <c r="AM85" s="60" t="str">
        <f t="shared" si="1"/>
        <v>NO CORRESPONDE FRANCO</v>
      </c>
      <c r="AN85" s="60">
        <f t="shared" si="38"/>
        <v>1</v>
      </c>
      <c r="AO85" s="60">
        <f t="shared" si="39"/>
        <v>6</v>
      </c>
      <c r="AP85" s="60">
        <f t="shared" si="40"/>
        <v>0</v>
      </c>
      <c r="AQ85" s="60">
        <f t="shared" si="41"/>
        <v>0</v>
      </c>
      <c r="AR85" s="60">
        <f t="shared" si="42"/>
        <v>7</v>
      </c>
      <c r="AS85" s="60">
        <f t="shared" si="43"/>
        <v>13</v>
      </c>
      <c r="AT85" s="29"/>
    </row>
    <row r="86" ht="15.75" customHeight="1">
      <c r="A86" s="76" t="s">
        <v>168</v>
      </c>
      <c r="B86" s="116" t="s">
        <v>940</v>
      </c>
      <c r="C86" s="76">
        <v>2.364386E7</v>
      </c>
      <c r="D86" s="116" t="s">
        <v>942</v>
      </c>
      <c r="E86" s="66" t="s">
        <v>943</v>
      </c>
      <c r="F86" s="45" t="s">
        <v>27</v>
      </c>
      <c r="G86" s="45" t="s">
        <v>27</v>
      </c>
      <c r="H86" s="44"/>
      <c r="I86" s="44"/>
      <c r="J86" s="44"/>
      <c r="K86" s="45" t="s">
        <v>27</v>
      </c>
      <c r="L86" s="45" t="s">
        <v>27</v>
      </c>
      <c r="M86" s="45" t="s">
        <v>27</v>
      </c>
      <c r="N86" s="44"/>
      <c r="O86" s="44"/>
      <c r="P86" s="106" t="s">
        <v>32</v>
      </c>
      <c r="Q86" s="45" t="s">
        <v>27</v>
      </c>
      <c r="R86" s="45" t="s">
        <v>27</v>
      </c>
      <c r="S86" s="45" t="s">
        <v>27</v>
      </c>
      <c r="T86" s="44"/>
      <c r="U86" s="44"/>
      <c r="V86" s="44"/>
      <c r="W86" s="45" t="s">
        <v>27</v>
      </c>
      <c r="X86" s="45" t="s">
        <v>27</v>
      </c>
      <c r="Y86" s="106" t="s">
        <v>32</v>
      </c>
      <c r="Z86" s="44"/>
      <c r="AA86" s="44"/>
      <c r="AB86" s="45" t="s">
        <v>27</v>
      </c>
      <c r="AC86" s="45" t="s">
        <v>27</v>
      </c>
      <c r="AD86" s="45" t="s">
        <v>27</v>
      </c>
      <c r="AE86" s="45" t="s">
        <v>27</v>
      </c>
      <c r="AF86" s="44"/>
      <c r="AG86" s="44"/>
      <c r="AH86" s="44"/>
      <c r="AI86" s="45" t="s">
        <v>27</v>
      </c>
      <c r="AJ86" s="45" t="s">
        <v>27</v>
      </c>
      <c r="AK86" s="244"/>
      <c r="AL86" s="26"/>
      <c r="AM86" s="60" t="str">
        <f t="shared" si="1"/>
        <v/>
      </c>
      <c r="AN86" s="60">
        <f t="shared" si="38"/>
        <v>0</v>
      </c>
      <c r="AO86" s="60">
        <f t="shared" si="39"/>
        <v>0</v>
      </c>
      <c r="AP86" s="60">
        <f t="shared" si="40"/>
        <v>0</v>
      </c>
      <c r="AQ86" s="60">
        <f t="shared" si="41"/>
        <v>0</v>
      </c>
      <c r="AR86" s="60">
        <f t="shared" si="42"/>
        <v>0</v>
      </c>
      <c r="AS86" s="60">
        <f t="shared" si="43"/>
        <v>0</v>
      </c>
      <c r="AT86" s="29"/>
    </row>
    <row r="87" ht="15.75" customHeight="1">
      <c r="A87" s="66" t="s">
        <v>33</v>
      </c>
      <c r="B87" s="148" t="s">
        <v>945</v>
      </c>
      <c r="C87" s="66">
        <v>4.2192687E7</v>
      </c>
      <c r="D87" s="68" t="s">
        <v>948</v>
      </c>
      <c r="E87" s="66" t="s">
        <v>949</v>
      </c>
      <c r="F87" s="103" t="s">
        <v>18</v>
      </c>
      <c r="G87" s="533" t="s">
        <v>79</v>
      </c>
      <c r="H87" s="44"/>
      <c r="I87" s="175" t="s">
        <v>18</v>
      </c>
      <c r="J87" s="44"/>
      <c r="K87" s="45" t="s">
        <v>27</v>
      </c>
      <c r="L87" s="134" t="s">
        <v>19</v>
      </c>
      <c r="M87" s="533" t="s">
        <v>79</v>
      </c>
      <c r="N87" s="44"/>
      <c r="O87" s="44"/>
      <c r="P87" s="45" t="s">
        <v>18</v>
      </c>
      <c r="Q87" s="45" t="s">
        <v>18</v>
      </c>
      <c r="R87" s="45" t="s">
        <v>18</v>
      </c>
      <c r="S87" s="45" t="s">
        <v>18</v>
      </c>
      <c r="T87" s="44"/>
      <c r="U87" s="44"/>
      <c r="V87" s="44"/>
      <c r="W87" s="45" t="s">
        <v>27</v>
      </c>
      <c r="X87" s="70"/>
      <c r="Y87" s="134" t="s">
        <v>19</v>
      </c>
      <c r="Z87" s="44"/>
      <c r="AA87" s="44"/>
      <c r="AB87" s="45" t="s">
        <v>27</v>
      </c>
      <c r="AC87" s="45" t="s">
        <v>18</v>
      </c>
      <c r="AD87" s="70"/>
      <c r="AE87" s="45" t="s">
        <v>27</v>
      </c>
      <c r="AF87" s="44"/>
      <c r="AG87" s="44"/>
      <c r="AH87" s="103" t="s">
        <v>27</v>
      </c>
      <c r="AI87" s="45" t="s">
        <v>27</v>
      </c>
      <c r="AJ87" s="45" t="s">
        <v>18</v>
      </c>
      <c r="AK87" s="244"/>
      <c r="AL87" s="26"/>
      <c r="AM87" s="60" t="str">
        <f t="shared" si="1"/>
        <v>NO CORRESPONDE FRANCO</v>
      </c>
      <c r="AN87" s="60">
        <f t="shared" si="38"/>
        <v>8</v>
      </c>
      <c r="AO87" s="60">
        <f t="shared" si="39"/>
        <v>2</v>
      </c>
      <c r="AP87" s="60">
        <f t="shared" si="40"/>
        <v>0</v>
      </c>
      <c r="AQ87" s="60">
        <f t="shared" si="41"/>
        <v>0</v>
      </c>
      <c r="AR87" s="60">
        <f t="shared" si="42"/>
        <v>0</v>
      </c>
      <c r="AS87" s="60">
        <f t="shared" si="43"/>
        <v>2</v>
      </c>
      <c r="AT87" s="29"/>
    </row>
    <row r="88" ht="15.75" customHeight="1">
      <c r="A88" s="66" t="s">
        <v>33</v>
      </c>
      <c r="B88" s="159" t="s">
        <v>954</v>
      </c>
      <c r="C88" s="172">
        <v>4.8717137E7</v>
      </c>
      <c r="D88" s="539" t="s">
        <v>955</v>
      </c>
      <c r="E88" s="172" t="s">
        <v>956</v>
      </c>
      <c r="F88" s="540"/>
      <c r="G88" s="540"/>
      <c r="H88" s="328"/>
      <c r="I88" s="540"/>
      <c r="J88" s="328"/>
      <c r="K88" s="45" t="s">
        <v>27</v>
      </c>
      <c r="L88" s="45" t="s">
        <v>18</v>
      </c>
      <c r="M88" s="44"/>
      <c r="N88" s="44"/>
      <c r="O88" s="45" t="s">
        <v>27</v>
      </c>
      <c r="P88" s="45" t="s">
        <v>27</v>
      </c>
      <c r="Q88" s="45" t="s">
        <v>27</v>
      </c>
      <c r="R88" s="45"/>
      <c r="S88" s="45" t="s">
        <v>27</v>
      </c>
      <c r="T88" s="44"/>
      <c r="U88" s="44"/>
      <c r="V88" s="103" t="s">
        <v>120</v>
      </c>
      <c r="W88" s="45" t="s">
        <v>27</v>
      </c>
      <c r="X88" s="45" t="s">
        <v>120</v>
      </c>
      <c r="Y88" s="45" t="s">
        <v>27</v>
      </c>
      <c r="Z88" s="44"/>
      <c r="AA88" s="44"/>
      <c r="AB88" s="44"/>
      <c r="AC88" s="45" t="s">
        <v>27</v>
      </c>
      <c r="AD88" s="45" t="s">
        <v>27</v>
      </c>
      <c r="AE88" s="70"/>
      <c r="AF88" s="44"/>
      <c r="AG88" s="44"/>
      <c r="AH88" s="490"/>
      <c r="AI88" s="106" t="s">
        <v>32</v>
      </c>
      <c r="AJ88" s="45" t="s">
        <v>27</v>
      </c>
      <c r="AK88" s="541"/>
      <c r="AL88" s="26"/>
      <c r="AM88" s="60" t="str">
        <f t="shared" si="1"/>
        <v/>
      </c>
      <c r="AN88" s="60"/>
      <c r="AO88" s="60"/>
      <c r="AP88" s="60"/>
      <c r="AQ88" s="60"/>
      <c r="AR88" s="60"/>
      <c r="AS88" s="60"/>
      <c r="AT88" s="29"/>
    </row>
    <row r="89" ht="15.75" customHeight="1">
      <c r="A89" s="66" t="s">
        <v>33</v>
      </c>
      <c r="B89" s="159" t="s">
        <v>965</v>
      </c>
      <c r="C89" s="542">
        <v>4.5481514E7</v>
      </c>
      <c r="D89" s="539" t="s">
        <v>968</v>
      </c>
      <c r="E89" s="172" t="s">
        <v>969</v>
      </c>
      <c r="F89" s="543"/>
      <c r="G89" s="543"/>
      <c r="H89" s="544"/>
      <c r="I89" s="543"/>
      <c r="J89" s="544"/>
      <c r="K89" s="543"/>
      <c r="L89" s="543"/>
      <c r="M89" s="544"/>
      <c r="N89" s="544"/>
      <c r="O89" s="543"/>
      <c r="P89" s="543"/>
      <c r="Q89" s="543"/>
      <c r="R89" s="543"/>
      <c r="S89" s="544"/>
      <c r="T89" s="544"/>
      <c r="U89" s="544"/>
      <c r="V89" s="103" t="s">
        <v>120</v>
      </c>
      <c r="W89" s="45" t="s">
        <v>27</v>
      </c>
      <c r="X89" s="45" t="s">
        <v>120</v>
      </c>
      <c r="Y89" s="45"/>
      <c r="Z89" s="44"/>
      <c r="AA89" s="44"/>
      <c r="AB89" s="44"/>
      <c r="AC89" s="45" t="s">
        <v>27</v>
      </c>
      <c r="AD89" s="45" t="s">
        <v>27</v>
      </c>
      <c r="AE89" s="70"/>
      <c r="AF89" s="44"/>
      <c r="AG89" s="44"/>
      <c r="AH89" s="490"/>
      <c r="AI89" s="106" t="s">
        <v>32</v>
      </c>
      <c r="AJ89" s="45" t="s">
        <v>27</v>
      </c>
      <c r="AK89" s="244"/>
      <c r="AL89" s="26"/>
      <c r="AM89" s="60" t="str">
        <f t="shared" si="1"/>
        <v/>
      </c>
      <c r="AN89" s="60"/>
      <c r="AO89" s="60"/>
      <c r="AP89" s="60"/>
      <c r="AQ89" s="60"/>
      <c r="AR89" s="60"/>
      <c r="AS89" s="60"/>
      <c r="AT89" s="29"/>
    </row>
    <row r="90" ht="15.75" customHeight="1">
      <c r="A90" s="66" t="s">
        <v>33</v>
      </c>
      <c r="B90" s="546" t="s">
        <v>973</v>
      </c>
      <c r="C90" s="547">
        <v>4.4595844E7</v>
      </c>
      <c r="D90" s="539" t="s">
        <v>974</v>
      </c>
      <c r="E90" s="172" t="s">
        <v>975</v>
      </c>
      <c r="F90" s="543"/>
      <c r="G90" s="543"/>
      <c r="H90" s="544"/>
      <c r="I90" s="543"/>
      <c r="J90" s="544"/>
      <c r="K90" s="543"/>
      <c r="L90" s="543"/>
      <c r="M90" s="544"/>
      <c r="N90" s="544"/>
      <c r="O90" s="543"/>
      <c r="P90" s="543"/>
      <c r="Q90" s="543"/>
      <c r="R90" s="543"/>
      <c r="S90" s="544"/>
      <c r="T90" s="544"/>
      <c r="U90" s="544"/>
      <c r="V90" s="103" t="s">
        <v>120</v>
      </c>
      <c r="W90" s="45" t="s">
        <v>27</v>
      </c>
      <c r="X90" s="45" t="s">
        <v>120</v>
      </c>
      <c r="Y90" s="45" t="s">
        <v>27</v>
      </c>
      <c r="Z90" s="44"/>
      <c r="AA90" s="44"/>
      <c r="AB90" s="44"/>
      <c r="AC90" s="45" t="s">
        <v>27</v>
      </c>
      <c r="AD90" s="45" t="s">
        <v>27</v>
      </c>
      <c r="AE90" s="70"/>
      <c r="AF90" s="44"/>
      <c r="AG90" s="44"/>
      <c r="AH90" s="490"/>
      <c r="AI90" s="106" t="s">
        <v>32</v>
      </c>
      <c r="AJ90" s="45" t="s">
        <v>27</v>
      </c>
      <c r="AK90" s="244"/>
      <c r="AL90" s="26"/>
      <c r="AM90" s="60" t="str">
        <f t="shared" si="1"/>
        <v/>
      </c>
      <c r="AN90" s="60"/>
      <c r="AO90" s="60"/>
      <c r="AP90" s="60"/>
      <c r="AQ90" s="60"/>
      <c r="AR90" s="60"/>
      <c r="AS90" s="60"/>
      <c r="AT90" s="29"/>
    </row>
    <row r="91" ht="15.75" customHeight="1">
      <c r="A91" s="549"/>
      <c r="B91" s="306"/>
      <c r="C91" s="306"/>
      <c r="D91" s="306"/>
      <c r="E91" s="306"/>
      <c r="F91" s="306"/>
      <c r="G91" s="306"/>
      <c r="H91" s="306"/>
      <c r="I91" s="306"/>
      <c r="J91" s="306"/>
      <c r="K91" s="306"/>
      <c r="L91" s="306"/>
      <c r="M91" s="306"/>
      <c r="N91" s="306"/>
      <c r="O91" s="306"/>
      <c r="P91" s="306"/>
      <c r="Q91" s="306"/>
      <c r="R91" s="306"/>
      <c r="S91" s="306"/>
      <c r="T91" s="306"/>
      <c r="U91" s="306"/>
      <c r="V91" s="306"/>
      <c r="W91" s="306"/>
      <c r="X91" s="306"/>
      <c r="Y91" s="306"/>
      <c r="Z91" s="306"/>
      <c r="AA91" s="306"/>
      <c r="AB91" s="306"/>
      <c r="AC91" s="306"/>
      <c r="AD91" s="306"/>
      <c r="AE91" s="306"/>
      <c r="AF91" s="306"/>
      <c r="AG91" s="306"/>
      <c r="AH91" s="306"/>
      <c r="AI91" s="307"/>
      <c r="AJ91" s="550"/>
      <c r="AK91" s="244"/>
      <c r="AL91" s="26"/>
      <c r="AM91" s="60" t="str">
        <f t="shared" si="1"/>
        <v/>
      </c>
      <c r="AN91" s="60"/>
      <c r="AO91" s="60"/>
      <c r="AP91" s="60"/>
      <c r="AQ91" s="60"/>
      <c r="AR91" s="60"/>
      <c r="AS91" s="29"/>
      <c r="AT91" s="29"/>
    </row>
    <row r="92" ht="15.75" customHeight="1">
      <c r="A92" s="443" t="s">
        <v>981</v>
      </c>
      <c r="B92" s="2"/>
      <c r="C92" s="2"/>
      <c r="D92" s="2"/>
      <c r="E92" s="3"/>
      <c r="F92" s="7">
        <v>1.0</v>
      </c>
      <c r="G92" s="7">
        <v>2.0</v>
      </c>
      <c r="H92" s="7">
        <v>3.0</v>
      </c>
      <c r="I92" s="7">
        <v>4.0</v>
      </c>
      <c r="J92" s="7">
        <v>5.0</v>
      </c>
      <c r="K92" s="7">
        <v>6.0</v>
      </c>
      <c r="L92" s="7">
        <v>7.0</v>
      </c>
      <c r="M92" s="7">
        <v>8.0</v>
      </c>
      <c r="N92" s="7">
        <v>9.0</v>
      </c>
      <c r="O92" s="7">
        <v>10.0</v>
      </c>
      <c r="P92" s="7">
        <v>11.0</v>
      </c>
      <c r="Q92" s="7">
        <v>12.0</v>
      </c>
      <c r="R92" s="7">
        <v>13.0</v>
      </c>
      <c r="S92" s="7">
        <v>14.0</v>
      </c>
      <c r="T92" s="7">
        <v>15.0</v>
      </c>
      <c r="U92" s="7">
        <v>16.0</v>
      </c>
      <c r="V92" s="7">
        <v>17.0</v>
      </c>
      <c r="W92" s="7">
        <v>18.0</v>
      </c>
      <c r="X92" s="7">
        <v>19.0</v>
      </c>
      <c r="Y92" s="7">
        <v>20.0</v>
      </c>
      <c r="Z92" s="7">
        <v>21.0</v>
      </c>
      <c r="AA92" s="7">
        <v>22.0</v>
      </c>
      <c r="AB92" s="7">
        <v>23.0</v>
      </c>
      <c r="AC92" s="7">
        <v>24.0</v>
      </c>
      <c r="AD92" s="7">
        <v>25.0</v>
      </c>
      <c r="AE92" s="7">
        <v>26.0</v>
      </c>
      <c r="AF92" s="7">
        <v>27.0</v>
      </c>
      <c r="AG92" s="7">
        <v>28.0</v>
      </c>
      <c r="AH92" s="7">
        <v>29.0</v>
      </c>
      <c r="AI92" s="7">
        <v>30.0</v>
      </c>
      <c r="AJ92" s="7">
        <v>31.0</v>
      </c>
      <c r="AK92" s="244"/>
      <c r="AL92" s="26"/>
      <c r="AM92" s="60" t="str">
        <f t="shared" si="1"/>
        <v/>
      </c>
      <c r="AN92" s="60"/>
      <c r="AO92" s="60"/>
      <c r="AP92" s="60"/>
      <c r="AQ92" s="60"/>
      <c r="AR92" s="60"/>
      <c r="AS92" s="29"/>
      <c r="AT92" s="29"/>
    </row>
    <row r="93" ht="15.75" customHeight="1">
      <c r="A93" s="207" t="s">
        <v>4</v>
      </c>
      <c r="B93" s="209" t="s">
        <v>5</v>
      </c>
      <c r="C93" s="207" t="s">
        <v>6</v>
      </c>
      <c r="D93" s="209" t="s">
        <v>7</v>
      </c>
      <c r="E93" s="207" t="s">
        <v>8</v>
      </c>
      <c r="F93" s="7" t="s">
        <v>9</v>
      </c>
      <c r="G93" s="7" t="s">
        <v>10</v>
      </c>
      <c r="H93" s="7" t="s">
        <v>11</v>
      </c>
      <c r="I93" s="7" t="s">
        <v>12</v>
      </c>
      <c r="J93" s="7" t="s">
        <v>12</v>
      </c>
      <c r="K93" s="7" t="s">
        <v>13</v>
      </c>
      <c r="L93" s="7" t="s">
        <v>15</v>
      </c>
      <c r="M93" s="7" t="s">
        <v>9</v>
      </c>
      <c r="N93" s="7" t="s">
        <v>10</v>
      </c>
      <c r="O93" s="7" t="s">
        <v>11</v>
      </c>
      <c r="P93" s="7" t="s">
        <v>12</v>
      </c>
      <c r="Q93" s="7" t="s">
        <v>12</v>
      </c>
      <c r="R93" s="7" t="s">
        <v>13</v>
      </c>
      <c r="S93" s="7" t="s">
        <v>15</v>
      </c>
      <c r="T93" s="7" t="s">
        <v>9</v>
      </c>
      <c r="U93" s="7" t="s">
        <v>10</v>
      </c>
      <c r="V93" s="7" t="s">
        <v>11</v>
      </c>
      <c r="W93" s="7" t="s">
        <v>12</v>
      </c>
      <c r="X93" s="7" t="s">
        <v>12</v>
      </c>
      <c r="Y93" s="7" t="s">
        <v>13</v>
      </c>
      <c r="Z93" s="7" t="s">
        <v>15</v>
      </c>
      <c r="AA93" s="7" t="s">
        <v>9</v>
      </c>
      <c r="AB93" s="7" t="s">
        <v>10</v>
      </c>
      <c r="AC93" s="7" t="s">
        <v>11</v>
      </c>
      <c r="AD93" s="7" t="s">
        <v>12</v>
      </c>
      <c r="AE93" s="7" t="s">
        <v>12</v>
      </c>
      <c r="AF93" s="7" t="s">
        <v>13</v>
      </c>
      <c r="AG93" s="27" t="s">
        <v>15</v>
      </c>
      <c r="AH93" s="7" t="s">
        <v>9</v>
      </c>
      <c r="AI93" s="7" t="s">
        <v>10</v>
      </c>
      <c r="AJ93" s="7" t="s">
        <v>11</v>
      </c>
      <c r="AK93" s="244"/>
      <c r="AL93" s="26"/>
      <c r="AM93" s="60" t="str">
        <f t="shared" si="1"/>
        <v/>
      </c>
      <c r="AN93" s="60"/>
      <c r="AO93" s="60"/>
      <c r="AP93" s="60"/>
      <c r="AQ93" s="60"/>
      <c r="AR93" s="60"/>
      <c r="AS93" s="29"/>
      <c r="AT93" s="29"/>
    </row>
    <row r="94" ht="15.75" customHeight="1">
      <c r="A94" s="76" t="s">
        <v>23</v>
      </c>
      <c r="B94" s="67" t="s">
        <v>987</v>
      </c>
      <c r="C94" s="76">
        <v>13956.0</v>
      </c>
      <c r="D94" s="116" t="s">
        <v>988</v>
      </c>
      <c r="E94" s="98" t="s">
        <v>989</v>
      </c>
      <c r="F94" s="44"/>
      <c r="G94" s="44"/>
      <c r="H94" s="45" t="s">
        <v>27</v>
      </c>
      <c r="I94" s="45" t="s">
        <v>27</v>
      </c>
      <c r="J94" s="45" t="s">
        <v>27</v>
      </c>
      <c r="K94" s="45" t="s">
        <v>27</v>
      </c>
      <c r="L94" s="45" t="s">
        <v>27</v>
      </c>
      <c r="M94" s="520"/>
      <c r="N94" s="520"/>
      <c r="O94" s="45" t="s">
        <v>27</v>
      </c>
      <c r="P94" s="45" t="s">
        <v>27</v>
      </c>
      <c r="Q94" s="45" t="s">
        <v>27</v>
      </c>
      <c r="R94" s="45" t="s">
        <v>27</v>
      </c>
      <c r="S94" s="45" t="s">
        <v>18</v>
      </c>
      <c r="T94" s="520"/>
      <c r="U94" s="520"/>
      <c r="V94" s="106" t="s">
        <v>32</v>
      </c>
      <c r="W94" s="45" t="s">
        <v>27</v>
      </c>
      <c r="X94" s="45" t="s">
        <v>27</v>
      </c>
      <c r="Y94" s="45" t="s">
        <v>27</v>
      </c>
      <c r="Z94" s="45" t="s">
        <v>27</v>
      </c>
      <c r="AA94" s="520"/>
      <c r="AB94" s="520"/>
      <c r="AC94" s="70"/>
      <c r="AD94" s="45" t="s">
        <v>27</v>
      </c>
      <c r="AE94" s="45" t="s">
        <v>27</v>
      </c>
      <c r="AF94" s="45" t="s">
        <v>27</v>
      </c>
      <c r="AG94" s="45" t="s">
        <v>27</v>
      </c>
      <c r="AH94" s="520"/>
      <c r="AI94" s="520"/>
      <c r="AJ94" s="45" t="s">
        <v>18</v>
      </c>
      <c r="AK94" s="244"/>
      <c r="AL94" s="26"/>
      <c r="AM94" s="60" t="str">
        <f t="shared" si="1"/>
        <v/>
      </c>
      <c r="AN94" s="60">
        <f>COUNTIF($F94:$AJ94,"LLT")</f>
        <v>2</v>
      </c>
      <c r="AO94" s="60">
        <f>COUNTIF($F94:$AJ94,"LM")</f>
        <v>0</v>
      </c>
      <c r="AP94" s="60">
        <f>COUNTIF($F94:$AJ94,"FaC")</f>
        <v>0</v>
      </c>
      <c r="AQ94" s="60">
        <f>COUNTIF($F94:$AJ94,"LxE")</f>
        <v>0</v>
      </c>
      <c r="AR94" s="60">
        <f>COUNTIF($F94:$AJ94,"LA")</f>
        <v>0</v>
      </c>
      <c r="AS94" s="60">
        <f>SUM(AO94:AR94)</f>
        <v>0</v>
      </c>
      <c r="AT94" s="29"/>
    </row>
    <row r="95" ht="15.75" customHeight="1">
      <c r="A95" s="200"/>
      <c r="B95" s="12"/>
      <c r="C95" s="12"/>
      <c r="D95" s="12"/>
      <c r="E95" s="12"/>
      <c r="F95" s="12"/>
      <c r="G95" s="12"/>
      <c r="H95" s="12"/>
      <c r="I95" s="12"/>
      <c r="J95" s="12"/>
      <c r="K95" s="12"/>
      <c r="L95" s="12"/>
      <c r="M95" s="12"/>
      <c r="N95" s="12"/>
      <c r="O95" s="12"/>
      <c r="P95" s="12"/>
      <c r="Q95" s="12"/>
      <c r="R95" s="12"/>
      <c r="S95" s="12"/>
      <c r="T95" s="12"/>
      <c r="U95" s="12"/>
      <c r="V95" s="12"/>
      <c r="W95" s="12"/>
      <c r="X95" s="12"/>
      <c r="Y95" s="12"/>
      <c r="Z95" s="12"/>
      <c r="AA95" s="12"/>
      <c r="AB95" s="12"/>
      <c r="AC95" s="12"/>
      <c r="AD95" s="12"/>
      <c r="AE95" s="12"/>
      <c r="AF95" s="12"/>
      <c r="AG95" s="12"/>
      <c r="AH95" s="12"/>
      <c r="AI95" s="23"/>
      <c r="AJ95" s="201"/>
      <c r="AK95" s="244"/>
      <c r="AL95" s="26"/>
      <c r="AM95" s="60" t="str">
        <f t="shared" si="1"/>
        <v/>
      </c>
      <c r="AN95" s="60"/>
      <c r="AO95" s="60"/>
      <c r="AP95" s="60"/>
      <c r="AQ95" s="60"/>
      <c r="AR95" s="60"/>
      <c r="AS95" s="29"/>
      <c r="AT95" s="29"/>
    </row>
    <row r="96" ht="15.75" customHeight="1">
      <c r="A96" s="203" t="s">
        <v>1002</v>
      </c>
      <c r="B96" s="6"/>
      <c r="C96" s="6"/>
      <c r="D96" s="6"/>
      <c r="E96" s="11"/>
      <c r="F96" s="7">
        <v>1.0</v>
      </c>
      <c r="G96" s="7">
        <v>2.0</v>
      </c>
      <c r="H96" s="7">
        <v>3.0</v>
      </c>
      <c r="I96" s="7">
        <v>4.0</v>
      </c>
      <c r="J96" s="7">
        <v>5.0</v>
      </c>
      <c r="K96" s="7">
        <v>6.0</v>
      </c>
      <c r="L96" s="7">
        <v>7.0</v>
      </c>
      <c r="M96" s="7">
        <v>8.0</v>
      </c>
      <c r="N96" s="7">
        <v>9.0</v>
      </c>
      <c r="O96" s="7">
        <v>10.0</v>
      </c>
      <c r="P96" s="7">
        <v>11.0</v>
      </c>
      <c r="Q96" s="7">
        <v>12.0</v>
      </c>
      <c r="R96" s="7">
        <v>13.0</v>
      </c>
      <c r="S96" s="7">
        <v>14.0</v>
      </c>
      <c r="T96" s="7">
        <v>15.0</v>
      </c>
      <c r="U96" s="7">
        <v>16.0</v>
      </c>
      <c r="V96" s="7">
        <v>17.0</v>
      </c>
      <c r="W96" s="7">
        <v>18.0</v>
      </c>
      <c r="X96" s="7">
        <v>19.0</v>
      </c>
      <c r="Y96" s="7">
        <v>20.0</v>
      </c>
      <c r="Z96" s="7">
        <v>21.0</v>
      </c>
      <c r="AA96" s="7">
        <v>22.0</v>
      </c>
      <c r="AB96" s="7">
        <v>23.0</v>
      </c>
      <c r="AC96" s="7">
        <v>24.0</v>
      </c>
      <c r="AD96" s="7">
        <v>25.0</v>
      </c>
      <c r="AE96" s="7">
        <v>26.0</v>
      </c>
      <c r="AF96" s="7">
        <v>27.0</v>
      </c>
      <c r="AG96" s="7">
        <v>28.0</v>
      </c>
      <c r="AH96" s="7">
        <v>29.0</v>
      </c>
      <c r="AI96" s="7">
        <v>30.0</v>
      </c>
      <c r="AJ96" s="7">
        <v>31.0</v>
      </c>
      <c r="AK96" s="244"/>
      <c r="AL96" s="26"/>
      <c r="AM96" s="60" t="str">
        <f t="shared" si="1"/>
        <v/>
      </c>
      <c r="AN96" s="60"/>
      <c r="AO96" s="60"/>
      <c r="AP96" s="60"/>
      <c r="AQ96" s="60"/>
      <c r="AR96" s="60"/>
      <c r="AS96" s="29"/>
      <c r="AT96" s="29"/>
    </row>
    <row r="97" ht="15.75" customHeight="1">
      <c r="A97" s="207" t="s">
        <v>4</v>
      </c>
      <c r="B97" s="209" t="s">
        <v>5</v>
      </c>
      <c r="C97" s="207" t="s">
        <v>6</v>
      </c>
      <c r="D97" s="209" t="s">
        <v>7</v>
      </c>
      <c r="E97" s="207" t="s">
        <v>8</v>
      </c>
      <c r="F97" s="7" t="s">
        <v>9</v>
      </c>
      <c r="G97" s="7" t="s">
        <v>10</v>
      </c>
      <c r="H97" s="7" t="s">
        <v>11</v>
      </c>
      <c r="I97" s="7" t="s">
        <v>12</v>
      </c>
      <c r="J97" s="7" t="s">
        <v>12</v>
      </c>
      <c r="K97" s="7" t="s">
        <v>13</v>
      </c>
      <c r="L97" s="7" t="s">
        <v>15</v>
      </c>
      <c r="M97" s="7" t="s">
        <v>9</v>
      </c>
      <c r="N97" s="7" t="s">
        <v>10</v>
      </c>
      <c r="O97" s="7" t="s">
        <v>11</v>
      </c>
      <c r="P97" s="7" t="s">
        <v>12</v>
      </c>
      <c r="Q97" s="7" t="s">
        <v>12</v>
      </c>
      <c r="R97" s="7" t="s">
        <v>13</v>
      </c>
      <c r="S97" s="7" t="s">
        <v>15</v>
      </c>
      <c r="T97" s="7" t="s">
        <v>9</v>
      </c>
      <c r="U97" s="7" t="s">
        <v>10</v>
      </c>
      <c r="V97" s="7" t="s">
        <v>11</v>
      </c>
      <c r="W97" s="7" t="s">
        <v>12</v>
      </c>
      <c r="X97" s="7" t="s">
        <v>12</v>
      </c>
      <c r="Y97" s="7" t="s">
        <v>13</v>
      </c>
      <c r="Z97" s="7" t="s">
        <v>15</v>
      </c>
      <c r="AA97" s="7" t="s">
        <v>9</v>
      </c>
      <c r="AB97" s="7" t="s">
        <v>10</v>
      </c>
      <c r="AC97" s="7" t="s">
        <v>11</v>
      </c>
      <c r="AD97" s="7" t="s">
        <v>12</v>
      </c>
      <c r="AE97" s="7" t="s">
        <v>12</v>
      </c>
      <c r="AF97" s="7" t="s">
        <v>13</v>
      </c>
      <c r="AG97" s="27" t="s">
        <v>15</v>
      </c>
      <c r="AH97" s="7" t="s">
        <v>9</v>
      </c>
      <c r="AI97" s="7" t="s">
        <v>10</v>
      </c>
      <c r="AJ97" s="7" t="s">
        <v>11</v>
      </c>
      <c r="AK97" s="244"/>
      <c r="AL97" s="26"/>
      <c r="AM97" s="60" t="str">
        <f t="shared" si="1"/>
        <v/>
      </c>
      <c r="AN97" s="60"/>
      <c r="AO97" s="60"/>
      <c r="AP97" s="60"/>
      <c r="AQ97" s="60"/>
      <c r="AR97" s="60"/>
      <c r="AS97" s="29"/>
      <c r="AT97" s="29"/>
    </row>
    <row r="98" ht="15.75" customHeight="1">
      <c r="A98" s="66" t="s">
        <v>269</v>
      </c>
      <c r="B98" s="67" t="s">
        <v>1009</v>
      </c>
      <c r="C98" s="76">
        <v>12451.0</v>
      </c>
      <c r="D98" s="116" t="s">
        <v>1010</v>
      </c>
      <c r="E98" s="98" t="s">
        <v>1011</v>
      </c>
      <c r="F98" s="44"/>
      <c r="G98" s="44"/>
      <c r="H98" s="45" t="s">
        <v>18</v>
      </c>
      <c r="I98" s="45" t="s">
        <v>18</v>
      </c>
      <c r="J98" s="45" t="s">
        <v>27</v>
      </c>
      <c r="K98" s="45" t="s">
        <v>18</v>
      </c>
      <c r="L98" s="45" t="s">
        <v>18</v>
      </c>
      <c r="M98" s="520"/>
      <c r="N98" s="520"/>
      <c r="O98" s="45" t="s">
        <v>18</v>
      </c>
      <c r="P98" s="45" t="s">
        <v>18</v>
      </c>
      <c r="Q98" s="45" t="s">
        <v>18</v>
      </c>
      <c r="R98" s="45" t="s">
        <v>27</v>
      </c>
      <c r="S98" s="45" t="s">
        <v>18</v>
      </c>
      <c r="T98" s="520"/>
      <c r="U98" s="520"/>
      <c r="V98" s="106" t="s">
        <v>32</v>
      </c>
      <c r="W98" s="45" t="s">
        <v>27</v>
      </c>
      <c r="X98" s="45" t="s">
        <v>18</v>
      </c>
      <c r="Y98" s="134" t="s">
        <v>19</v>
      </c>
      <c r="Z98" s="134" t="s">
        <v>19</v>
      </c>
      <c r="AA98" s="520"/>
      <c r="AB98" s="520"/>
      <c r="AC98" s="45" t="s">
        <v>198</v>
      </c>
      <c r="AD98" s="45" t="s">
        <v>27</v>
      </c>
      <c r="AE98" s="45" t="s">
        <v>18</v>
      </c>
      <c r="AF98" s="45" t="s">
        <v>18</v>
      </c>
      <c r="AG98" s="45" t="s">
        <v>198</v>
      </c>
      <c r="AH98" s="520"/>
      <c r="AI98" s="520"/>
      <c r="AJ98" s="45" t="s">
        <v>18</v>
      </c>
      <c r="AK98" s="244"/>
      <c r="AL98" s="26"/>
      <c r="AM98" s="60" t="str">
        <f t="shared" si="1"/>
        <v>NO CORRESPONDE FRANCO</v>
      </c>
      <c r="AN98" s="60">
        <f>COUNTIF($F98:$AJ98,"LLT")</f>
        <v>12</v>
      </c>
      <c r="AO98" s="60">
        <f>COUNTIF($F98:$AJ98,"LM")</f>
        <v>2</v>
      </c>
      <c r="AP98" s="60">
        <f>COUNTIF($F98:$AJ98,"FaC")</f>
        <v>0</v>
      </c>
      <c r="AQ98" s="60">
        <f>COUNTIF($F98:$AJ98,"LxE")</f>
        <v>0</v>
      </c>
      <c r="AR98" s="60">
        <f>COUNTIF($F98:$AJ98,"LA")</f>
        <v>0</v>
      </c>
      <c r="AS98" s="60">
        <f>SUM(AO98:AR98)</f>
        <v>2</v>
      </c>
      <c r="AT98" s="29"/>
    </row>
    <row r="99" ht="15.75" customHeight="1">
      <c r="A99" s="377"/>
      <c r="B99" s="377"/>
      <c r="C99" s="377"/>
      <c r="D99" s="558"/>
      <c r="E99" s="377"/>
      <c r="F99" s="559"/>
      <c r="G99" s="24"/>
      <c r="H99" s="559"/>
      <c r="I99" s="24"/>
      <c r="J99" s="559"/>
      <c r="K99" s="559"/>
      <c r="L99" s="559"/>
      <c r="M99" s="24"/>
      <c r="N99" s="559"/>
      <c r="O99" s="24"/>
      <c r="P99" s="24"/>
      <c r="Q99" s="559"/>
      <c r="R99" s="24"/>
      <c r="S99" s="559"/>
      <c r="T99" s="559"/>
      <c r="U99" s="24"/>
      <c r="V99" s="559"/>
      <c r="W99" s="24"/>
      <c r="X99" s="559"/>
      <c r="Y99" s="24"/>
      <c r="Z99" s="559"/>
      <c r="AA99" s="559"/>
      <c r="AB99" s="559"/>
      <c r="AC99" s="559"/>
      <c r="AD99" s="559"/>
      <c r="AE99" s="559"/>
      <c r="AF99" s="559"/>
      <c r="AG99" s="559"/>
      <c r="AH99" s="559"/>
      <c r="AI99" s="559"/>
      <c r="AJ99" s="559"/>
      <c r="AK99" s="244"/>
      <c r="AL99" s="26"/>
      <c r="AM99" s="60" t="str">
        <f t="shared" si="1"/>
        <v/>
      </c>
      <c r="AN99" s="60"/>
      <c r="AO99" s="60"/>
      <c r="AP99" s="60"/>
      <c r="AQ99" s="60"/>
      <c r="AR99" s="60"/>
      <c r="AS99" s="29"/>
      <c r="AT99" s="29"/>
    </row>
    <row r="100" ht="15.75" customHeight="1">
      <c r="A100" s="377"/>
      <c r="B100" s="377"/>
      <c r="C100" s="377"/>
      <c r="D100" s="377"/>
      <c r="E100" s="377"/>
      <c r="F100" s="559"/>
      <c r="G100" s="24"/>
      <c r="H100" s="559"/>
      <c r="I100" s="24"/>
      <c r="J100" s="559"/>
      <c r="K100" s="559"/>
      <c r="L100" s="559"/>
      <c r="M100" s="24"/>
      <c r="N100" s="559"/>
      <c r="O100" s="24"/>
      <c r="P100" s="24"/>
      <c r="Q100" s="559"/>
      <c r="R100" s="24"/>
      <c r="S100" s="559"/>
      <c r="T100" s="559"/>
      <c r="U100" s="24"/>
      <c r="V100" s="559"/>
      <c r="W100" s="24"/>
      <c r="X100" s="559"/>
      <c r="Y100" s="24"/>
      <c r="Z100" s="559"/>
      <c r="AA100" s="559"/>
      <c r="AB100" s="559"/>
      <c r="AC100" s="559"/>
      <c r="AD100" s="559"/>
      <c r="AE100" s="559"/>
      <c r="AF100" s="559"/>
      <c r="AG100" s="559"/>
      <c r="AH100" s="559"/>
      <c r="AI100" s="559"/>
      <c r="AJ100" s="559"/>
      <c r="AK100" s="244"/>
      <c r="AL100" s="26"/>
      <c r="AM100" s="60" t="str">
        <f t="shared" si="1"/>
        <v/>
      </c>
      <c r="AN100" s="60"/>
      <c r="AO100" s="60"/>
      <c r="AP100" s="60"/>
      <c r="AQ100" s="60"/>
      <c r="AR100" s="60"/>
      <c r="AS100" s="29"/>
      <c r="AT100" s="29"/>
    </row>
    <row r="101" ht="15.75" customHeight="1">
      <c r="A101" s="200"/>
      <c r="B101" s="12"/>
      <c r="C101" s="12"/>
      <c r="D101" s="12"/>
      <c r="E101" s="12"/>
      <c r="F101" s="12"/>
      <c r="G101" s="12"/>
      <c r="H101" s="12"/>
      <c r="I101" s="12"/>
      <c r="J101" s="12"/>
      <c r="K101" s="12"/>
      <c r="L101" s="12"/>
      <c r="M101" s="12"/>
      <c r="N101" s="12"/>
      <c r="O101" s="12"/>
      <c r="P101" s="12"/>
      <c r="Q101" s="12"/>
      <c r="R101" s="12"/>
      <c r="S101" s="12"/>
      <c r="T101" s="12"/>
      <c r="U101" s="12"/>
      <c r="V101" s="12"/>
      <c r="W101" s="12"/>
      <c r="X101" s="12"/>
      <c r="Y101" s="12"/>
      <c r="Z101" s="12"/>
      <c r="AA101" s="12"/>
      <c r="AB101" s="12"/>
      <c r="AC101" s="12"/>
      <c r="AD101" s="12"/>
      <c r="AE101" s="12"/>
      <c r="AF101" s="12"/>
      <c r="AG101" s="12"/>
      <c r="AH101" s="12"/>
      <c r="AI101" s="23"/>
      <c r="AJ101" s="201"/>
      <c r="AK101" s="244"/>
      <c r="AL101" s="26"/>
      <c r="AM101" s="60" t="str">
        <f t="shared" si="1"/>
        <v/>
      </c>
      <c r="AN101" s="60"/>
      <c r="AO101" s="60"/>
      <c r="AP101" s="60"/>
      <c r="AQ101" s="60"/>
      <c r="AR101" s="60"/>
      <c r="AS101" s="29"/>
      <c r="AT101" s="29"/>
    </row>
    <row r="102" ht="15.75" customHeight="1">
      <c r="A102" s="203" t="s">
        <v>1020</v>
      </c>
      <c r="B102" s="6"/>
      <c r="C102" s="6"/>
      <c r="D102" s="6"/>
      <c r="E102" s="11"/>
      <c r="F102" s="7">
        <v>1.0</v>
      </c>
      <c r="G102" s="7">
        <v>2.0</v>
      </c>
      <c r="H102" s="7">
        <v>3.0</v>
      </c>
      <c r="I102" s="7">
        <v>4.0</v>
      </c>
      <c r="J102" s="7">
        <v>5.0</v>
      </c>
      <c r="K102" s="7">
        <v>6.0</v>
      </c>
      <c r="L102" s="7">
        <v>7.0</v>
      </c>
      <c r="M102" s="7">
        <v>8.0</v>
      </c>
      <c r="N102" s="7">
        <v>9.0</v>
      </c>
      <c r="O102" s="7">
        <v>10.0</v>
      </c>
      <c r="P102" s="7">
        <v>11.0</v>
      </c>
      <c r="Q102" s="7">
        <v>12.0</v>
      </c>
      <c r="R102" s="7">
        <v>13.0</v>
      </c>
      <c r="S102" s="7">
        <v>14.0</v>
      </c>
      <c r="T102" s="7">
        <v>15.0</v>
      </c>
      <c r="U102" s="7">
        <v>16.0</v>
      </c>
      <c r="V102" s="7">
        <v>17.0</v>
      </c>
      <c r="W102" s="7">
        <v>18.0</v>
      </c>
      <c r="X102" s="7">
        <v>19.0</v>
      </c>
      <c r="Y102" s="7">
        <v>20.0</v>
      </c>
      <c r="Z102" s="7">
        <v>21.0</v>
      </c>
      <c r="AA102" s="7">
        <v>22.0</v>
      </c>
      <c r="AB102" s="7">
        <v>23.0</v>
      </c>
      <c r="AC102" s="7">
        <v>24.0</v>
      </c>
      <c r="AD102" s="7">
        <v>25.0</v>
      </c>
      <c r="AE102" s="7">
        <v>26.0</v>
      </c>
      <c r="AF102" s="7">
        <v>27.0</v>
      </c>
      <c r="AG102" s="7">
        <v>28.0</v>
      </c>
      <c r="AH102" s="7">
        <v>29.0</v>
      </c>
      <c r="AI102" s="7">
        <v>30.0</v>
      </c>
      <c r="AJ102" s="7">
        <v>31.0</v>
      </c>
      <c r="AK102" s="244"/>
      <c r="AL102" s="26"/>
      <c r="AM102" s="60" t="str">
        <f t="shared" si="1"/>
        <v/>
      </c>
      <c r="AN102" s="60"/>
      <c r="AO102" s="60"/>
      <c r="AP102" s="60"/>
      <c r="AQ102" s="60"/>
      <c r="AR102" s="60"/>
      <c r="AS102" s="29"/>
      <c r="AT102" s="29"/>
    </row>
    <row r="103" ht="15.75" customHeight="1">
      <c r="A103" s="207" t="s">
        <v>4</v>
      </c>
      <c r="B103" s="209" t="s">
        <v>5</v>
      </c>
      <c r="C103" s="207" t="s">
        <v>6</v>
      </c>
      <c r="D103" s="209" t="s">
        <v>7</v>
      </c>
      <c r="E103" s="207" t="s">
        <v>8</v>
      </c>
      <c r="F103" s="7" t="s">
        <v>9</v>
      </c>
      <c r="G103" s="7" t="s">
        <v>10</v>
      </c>
      <c r="H103" s="7" t="s">
        <v>11</v>
      </c>
      <c r="I103" s="7" t="s">
        <v>12</v>
      </c>
      <c r="J103" s="7" t="s">
        <v>12</v>
      </c>
      <c r="K103" s="7" t="s">
        <v>13</v>
      </c>
      <c r="L103" s="7" t="s">
        <v>15</v>
      </c>
      <c r="M103" s="7" t="s">
        <v>9</v>
      </c>
      <c r="N103" s="7" t="s">
        <v>10</v>
      </c>
      <c r="O103" s="7" t="s">
        <v>11</v>
      </c>
      <c r="P103" s="7" t="s">
        <v>12</v>
      </c>
      <c r="Q103" s="7" t="s">
        <v>12</v>
      </c>
      <c r="R103" s="7" t="s">
        <v>13</v>
      </c>
      <c r="S103" s="7" t="s">
        <v>15</v>
      </c>
      <c r="T103" s="7" t="s">
        <v>9</v>
      </c>
      <c r="U103" s="7" t="s">
        <v>10</v>
      </c>
      <c r="V103" s="7" t="s">
        <v>11</v>
      </c>
      <c r="W103" s="7" t="s">
        <v>12</v>
      </c>
      <c r="X103" s="7" t="s">
        <v>12</v>
      </c>
      <c r="Y103" s="7" t="s">
        <v>13</v>
      </c>
      <c r="Z103" s="7" t="s">
        <v>15</v>
      </c>
      <c r="AA103" s="7" t="s">
        <v>9</v>
      </c>
      <c r="AB103" s="7" t="s">
        <v>10</v>
      </c>
      <c r="AC103" s="7" t="s">
        <v>11</v>
      </c>
      <c r="AD103" s="7" t="s">
        <v>12</v>
      </c>
      <c r="AE103" s="7" t="s">
        <v>12</v>
      </c>
      <c r="AF103" s="7" t="s">
        <v>13</v>
      </c>
      <c r="AG103" s="27" t="s">
        <v>15</v>
      </c>
      <c r="AH103" s="7" t="s">
        <v>9</v>
      </c>
      <c r="AI103" s="7" t="s">
        <v>10</v>
      </c>
      <c r="AJ103" s="7" t="s">
        <v>11</v>
      </c>
      <c r="AK103" s="244"/>
      <c r="AL103" s="26"/>
      <c r="AM103" s="60" t="str">
        <f t="shared" si="1"/>
        <v/>
      </c>
      <c r="AN103" s="60"/>
      <c r="AO103" s="60"/>
      <c r="AP103" s="60"/>
      <c r="AQ103" s="60"/>
      <c r="AR103" s="60"/>
      <c r="AS103" s="29"/>
      <c r="AT103" s="29"/>
    </row>
    <row r="104" ht="15.75" customHeight="1">
      <c r="A104" s="76" t="s">
        <v>1023</v>
      </c>
      <c r="B104" s="67" t="s">
        <v>1024</v>
      </c>
      <c r="C104" s="76">
        <v>11407.0</v>
      </c>
      <c r="D104" s="116" t="s">
        <v>1025</v>
      </c>
      <c r="E104" s="98" t="s">
        <v>1026</v>
      </c>
      <c r="F104" s="44"/>
      <c r="G104" s="44"/>
      <c r="H104" s="44"/>
      <c r="I104" s="45" t="s">
        <v>27</v>
      </c>
      <c r="J104" s="520"/>
      <c r="K104" s="45" t="s">
        <v>120</v>
      </c>
      <c r="L104" s="520"/>
      <c r="M104" s="520"/>
      <c r="N104" s="520"/>
      <c r="O104" s="520"/>
      <c r="P104" s="45" t="s">
        <v>27</v>
      </c>
      <c r="Q104" s="520"/>
      <c r="R104" s="45" t="s">
        <v>27</v>
      </c>
      <c r="S104" s="520"/>
      <c r="T104" s="520"/>
      <c r="U104" s="520"/>
      <c r="V104" s="520"/>
      <c r="W104" s="70"/>
      <c r="X104" s="520"/>
      <c r="Y104" s="45" t="s">
        <v>27</v>
      </c>
      <c r="Z104" s="520"/>
      <c r="AA104" s="520"/>
      <c r="AB104" s="520"/>
      <c r="AC104" s="520"/>
      <c r="AD104" s="45" t="s">
        <v>27</v>
      </c>
      <c r="AE104" s="520"/>
      <c r="AF104" s="45" t="s">
        <v>27</v>
      </c>
      <c r="AG104" s="520"/>
      <c r="AH104" s="520"/>
      <c r="AI104" s="520"/>
      <c r="AJ104" s="520"/>
      <c r="AK104" s="244"/>
      <c r="AL104" s="26"/>
      <c r="AM104" s="60" t="str">
        <f t="shared" si="1"/>
        <v/>
      </c>
      <c r="AN104" s="60">
        <f>COUNTIF($F104:$AJ104,"LLT")</f>
        <v>0</v>
      </c>
      <c r="AO104" s="60">
        <f>COUNTIF($F104:$AJ104,"LM")</f>
        <v>0</v>
      </c>
      <c r="AP104" s="60">
        <f>COUNTIF($F104:$AJ104,"FaC")</f>
        <v>0</v>
      </c>
      <c r="AQ104" s="60">
        <f>COUNTIF($F104:$AJ104,"LxE")</f>
        <v>0</v>
      </c>
      <c r="AR104" s="60">
        <f>COUNTIF($F104:$AJ104,"LA")</f>
        <v>0</v>
      </c>
      <c r="AS104" s="60">
        <f>SUM(AO104:AR104)</f>
        <v>0</v>
      </c>
      <c r="AT104" s="29"/>
    </row>
    <row r="105" ht="15.75" customHeight="1">
      <c r="A105" s="377"/>
      <c r="B105" s="377"/>
      <c r="C105" s="377"/>
      <c r="D105" s="377"/>
      <c r="E105" s="377"/>
      <c r="F105" s="559"/>
      <c r="G105" s="24"/>
      <c r="H105" s="559"/>
      <c r="I105" s="24"/>
      <c r="J105" s="559"/>
      <c r="K105" s="559"/>
      <c r="L105" s="559"/>
      <c r="M105" s="24"/>
      <c r="N105" s="559"/>
      <c r="O105" s="24"/>
      <c r="P105" s="24"/>
      <c r="Q105" s="559"/>
      <c r="R105" s="24"/>
      <c r="S105" s="559"/>
      <c r="T105" s="559"/>
      <c r="U105" s="24"/>
      <c r="V105" s="559"/>
      <c r="W105" s="24"/>
      <c r="X105" s="559"/>
      <c r="Y105" s="24"/>
      <c r="Z105" s="559"/>
      <c r="AA105" s="559"/>
      <c r="AB105" s="559"/>
      <c r="AC105" s="559"/>
      <c r="AD105" s="559"/>
      <c r="AE105" s="559"/>
      <c r="AF105" s="559"/>
      <c r="AG105" s="559"/>
      <c r="AH105" s="559"/>
      <c r="AI105" s="559"/>
      <c r="AJ105" s="559"/>
      <c r="AK105" s="244"/>
      <c r="AL105" s="26"/>
      <c r="AM105" s="60" t="str">
        <f t="shared" si="1"/>
        <v/>
      </c>
      <c r="AN105" s="60"/>
      <c r="AO105" s="60"/>
      <c r="AP105" s="60"/>
      <c r="AQ105" s="60"/>
      <c r="AR105" s="60"/>
      <c r="AS105" s="29"/>
      <c r="AT105" s="29"/>
    </row>
    <row r="106" ht="15.75" customHeight="1">
      <c r="A106" s="377"/>
      <c r="B106" s="377"/>
      <c r="C106" s="377"/>
      <c r="D106" s="377"/>
      <c r="E106" s="377"/>
      <c r="F106" s="559"/>
      <c r="G106" s="24"/>
      <c r="H106" s="559"/>
      <c r="I106" s="24"/>
      <c r="J106" s="559"/>
      <c r="K106" s="559"/>
      <c r="L106" s="559"/>
      <c r="M106" s="24"/>
      <c r="N106" s="559"/>
      <c r="O106" s="24"/>
      <c r="P106" s="24"/>
      <c r="Q106" s="559"/>
      <c r="R106" s="24"/>
      <c r="S106" s="559"/>
      <c r="T106" s="559"/>
      <c r="U106" s="24"/>
      <c r="V106" s="559"/>
      <c r="W106" s="24"/>
      <c r="X106" s="559"/>
      <c r="Y106" s="24"/>
      <c r="Z106" s="559"/>
      <c r="AA106" s="559"/>
      <c r="AB106" s="559"/>
      <c r="AC106" s="559"/>
      <c r="AD106" s="559"/>
      <c r="AE106" s="559"/>
      <c r="AF106" s="559"/>
      <c r="AG106" s="559"/>
      <c r="AH106" s="559"/>
      <c r="AI106" s="559"/>
      <c r="AJ106" s="559"/>
      <c r="AK106" s="244"/>
      <c r="AL106" s="26"/>
      <c r="AM106" s="60" t="str">
        <f t="shared" si="1"/>
        <v/>
      </c>
      <c r="AN106" s="60"/>
      <c r="AO106" s="60"/>
      <c r="AP106" s="60"/>
      <c r="AQ106" s="60"/>
      <c r="AR106" s="60"/>
      <c r="AS106" s="29"/>
      <c r="AT106" s="29"/>
    </row>
    <row r="107" ht="15.75" customHeight="1">
      <c r="A107" s="563" t="s">
        <v>1034</v>
      </c>
      <c r="B107" s="6"/>
      <c r="C107" s="6"/>
      <c r="D107" s="6"/>
      <c r="E107" s="11"/>
      <c r="F107" s="7">
        <v>1.0</v>
      </c>
      <c r="G107" s="7">
        <v>2.0</v>
      </c>
      <c r="H107" s="7">
        <v>3.0</v>
      </c>
      <c r="I107" s="7">
        <v>4.0</v>
      </c>
      <c r="J107" s="7">
        <v>5.0</v>
      </c>
      <c r="K107" s="7">
        <v>6.0</v>
      </c>
      <c r="L107" s="7">
        <v>7.0</v>
      </c>
      <c r="M107" s="7">
        <v>8.0</v>
      </c>
      <c r="N107" s="7">
        <v>9.0</v>
      </c>
      <c r="O107" s="7">
        <v>10.0</v>
      </c>
      <c r="P107" s="7">
        <v>11.0</v>
      </c>
      <c r="Q107" s="7">
        <v>12.0</v>
      </c>
      <c r="R107" s="7">
        <v>13.0</v>
      </c>
      <c r="S107" s="7">
        <v>14.0</v>
      </c>
      <c r="T107" s="7">
        <v>15.0</v>
      </c>
      <c r="U107" s="7">
        <v>16.0</v>
      </c>
      <c r="V107" s="7">
        <v>17.0</v>
      </c>
      <c r="W107" s="7">
        <v>18.0</v>
      </c>
      <c r="X107" s="7">
        <v>19.0</v>
      </c>
      <c r="Y107" s="7">
        <v>20.0</v>
      </c>
      <c r="Z107" s="7">
        <v>21.0</v>
      </c>
      <c r="AA107" s="7">
        <v>22.0</v>
      </c>
      <c r="AB107" s="7">
        <v>23.0</v>
      </c>
      <c r="AC107" s="7">
        <v>24.0</v>
      </c>
      <c r="AD107" s="7">
        <v>25.0</v>
      </c>
      <c r="AE107" s="7">
        <v>26.0</v>
      </c>
      <c r="AF107" s="7">
        <v>27.0</v>
      </c>
      <c r="AG107" s="7">
        <v>28.0</v>
      </c>
      <c r="AH107" s="7">
        <v>29.0</v>
      </c>
      <c r="AI107" s="7">
        <v>30.0</v>
      </c>
      <c r="AJ107" s="7">
        <v>31.0</v>
      </c>
      <c r="AK107" s="244"/>
      <c r="AL107" s="26"/>
      <c r="AM107" s="60" t="str">
        <f t="shared" si="1"/>
        <v/>
      </c>
      <c r="AN107" s="60"/>
      <c r="AO107" s="60"/>
      <c r="AP107" s="60"/>
      <c r="AQ107" s="60"/>
      <c r="AR107" s="60"/>
      <c r="AS107" s="29"/>
      <c r="AT107" s="29"/>
    </row>
    <row r="108" ht="15.75" customHeight="1">
      <c r="A108" s="564" t="s">
        <v>4</v>
      </c>
      <c r="B108" s="565" t="s">
        <v>5</v>
      </c>
      <c r="C108" s="564" t="s">
        <v>6</v>
      </c>
      <c r="D108" s="565" t="s">
        <v>7</v>
      </c>
      <c r="E108" s="564" t="s">
        <v>8</v>
      </c>
      <c r="F108" s="7" t="s">
        <v>9</v>
      </c>
      <c r="G108" s="7" t="s">
        <v>10</v>
      </c>
      <c r="H108" s="7" t="s">
        <v>11</v>
      </c>
      <c r="I108" s="7" t="s">
        <v>12</v>
      </c>
      <c r="J108" s="7" t="s">
        <v>12</v>
      </c>
      <c r="K108" s="7" t="s">
        <v>13</v>
      </c>
      <c r="L108" s="7" t="s">
        <v>15</v>
      </c>
      <c r="M108" s="7" t="s">
        <v>9</v>
      </c>
      <c r="N108" s="7" t="s">
        <v>10</v>
      </c>
      <c r="O108" s="7" t="s">
        <v>11</v>
      </c>
      <c r="P108" s="7" t="s">
        <v>12</v>
      </c>
      <c r="Q108" s="7" t="s">
        <v>12</v>
      </c>
      <c r="R108" s="7" t="s">
        <v>13</v>
      </c>
      <c r="S108" s="7" t="s">
        <v>15</v>
      </c>
      <c r="T108" s="7" t="s">
        <v>9</v>
      </c>
      <c r="U108" s="7" t="s">
        <v>10</v>
      </c>
      <c r="V108" s="7" t="s">
        <v>11</v>
      </c>
      <c r="W108" s="7" t="s">
        <v>12</v>
      </c>
      <c r="X108" s="7" t="s">
        <v>12</v>
      </c>
      <c r="Y108" s="7" t="s">
        <v>13</v>
      </c>
      <c r="Z108" s="7" t="s">
        <v>15</v>
      </c>
      <c r="AA108" s="7" t="s">
        <v>9</v>
      </c>
      <c r="AB108" s="7" t="s">
        <v>10</v>
      </c>
      <c r="AC108" s="7" t="s">
        <v>11</v>
      </c>
      <c r="AD108" s="7" t="s">
        <v>12</v>
      </c>
      <c r="AE108" s="7" t="s">
        <v>12</v>
      </c>
      <c r="AF108" s="7" t="s">
        <v>13</v>
      </c>
      <c r="AG108" s="27" t="s">
        <v>15</v>
      </c>
      <c r="AH108" s="7" t="s">
        <v>9</v>
      </c>
      <c r="AI108" s="7" t="s">
        <v>10</v>
      </c>
      <c r="AJ108" s="7" t="s">
        <v>11</v>
      </c>
      <c r="AK108" s="244"/>
      <c r="AL108" s="26"/>
      <c r="AM108" s="60" t="str">
        <f t="shared" si="1"/>
        <v/>
      </c>
      <c r="AN108" s="60"/>
      <c r="AO108" s="60"/>
      <c r="AP108" s="60"/>
      <c r="AQ108" s="60"/>
      <c r="AR108" s="60"/>
      <c r="AS108" s="29"/>
      <c r="AT108" s="29"/>
    </row>
    <row r="109" ht="15.75" customHeight="1">
      <c r="A109" s="66" t="s">
        <v>230</v>
      </c>
      <c r="B109" s="67" t="s">
        <v>1041</v>
      </c>
      <c r="C109" s="66">
        <v>33972.0</v>
      </c>
      <c r="D109" s="116" t="s">
        <v>1042</v>
      </c>
      <c r="E109" s="69" t="s">
        <v>1043</v>
      </c>
      <c r="F109" s="44"/>
      <c r="G109" s="44"/>
      <c r="H109" s="45" t="s">
        <v>18</v>
      </c>
      <c r="I109" s="45" t="s">
        <v>27</v>
      </c>
      <c r="J109" s="45" t="s">
        <v>27</v>
      </c>
      <c r="K109" s="134" t="s">
        <v>19</v>
      </c>
      <c r="L109" s="45" t="s">
        <v>27</v>
      </c>
      <c r="M109" s="520"/>
      <c r="N109" s="520"/>
      <c r="O109" s="45" t="s">
        <v>18</v>
      </c>
      <c r="P109" s="45" t="s">
        <v>27</v>
      </c>
      <c r="Q109" s="45" t="s">
        <v>18</v>
      </c>
      <c r="R109" s="134" t="s">
        <v>19</v>
      </c>
      <c r="S109" s="134" t="s">
        <v>19</v>
      </c>
      <c r="T109" s="520"/>
      <c r="U109" s="520"/>
      <c r="V109" s="44"/>
      <c r="W109" s="45" t="s">
        <v>27</v>
      </c>
      <c r="X109" s="45" t="s">
        <v>27</v>
      </c>
      <c r="Y109" s="45" t="s">
        <v>27</v>
      </c>
      <c r="Z109" s="45" t="s">
        <v>27</v>
      </c>
      <c r="AA109" s="520"/>
      <c r="AB109" s="520"/>
      <c r="AC109" s="45" t="s">
        <v>27</v>
      </c>
      <c r="AD109" s="45" t="s">
        <v>27</v>
      </c>
      <c r="AE109" s="45" t="s">
        <v>27</v>
      </c>
      <c r="AF109" s="45" t="s">
        <v>27</v>
      </c>
      <c r="AG109" s="45" t="s">
        <v>120</v>
      </c>
      <c r="AH109" s="520"/>
      <c r="AI109" s="520"/>
      <c r="AJ109" s="45" t="s">
        <v>27</v>
      </c>
      <c r="AK109" s="244"/>
      <c r="AL109" s="26"/>
      <c r="AM109" s="60" t="str">
        <f t="shared" si="1"/>
        <v>NO CORRESPONDE FRANCO</v>
      </c>
      <c r="AN109" s="60">
        <f>COUNTIF($F109:$AJ109,"LLT")</f>
        <v>3</v>
      </c>
      <c r="AO109" s="60">
        <f>COUNTIF($F109:$AJ109,"LM")</f>
        <v>3</v>
      </c>
      <c r="AP109" s="60">
        <f>COUNTIF($F109:$AJ109,"FaC")</f>
        <v>0</v>
      </c>
      <c r="AQ109" s="60">
        <f>COUNTIF($F109:$AJ109,"LxE")</f>
        <v>0</v>
      </c>
      <c r="AR109" s="60">
        <f>COUNTIF($F109:$AJ109,"LA")</f>
        <v>0</v>
      </c>
      <c r="AS109" s="60">
        <f>SUM(AO109:AR109)</f>
        <v>3</v>
      </c>
      <c r="AT109" s="29"/>
    </row>
    <row r="110" ht="15.75" customHeight="1">
      <c r="A110" s="377"/>
      <c r="B110" s="377"/>
      <c r="C110" s="377"/>
      <c r="D110" s="377"/>
      <c r="E110" s="377"/>
      <c r="F110" s="559"/>
      <c r="G110" s="24"/>
      <c r="H110" s="559"/>
      <c r="I110" s="24"/>
      <c r="J110" s="559"/>
      <c r="K110" s="559"/>
      <c r="L110" s="559"/>
      <c r="M110" s="24"/>
      <c r="N110" s="559"/>
      <c r="O110" s="24"/>
      <c r="P110" s="24"/>
      <c r="Q110" s="559"/>
      <c r="R110" s="24"/>
      <c r="S110" s="559"/>
      <c r="T110" s="559"/>
      <c r="U110" s="24"/>
      <c r="V110" s="559"/>
      <c r="W110" s="24"/>
      <c r="X110" s="559"/>
      <c r="Y110" s="24"/>
      <c r="Z110" s="559"/>
      <c r="AA110" s="559"/>
      <c r="AB110" s="559"/>
      <c r="AC110" s="559"/>
      <c r="AD110" s="559"/>
      <c r="AE110" s="559"/>
      <c r="AF110" s="559"/>
      <c r="AG110" s="559"/>
      <c r="AH110" s="559"/>
      <c r="AI110" s="559"/>
      <c r="AJ110" s="559"/>
      <c r="AK110" s="244"/>
      <c r="AL110" s="26"/>
      <c r="AM110" s="60" t="str">
        <f t="shared" si="1"/>
        <v/>
      </c>
      <c r="AN110" s="60"/>
      <c r="AO110" s="60"/>
      <c r="AP110" s="60"/>
      <c r="AQ110" s="60"/>
      <c r="AR110" s="60"/>
      <c r="AS110" s="29"/>
      <c r="AT110" s="29"/>
    </row>
    <row r="111" ht="15.75" customHeight="1">
      <c r="A111" s="377"/>
      <c r="B111" s="377"/>
      <c r="C111" s="377"/>
      <c r="D111" s="377"/>
      <c r="E111" s="377"/>
      <c r="F111" s="559"/>
      <c r="G111" s="24"/>
      <c r="H111" s="559"/>
      <c r="I111" s="24"/>
      <c r="J111" s="559"/>
      <c r="K111" s="559"/>
      <c r="L111" s="559"/>
      <c r="M111" s="24"/>
      <c r="N111" s="559"/>
      <c r="O111" s="24"/>
      <c r="P111" s="24"/>
      <c r="Q111" s="559"/>
      <c r="R111" s="24"/>
      <c r="S111" s="559"/>
      <c r="T111" s="559"/>
      <c r="U111" s="24"/>
      <c r="V111" s="559"/>
      <c r="W111" s="24"/>
      <c r="X111" s="559"/>
      <c r="Y111" s="24"/>
      <c r="Z111" s="559"/>
      <c r="AA111" s="559"/>
      <c r="AB111" s="559"/>
      <c r="AC111" s="559"/>
      <c r="AD111" s="559"/>
      <c r="AE111" s="559"/>
      <c r="AF111" s="559"/>
      <c r="AG111" s="559"/>
      <c r="AH111" s="559"/>
      <c r="AI111" s="559"/>
      <c r="AJ111" s="559"/>
      <c r="AK111" s="244"/>
      <c r="AL111" s="26"/>
      <c r="AM111" s="60" t="str">
        <f t="shared" si="1"/>
        <v/>
      </c>
      <c r="AN111" s="60"/>
      <c r="AO111" s="60"/>
      <c r="AP111" s="60"/>
      <c r="AQ111" s="60"/>
      <c r="AR111" s="60"/>
      <c r="AS111" s="29"/>
      <c r="AT111" s="29"/>
    </row>
    <row r="112" ht="15.75" customHeight="1">
      <c r="A112" s="203" t="s">
        <v>1054</v>
      </c>
      <c r="B112" s="6"/>
      <c r="C112" s="6"/>
      <c r="D112" s="6"/>
      <c r="E112" s="11"/>
      <c r="F112" s="7">
        <v>1.0</v>
      </c>
      <c r="G112" s="7">
        <v>2.0</v>
      </c>
      <c r="H112" s="7">
        <v>3.0</v>
      </c>
      <c r="I112" s="7">
        <v>4.0</v>
      </c>
      <c r="J112" s="7">
        <v>5.0</v>
      </c>
      <c r="K112" s="7">
        <v>6.0</v>
      </c>
      <c r="L112" s="7">
        <v>7.0</v>
      </c>
      <c r="M112" s="7">
        <v>8.0</v>
      </c>
      <c r="N112" s="7">
        <v>9.0</v>
      </c>
      <c r="O112" s="7">
        <v>10.0</v>
      </c>
      <c r="P112" s="7">
        <v>11.0</v>
      </c>
      <c r="Q112" s="7">
        <v>12.0</v>
      </c>
      <c r="R112" s="7">
        <v>13.0</v>
      </c>
      <c r="S112" s="7">
        <v>14.0</v>
      </c>
      <c r="T112" s="7">
        <v>15.0</v>
      </c>
      <c r="U112" s="7">
        <v>16.0</v>
      </c>
      <c r="V112" s="7">
        <v>17.0</v>
      </c>
      <c r="W112" s="7">
        <v>18.0</v>
      </c>
      <c r="X112" s="7">
        <v>19.0</v>
      </c>
      <c r="Y112" s="7">
        <v>20.0</v>
      </c>
      <c r="Z112" s="7">
        <v>21.0</v>
      </c>
      <c r="AA112" s="7">
        <v>22.0</v>
      </c>
      <c r="AB112" s="7">
        <v>23.0</v>
      </c>
      <c r="AC112" s="7">
        <v>24.0</v>
      </c>
      <c r="AD112" s="7">
        <v>25.0</v>
      </c>
      <c r="AE112" s="7">
        <v>26.0</v>
      </c>
      <c r="AF112" s="7">
        <v>27.0</v>
      </c>
      <c r="AG112" s="7">
        <v>28.0</v>
      </c>
      <c r="AH112" s="7">
        <v>29.0</v>
      </c>
      <c r="AI112" s="7">
        <v>30.0</v>
      </c>
      <c r="AJ112" s="7">
        <v>31.0</v>
      </c>
      <c r="AK112" s="244"/>
      <c r="AL112" s="26"/>
      <c r="AM112" s="60" t="str">
        <f t="shared" si="1"/>
        <v/>
      </c>
      <c r="AN112" s="60"/>
      <c r="AO112" s="60"/>
      <c r="AP112" s="60"/>
      <c r="AQ112" s="60"/>
      <c r="AR112" s="60"/>
      <c r="AS112" s="29"/>
      <c r="AT112" s="29"/>
    </row>
    <row r="113" ht="15.75" customHeight="1">
      <c r="A113" s="207" t="s">
        <v>4</v>
      </c>
      <c r="B113" s="209" t="s">
        <v>5</v>
      </c>
      <c r="C113" s="207" t="s">
        <v>6</v>
      </c>
      <c r="D113" s="209" t="s">
        <v>7</v>
      </c>
      <c r="E113" s="207" t="s">
        <v>8</v>
      </c>
      <c r="F113" s="7" t="s">
        <v>9</v>
      </c>
      <c r="G113" s="7" t="s">
        <v>10</v>
      </c>
      <c r="H113" s="7" t="s">
        <v>11</v>
      </c>
      <c r="I113" s="7" t="s">
        <v>12</v>
      </c>
      <c r="J113" s="7" t="s">
        <v>12</v>
      </c>
      <c r="K113" s="7" t="s">
        <v>13</v>
      </c>
      <c r="L113" s="7" t="s">
        <v>15</v>
      </c>
      <c r="M113" s="7" t="s">
        <v>9</v>
      </c>
      <c r="N113" s="7" t="s">
        <v>10</v>
      </c>
      <c r="O113" s="7" t="s">
        <v>11</v>
      </c>
      <c r="P113" s="7" t="s">
        <v>12</v>
      </c>
      <c r="Q113" s="7" t="s">
        <v>12</v>
      </c>
      <c r="R113" s="7" t="s">
        <v>13</v>
      </c>
      <c r="S113" s="7" t="s">
        <v>15</v>
      </c>
      <c r="T113" s="7" t="s">
        <v>9</v>
      </c>
      <c r="U113" s="7" t="s">
        <v>10</v>
      </c>
      <c r="V113" s="7" t="s">
        <v>11</v>
      </c>
      <c r="W113" s="7" t="s">
        <v>12</v>
      </c>
      <c r="X113" s="7" t="s">
        <v>12</v>
      </c>
      <c r="Y113" s="7" t="s">
        <v>13</v>
      </c>
      <c r="Z113" s="7" t="s">
        <v>15</v>
      </c>
      <c r="AA113" s="7" t="s">
        <v>9</v>
      </c>
      <c r="AB113" s="7" t="s">
        <v>10</v>
      </c>
      <c r="AC113" s="7" t="s">
        <v>11</v>
      </c>
      <c r="AD113" s="7" t="s">
        <v>12</v>
      </c>
      <c r="AE113" s="7" t="s">
        <v>12</v>
      </c>
      <c r="AF113" s="7" t="s">
        <v>13</v>
      </c>
      <c r="AG113" s="27" t="s">
        <v>15</v>
      </c>
      <c r="AH113" s="7" t="s">
        <v>9</v>
      </c>
      <c r="AI113" s="7" t="s">
        <v>10</v>
      </c>
      <c r="AJ113" s="7" t="s">
        <v>11</v>
      </c>
      <c r="AK113" s="244"/>
      <c r="AL113" s="26"/>
      <c r="AM113" s="60" t="str">
        <f t="shared" si="1"/>
        <v/>
      </c>
      <c r="AN113" s="60"/>
      <c r="AO113" s="60"/>
      <c r="AP113" s="60"/>
      <c r="AQ113" s="60"/>
      <c r="AR113" s="60"/>
      <c r="AS113" s="29"/>
      <c r="AT113" s="29"/>
    </row>
    <row r="114" ht="15.75" customHeight="1">
      <c r="A114" s="66" t="s">
        <v>33</v>
      </c>
      <c r="B114" s="67" t="s">
        <v>1058</v>
      </c>
      <c r="C114" s="76">
        <v>4.0535524E7</v>
      </c>
      <c r="D114" s="116" t="s">
        <v>1059</v>
      </c>
      <c r="E114" s="98" t="s">
        <v>1060</v>
      </c>
      <c r="F114" s="44"/>
      <c r="G114" s="44"/>
      <c r="H114" s="45" t="s">
        <v>27</v>
      </c>
      <c r="I114" s="45" t="s">
        <v>27</v>
      </c>
      <c r="J114" s="45" t="s">
        <v>18</v>
      </c>
      <c r="K114" s="45" t="s">
        <v>27</v>
      </c>
      <c r="L114" s="45" t="s">
        <v>27</v>
      </c>
      <c r="M114" s="44"/>
      <c r="N114" s="44"/>
      <c r="O114" s="45" t="s">
        <v>27</v>
      </c>
      <c r="P114" s="45" t="s">
        <v>27</v>
      </c>
      <c r="Q114" s="45" t="s">
        <v>27</v>
      </c>
      <c r="R114" s="45" t="s">
        <v>27</v>
      </c>
      <c r="S114" s="45" t="s">
        <v>27</v>
      </c>
      <c r="T114" s="44"/>
      <c r="U114" s="44"/>
      <c r="V114" s="45" t="s">
        <v>120</v>
      </c>
      <c r="W114" s="45" t="s">
        <v>27</v>
      </c>
      <c r="X114" s="45" t="s">
        <v>27</v>
      </c>
      <c r="Y114" s="45" t="s">
        <v>27</v>
      </c>
      <c r="Z114" s="569" t="s">
        <v>32</v>
      </c>
      <c r="AA114" s="44"/>
      <c r="AB114" s="44"/>
      <c r="AC114" s="45" t="s">
        <v>18</v>
      </c>
      <c r="AD114" s="45" t="s">
        <v>27</v>
      </c>
      <c r="AE114" s="45" t="s">
        <v>27</v>
      </c>
      <c r="AF114" s="45" t="s">
        <v>27</v>
      </c>
      <c r="AG114" s="45" t="s">
        <v>120</v>
      </c>
      <c r="AH114" s="44"/>
      <c r="AI114" s="44"/>
      <c r="AJ114" s="106" t="s">
        <v>32</v>
      </c>
      <c r="AK114" s="570" t="s">
        <v>1061</v>
      </c>
      <c r="AL114" s="26"/>
      <c r="AM114" s="60" t="str">
        <f t="shared" si="1"/>
        <v/>
      </c>
      <c r="AN114" s="60">
        <f>COUNTIF($F114:$AJ114,"LLT")</f>
        <v>2</v>
      </c>
      <c r="AO114" s="60">
        <f>COUNTIF($F114:$AJ114,"LM")</f>
        <v>0</v>
      </c>
      <c r="AP114" s="60">
        <f>COUNTIF($F114:$AJ114,"FaC")</f>
        <v>0</v>
      </c>
      <c r="AQ114" s="60">
        <f>COUNTIF($F114:$AJ114,"LxE")</f>
        <v>0</v>
      </c>
      <c r="AR114" s="60">
        <f>COUNTIF($F114:$AJ114,"LA")</f>
        <v>0</v>
      </c>
      <c r="AS114" s="60">
        <f>SUM(AO114:AR114)</f>
        <v>0</v>
      </c>
      <c r="AT114" s="29"/>
    </row>
    <row r="115" ht="15.75" customHeight="1">
      <c r="A115" s="559"/>
      <c r="B115" s="559"/>
      <c r="C115" s="559"/>
      <c r="D115" s="559"/>
      <c r="E115" s="559"/>
      <c r="F115" s="559"/>
      <c r="G115" s="24"/>
      <c r="H115" s="559"/>
      <c r="I115" s="24"/>
      <c r="J115" s="559"/>
      <c r="K115" s="559"/>
      <c r="L115" s="559"/>
      <c r="M115" s="24"/>
      <c r="N115" s="559"/>
      <c r="O115" s="24"/>
      <c r="P115" s="24"/>
      <c r="Q115" s="559"/>
      <c r="R115" s="24"/>
      <c r="S115" s="559"/>
      <c r="T115" s="559"/>
      <c r="U115" s="24"/>
      <c r="V115" s="559"/>
      <c r="W115" s="24"/>
      <c r="X115" s="559"/>
      <c r="Y115" s="24"/>
      <c r="Z115" s="559"/>
      <c r="AA115" s="559"/>
      <c r="AB115" s="559"/>
      <c r="AC115" s="559"/>
      <c r="AD115" s="559"/>
      <c r="AE115" s="559"/>
      <c r="AF115" s="559"/>
      <c r="AG115" s="559"/>
      <c r="AH115" s="559"/>
      <c r="AI115" s="559"/>
      <c r="AJ115" s="559"/>
      <c r="AK115" s="244"/>
      <c r="AL115" s="26"/>
      <c r="AM115" s="60" t="str">
        <f t="shared" si="1"/>
        <v/>
      </c>
      <c r="AN115" s="60"/>
      <c r="AO115" s="60"/>
      <c r="AP115" s="60"/>
      <c r="AQ115" s="60"/>
      <c r="AR115" s="60"/>
      <c r="AS115" s="29"/>
      <c r="AT115" s="29"/>
    </row>
    <row r="116" ht="15.75" customHeight="1">
      <c r="A116" s="559"/>
      <c r="B116" s="559"/>
      <c r="C116" s="559"/>
      <c r="D116" s="559"/>
      <c r="E116" s="559"/>
      <c r="F116" s="559"/>
      <c r="G116" s="24"/>
      <c r="H116" s="559"/>
      <c r="I116" s="24"/>
      <c r="J116" s="559"/>
      <c r="K116" s="559"/>
      <c r="L116" s="559"/>
      <c r="M116" s="24"/>
      <c r="N116" s="559"/>
      <c r="O116" s="24"/>
      <c r="P116" s="24"/>
      <c r="Q116" s="559"/>
      <c r="R116" s="24"/>
      <c r="S116" s="559"/>
      <c r="T116" s="559"/>
      <c r="U116" s="24"/>
      <c r="V116" s="559"/>
      <c r="W116" s="24"/>
      <c r="X116" s="559"/>
      <c r="Y116" s="24"/>
      <c r="Z116" s="559"/>
      <c r="AA116" s="559"/>
      <c r="AB116" s="559"/>
      <c r="AC116" s="559"/>
      <c r="AD116" s="559"/>
      <c r="AE116" s="559"/>
      <c r="AF116" s="559"/>
      <c r="AG116" s="559"/>
      <c r="AH116" s="559"/>
      <c r="AI116" s="559"/>
      <c r="AJ116" s="559"/>
      <c r="AK116" s="24"/>
      <c r="AL116" s="26"/>
      <c r="AM116" s="60" t="str">
        <f t="shared" si="1"/>
        <v/>
      </c>
      <c r="AN116" s="60"/>
      <c r="AO116" s="60"/>
      <c r="AP116" s="60"/>
      <c r="AQ116" s="60"/>
      <c r="AR116" s="60"/>
      <c r="AS116" s="29"/>
      <c r="AT116" s="29"/>
    </row>
    <row r="117" ht="15.75" customHeight="1">
      <c r="A117" s="572" t="s">
        <v>1068</v>
      </c>
      <c r="B117" s="6"/>
      <c r="C117" s="6"/>
      <c r="D117" s="6"/>
      <c r="E117" s="11"/>
      <c r="F117" s="7">
        <v>1.0</v>
      </c>
      <c r="G117" s="7">
        <v>2.0</v>
      </c>
      <c r="H117" s="7">
        <v>3.0</v>
      </c>
      <c r="I117" s="7">
        <v>4.0</v>
      </c>
      <c r="J117" s="7">
        <v>5.0</v>
      </c>
      <c r="K117" s="7">
        <v>6.0</v>
      </c>
      <c r="L117" s="7">
        <v>7.0</v>
      </c>
      <c r="M117" s="7">
        <v>8.0</v>
      </c>
      <c r="N117" s="7">
        <v>9.0</v>
      </c>
      <c r="O117" s="7">
        <v>10.0</v>
      </c>
      <c r="P117" s="7">
        <v>11.0</v>
      </c>
      <c r="Q117" s="7">
        <v>12.0</v>
      </c>
      <c r="R117" s="7">
        <v>13.0</v>
      </c>
      <c r="S117" s="7">
        <v>14.0</v>
      </c>
      <c r="T117" s="7">
        <v>15.0</v>
      </c>
      <c r="U117" s="7">
        <v>16.0</v>
      </c>
      <c r="V117" s="7">
        <v>17.0</v>
      </c>
      <c r="W117" s="7">
        <v>18.0</v>
      </c>
      <c r="X117" s="7">
        <v>19.0</v>
      </c>
      <c r="Y117" s="7">
        <v>20.0</v>
      </c>
      <c r="Z117" s="7">
        <v>21.0</v>
      </c>
      <c r="AA117" s="7">
        <v>22.0</v>
      </c>
      <c r="AB117" s="7">
        <v>23.0</v>
      </c>
      <c r="AC117" s="7">
        <v>24.0</v>
      </c>
      <c r="AD117" s="7">
        <v>25.0</v>
      </c>
      <c r="AE117" s="7">
        <v>26.0</v>
      </c>
      <c r="AF117" s="7">
        <v>27.0</v>
      </c>
      <c r="AG117" s="7">
        <v>28.0</v>
      </c>
      <c r="AH117" s="7">
        <v>29.0</v>
      </c>
      <c r="AI117" s="7">
        <v>30.0</v>
      </c>
      <c r="AJ117" s="7">
        <v>31.0</v>
      </c>
      <c r="AK117" s="24"/>
      <c r="AL117" s="26"/>
      <c r="AM117" s="60" t="str">
        <f t="shared" si="1"/>
        <v/>
      </c>
      <c r="AN117" s="60"/>
      <c r="AO117" s="60"/>
      <c r="AP117" s="60"/>
      <c r="AQ117" s="60"/>
      <c r="AR117" s="60"/>
      <c r="AS117" s="29"/>
      <c r="AT117" s="29"/>
    </row>
    <row r="118" ht="15.75" customHeight="1">
      <c r="A118" s="574" t="s">
        <v>4</v>
      </c>
      <c r="B118" s="575" t="s">
        <v>5</v>
      </c>
      <c r="C118" s="574" t="s">
        <v>6</v>
      </c>
      <c r="D118" s="575" t="s">
        <v>7</v>
      </c>
      <c r="E118" s="574" t="s">
        <v>8</v>
      </c>
      <c r="F118" s="7" t="s">
        <v>9</v>
      </c>
      <c r="G118" s="7" t="s">
        <v>10</v>
      </c>
      <c r="H118" s="7" t="s">
        <v>11</v>
      </c>
      <c r="I118" s="7" t="s">
        <v>12</v>
      </c>
      <c r="J118" s="7" t="s">
        <v>12</v>
      </c>
      <c r="K118" s="7" t="s">
        <v>13</v>
      </c>
      <c r="L118" s="7" t="s">
        <v>15</v>
      </c>
      <c r="M118" s="7" t="s">
        <v>9</v>
      </c>
      <c r="N118" s="7" t="s">
        <v>10</v>
      </c>
      <c r="O118" s="7" t="s">
        <v>11</v>
      </c>
      <c r="P118" s="7" t="s">
        <v>12</v>
      </c>
      <c r="Q118" s="7" t="s">
        <v>12</v>
      </c>
      <c r="R118" s="7" t="s">
        <v>13</v>
      </c>
      <c r="S118" s="7" t="s">
        <v>15</v>
      </c>
      <c r="T118" s="7" t="s">
        <v>9</v>
      </c>
      <c r="U118" s="7" t="s">
        <v>10</v>
      </c>
      <c r="V118" s="7" t="s">
        <v>11</v>
      </c>
      <c r="W118" s="7" t="s">
        <v>12</v>
      </c>
      <c r="X118" s="7" t="s">
        <v>12</v>
      </c>
      <c r="Y118" s="7" t="s">
        <v>13</v>
      </c>
      <c r="Z118" s="7" t="s">
        <v>15</v>
      </c>
      <c r="AA118" s="7" t="s">
        <v>9</v>
      </c>
      <c r="AB118" s="7" t="s">
        <v>10</v>
      </c>
      <c r="AC118" s="7" t="s">
        <v>11</v>
      </c>
      <c r="AD118" s="7" t="s">
        <v>12</v>
      </c>
      <c r="AE118" s="7" t="s">
        <v>12</v>
      </c>
      <c r="AF118" s="7" t="s">
        <v>13</v>
      </c>
      <c r="AG118" s="27" t="s">
        <v>15</v>
      </c>
      <c r="AH118" s="7" t="s">
        <v>9</v>
      </c>
      <c r="AI118" s="7" t="s">
        <v>10</v>
      </c>
      <c r="AJ118" s="7" t="s">
        <v>11</v>
      </c>
      <c r="AK118" s="24"/>
      <c r="AL118" s="26"/>
      <c r="AM118" s="60" t="str">
        <f t="shared" si="1"/>
        <v/>
      </c>
      <c r="AN118" s="60"/>
      <c r="AO118" s="60"/>
      <c r="AP118" s="60"/>
      <c r="AQ118" s="60"/>
      <c r="AR118" s="60"/>
      <c r="AS118" s="29"/>
      <c r="AT118" s="29"/>
    </row>
    <row r="119" ht="15.75" customHeight="1">
      <c r="A119" s="108" t="s">
        <v>33</v>
      </c>
      <c r="B119" s="385" t="s">
        <v>1078</v>
      </c>
      <c r="C119" s="292">
        <v>4.5677429E7</v>
      </c>
      <c r="D119" s="385" t="s">
        <v>1080</v>
      </c>
      <c r="E119" s="292" t="s">
        <v>1081</v>
      </c>
      <c r="F119" s="44"/>
      <c r="G119" s="44"/>
      <c r="H119" s="45" t="s">
        <v>18</v>
      </c>
      <c r="I119" s="70"/>
      <c r="J119" s="70"/>
      <c r="K119" s="70"/>
      <c r="L119" s="45" t="s">
        <v>18</v>
      </c>
      <c r="M119" s="520"/>
      <c r="N119" s="520"/>
      <c r="O119" s="45" t="s">
        <v>18</v>
      </c>
      <c r="P119" s="45" t="s">
        <v>18</v>
      </c>
      <c r="Q119" s="45" t="s">
        <v>18</v>
      </c>
      <c r="R119" s="45" t="s">
        <v>18</v>
      </c>
      <c r="S119" s="45" t="s">
        <v>18</v>
      </c>
      <c r="T119" s="520"/>
      <c r="U119" s="520"/>
      <c r="V119" s="45"/>
      <c r="W119" s="45" t="s">
        <v>18</v>
      </c>
      <c r="X119" s="45" t="s">
        <v>18</v>
      </c>
      <c r="Y119" s="45"/>
      <c r="Z119" s="45" t="s">
        <v>18</v>
      </c>
      <c r="AA119" s="520"/>
      <c r="AB119" s="520"/>
      <c r="AC119" s="70"/>
      <c r="AD119" s="70"/>
      <c r="AE119" s="70"/>
      <c r="AF119" s="70"/>
      <c r="AG119" s="70"/>
      <c r="AH119" s="520"/>
      <c r="AI119" s="520"/>
      <c r="AJ119" s="520"/>
      <c r="AK119" s="193" t="s">
        <v>1082</v>
      </c>
      <c r="AL119" s="26"/>
      <c r="AM119" s="60" t="str">
        <f t="shared" si="1"/>
        <v>NO CORRESPONDE FRANCO</v>
      </c>
      <c r="AN119" s="60">
        <f t="shared" ref="AN119:AN120" si="44">COUNTIF($F119:$AJ119,"LLT")</f>
        <v>10</v>
      </c>
      <c r="AO119" s="60">
        <f t="shared" ref="AO119:AO120" si="45">COUNTIF($F119:$AJ119,"LM")</f>
        <v>0</v>
      </c>
      <c r="AP119" s="60">
        <f t="shared" ref="AP119:AP120" si="46">COUNTIF($F119:$AJ119,"FaC")</f>
        <v>0</v>
      </c>
      <c r="AQ119" s="60">
        <f t="shared" ref="AQ119:AQ120" si="47">COUNTIF($F119:$AJ119,"LxE")</f>
        <v>0</v>
      </c>
      <c r="AR119" s="60">
        <f t="shared" ref="AR119:AR120" si="48">COUNTIF($F119:$AJ119,"LA")</f>
        <v>0</v>
      </c>
      <c r="AS119" s="60">
        <f t="shared" ref="AS119:AS120" si="49">SUM(AO119:AR119)</f>
        <v>0</v>
      </c>
      <c r="AT119" s="29"/>
    </row>
    <row r="120" ht="15.75" customHeight="1">
      <c r="A120" s="108" t="s">
        <v>168</v>
      </c>
      <c r="B120" s="578" t="s">
        <v>1086</v>
      </c>
      <c r="C120" s="108">
        <v>2.0384196E7</v>
      </c>
      <c r="D120" s="579" t="s">
        <v>1087</v>
      </c>
      <c r="E120" s="108" t="s">
        <v>1090</v>
      </c>
      <c r="F120" s="44"/>
      <c r="G120" s="44"/>
      <c r="H120" s="192" t="s">
        <v>22</v>
      </c>
      <c r="I120" s="192" t="s">
        <v>22</v>
      </c>
      <c r="J120" s="192" t="s">
        <v>22</v>
      </c>
      <c r="K120" s="192" t="s">
        <v>22</v>
      </c>
      <c r="L120" s="192" t="s">
        <v>22</v>
      </c>
      <c r="M120" s="192" t="s">
        <v>22</v>
      </c>
      <c r="N120" s="192" t="s">
        <v>22</v>
      </c>
      <c r="O120" s="134" t="s">
        <v>19</v>
      </c>
      <c r="P120" s="45" t="s">
        <v>18</v>
      </c>
      <c r="Q120" s="45" t="s">
        <v>27</v>
      </c>
      <c r="R120" s="45" t="s">
        <v>18</v>
      </c>
      <c r="S120" s="134" t="s">
        <v>19</v>
      </c>
      <c r="T120" s="520"/>
      <c r="U120" s="520"/>
      <c r="V120" s="134" t="s">
        <v>19</v>
      </c>
      <c r="W120" s="45" t="s">
        <v>78</v>
      </c>
      <c r="X120" s="45" t="s">
        <v>78</v>
      </c>
      <c r="Y120" s="45" t="s">
        <v>78</v>
      </c>
      <c r="Z120" s="45" t="s">
        <v>78</v>
      </c>
      <c r="AA120" s="520"/>
      <c r="AB120" s="520"/>
      <c r="AC120" s="45" t="s">
        <v>18</v>
      </c>
      <c r="AD120" s="134" t="s">
        <v>19</v>
      </c>
      <c r="AE120" s="134" t="s">
        <v>19</v>
      </c>
      <c r="AF120" s="134" t="s">
        <v>19</v>
      </c>
      <c r="AG120" s="45" t="s">
        <v>78</v>
      </c>
      <c r="AH120" s="520"/>
      <c r="AI120" s="520"/>
      <c r="AJ120" s="45" t="s">
        <v>78</v>
      </c>
      <c r="AK120" s="24"/>
      <c r="AL120" s="26"/>
      <c r="AM120" s="60" t="str">
        <f t="shared" si="1"/>
        <v>NO CORRESPONDE FRANCO</v>
      </c>
      <c r="AN120" s="60">
        <f t="shared" si="44"/>
        <v>3</v>
      </c>
      <c r="AO120" s="60">
        <f t="shared" si="45"/>
        <v>6</v>
      </c>
      <c r="AP120" s="60">
        <f t="shared" si="46"/>
        <v>0</v>
      </c>
      <c r="AQ120" s="60">
        <f t="shared" si="47"/>
        <v>0</v>
      </c>
      <c r="AR120" s="60">
        <f t="shared" si="48"/>
        <v>7</v>
      </c>
      <c r="AS120" s="60">
        <f t="shared" si="49"/>
        <v>13</v>
      </c>
      <c r="AT120" s="29"/>
    </row>
    <row r="121" ht="15.75" customHeight="1">
      <c r="F121" s="486">
        <f t="shared" ref="F121:AJ121" si="50">COUNTIF(F4:F262,"P") + COUNTIF(F4:F262, "LLT")</f>
        <v>35</v>
      </c>
      <c r="G121" s="486">
        <f t="shared" si="50"/>
        <v>24</v>
      </c>
      <c r="H121" s="486">
        <f t="shared" si="50"/>
        <v>33</v>
      </c>
      <c r="I121" s="486">
        <f t="shared" si="50"/>
        <v>31</v>
      </c>
      <c r="J121" s="486">
        <f t="shared" si="50"/>
        <v>32</v>
      </c>
      <c r="K121" s="486">
        <f t="shared" si="50"/>
        <v>29</v>
      </c>
      <c r="L121" s="486">
        <f t="shared" si="50"/>
        <v>32</v>
      </c>
      <c r="M121" s="486">
        <f t="shared" si="50"/>
        <v>30</v>
      </c>
      <c r="N121" s="486">
        <f t="shared" si="50"/>
        <v>24</v>
      </c>
      <c r="O121" s="486">
        <f t="shared" si="50"/>
        <v>36</v>
      </c>
      <c r="P121" s="486">
        <f t="shared" si="50"/>
        <v>41</v>
      </c>
      <c r="Q121" s="486">
        <f t="shared" si="50"/>
        <v>39</v>
      </c>
      <c r="R121" s="486">
        <f t="shared" si="50"/>
        <v>36</v>
      </c>
      <c r="S121" s="486">
        <f t="shared" si="50"/>
        <v>28</v>
      </c>
      <c r="T121" s="486">
        <f t="shared" si="50"/>
        <v>24</v>
      </c>
      <c r="U121" s="486">
        <f t="shared" si="50"/>
        <v>22</v>
      </c>
      <c r="V121" s="486">
        <f t="shared" si="50"/>
        <v>29</v>
      </c>
      <c r="W121" s="486">
        <f t="shared" si="50"/>
        <v>31</v>
      </c>
      <c r="X121" s="486">
        <f t="shared" si="50"/>
        <v>32</v>
      </c>
      <c r="Y121" s="486">
        <f t="shared" si="50"/>
        <v>37</v>
      </c>
      <c r="Z121" s="486">
        <f t="shared" si="50"/>
        <v>41</v>
      </c>
      <c r="AA121" s="486">
        <f t="shared" si="50"/>
        <v>33</v>
      </c>
      <c r="AB121" s="486">
        <f t="shared" si="50"/>
        <v>27</v>
      </c>
      <c r="AC121" s="486">
        <f t="shared" si="50"/>
        <v>33</v>
      </c>
      <c r="AD121" s="486">
        <f t="shared" si="50"/>
        <v>40</v>
      </c>
      <c r="AE121" s="486">
        <f t="shared" si="50"/>
        <v>27</v>
      </c>
      <c r="AF121" s="486">
        <f t="shared" si="50"/>
        <v>33</v>
      </c>
      <c r="AG121" s="486">
        <f t="shared" si="50"/>
        <v>30</v>
      </c>
      <c r="AH121" s="486">
        <f t="shared" si="50"/>
        <v>27</v>
      </c>
      <c r="AI121" s="486">
        <f t="shared" si="50"/>
        <v>22</v>
      </c>
      <c r="AJ121" s="486">
        <f t="shared" si="50"/>
        <v>30</v>
      </c>
      <c r="AK121" s="24"/>
      <c r="AL121" s="26"/>
      <c r="AM121" s="26"/>
      <c r="AN121" s="26"/>
      <c r="AO121" s="26"/>
      <c r="AP121" s="26"/>
      <c r="AQ121" s="29"/>
      <c r="AR121" s="29"/>
      <c r="AS121" s="29"/>
      <c r="AT121" s="29"/>
    </row>
    <row r="122" ht="15.75" customHeight="1">
      <c r="F122" s="24">
        <f t="shared" ref="F122:AJ122" si="51">COUNTIF(F5:F262,"P") + COUNTIF(F5:F262, "LLT") + COUNTIF(F5:F262, "FA") + COUNTIF(F5:F262, "A") + COUNTIF(F5:F262, "LM") + COUNTIF(F5:F262, "LA") + COUNTIF(F5:F262, "FAC") + COUNTIF(F5:F262, "LXF") + COUNTIF(F5:F262, "LXE") + COUNTIF(F5:F262, "LXM")</f>
        <v>44</v>
      </c>
      <c r="G122" s="24">
        <f t="shared" si="51"/>
        <v>33</v>
      </c>
      <c r="H122" s="24">
        <f t="shared" si="51"/>
        <v>43</v>
      </c>
      <c r="I122" s="24">
        <f t="shared" si="51"/>
        <v>41</v>
      </c>
      <c r="J122" s="24">
        <f t="shared" si="51"/>
        <v>42</v>
      </c>
      <c r="K122" s="24">
        <f t="shared" si="51"/>
        <v>42</v>
      </c>
      <c r="L122" s="24">
        <f t="shared" si="51"/>
        <v>46</v>
      </c>
      <c r="M122" s="24">
        <f t="shared" si="51"/>
        <v>46</v>
      </c>
      <c r="N122" s="24">
        <f t="shared" si="51"/>
        <v>48</v>
      </c>
      <c r="O122" s="24">
        <f t="shared" si="51"/>
        <v>54</v>
      </c>
      <c r="P122" s="24">
        <f t="shared" si="51"/>
        <v>58</v>
      </c>
      <c r="Q122" s="24">
        <f t="shared" si="51"/>
        <v>57</v>
      </c>
      <c r="R122" s="24">
        <f t="shared" si="51"/>
        <v>55</v>
      </c>
      <c r="S122" s="24">
        <f t="shared" si="51"/>
        <v>44</v>
      </c>
      <c r="T122" s="24">
        <f t="shared" si="51"/>
        <v>37</v>
      </c>
      <c r="U122" s="24">
        <f t="shared" si="51"/>
        <v>35</v>
      </c>
      <c r="V122" s="24">
        <f t="shared" si="51"/>
        <v>43</v>
      </c>
      <c r="W122" s="24">
        <f t="shared" si="51"/>
        <v>44</v>
      </c>
      <c r="X122" s="24">
        <f t="shared" si="51"/>
        <v>42</v>
      </c>
      <c r="Y122" s="24">
        <f t="shared" si="51"/>
        <v>52</v>
      </c>
      <c r="Z122" s="24">
        <f t="shared" si="51"/>
        <v>55</v>
      </c>
      <c r="AA122" s="24">
        <f t="shared" si="51"/>
        <v>47</v>
      </c>
      <c r="AB122" s="24">
        <f t="shared" si="51"/>
        <v>43</v>
      </c>
      <c r="AC122" s="24">
        <f t="shared" si="51"/>
        <v>45</v>
      </c>
      <c r="AD122" s="24">
        <f t="shared" si="51"/>
        <v>52</v>
      </c>
      <c r="AE122" s="24">
        <f t="shared" si="51"/>
        <v>36</v>
      </c>
      <c r="AF122" s="24">
        <f t="shared" si="51"/>
        <v>40</v>
      </c>
      <c r="AG122" s="24">
        <f t="shared" si="51"/>
        <v>39</v>
      </c>
      <c r="AH122" s="24">
        <f t="shared" si="51"/>
        <v>36</v>
      </c>
      <c r="AI122" s="24">
        <f t="shared" si="51"/>
        <v>37</v>
      </c>
      <c r="AJ122" s="24">
        <f t="shared" si="51"/>
        <v>41</v>
      </c>
      <c r="AK122" s="24"/>
      <c r="AL122" s="26"/>
      <c r="AM122" s="26"/>
      <c r="AN122" s="26"/>
      <c r="AO122" s="26"/>
      <c r="AP122" s="26"/>
      <c r="AQ122" s="29"/>
      <c r="AR122" s="29"/>
      <c r="AS122" s="29"/>
      <c r="AT122" s="29"/>
    </row>
    <row r="123" ht="15.75" customHeight="1">
      <c r="G123" s="24"/>
      <c r="I123" s="24"/>
      <c r="M123" s="24"/>
      <c r="O123" s="24"/>
      <c r="P123" s="24"/>
      <c r="R123" s="24"/>
      <c r="U123" s="24"/>
      <c r="W123" s="24"/>
      <c r="Y123" s="24"/>
      <c r="AK123" s="24"/>
      <c r="AL123" s="26"/>
      <c r="AM123" s="26"/>
      <c r="AN123" s="26"/>
      <c r="AO123" s="26"/>
      <c r="AP123" s="26"/>
      <c r="AQ123" s="29"/>
      <c r="AR123" s="29"/>
      <c r="AS123" s="29"/>
      <c r="AT123" s="29"/>
    </row>
    <row r="124" ht="15.75" customHeight="1">
      <c r="G124" s="24"/>
      <c r="I124" s="24"/>
      <c r="M124" s="24"/>
      <c r="O124" s="24"/>
      <c r="P124" s="24"/>
      <c r="R124" s="24"/>
      <c r="U124" s="24"/>
      <c r="W124" s="24"/>
      <c r="Y124" s="24"/>
      <c r="AK124" s="24"/>
      <c r="AL124" s="26"/>
      <c r="AM124" s="26"/>
      <c r="AN124" s="26"/>
      <c r="AO124" s="26"/>
      <c r="AP124" s="26"/>
      <c r="AQ124" s="29"/>
      <c r="AR124" s="29"/>
      <c r="AS124" s="29"/>
      <c r="AT124" s="29"/>
    </row>
    <row r="125" ht="15.75" customHeight="1">
      <c r="G125" s="24"/>
      <c r="I125" s="24"/>
      <c r="M125" s="24"/>
      <c r="O125" s="24"/>
      <c r="P125" s="24"/>
      <c r="R125" s="24"/>
      <c r="U125" s="24"/>
      <c r="W125" s="24"/>
      <c r="Y125" s="24"/>
      <c r="AK125" s="24"/>
      <c r="AL125" s="26"/>
      <c r="AM125" s="26"/>
      <c r="AN125" s="26"/>
      <c r="AO125" s="26"/>
      <c r="AP125" s="26"/>
      <c r="AQ125" s="29"/>
      <c r="AR125" s="29"/>
      <c r="AS125" s="29"/>
      <c r="AT125" s="29"/>
    </row>
    <row r="126" ht="15.75" customHeight="1">
      <c r="G126" s="24"/>
      <c r="I126" s="24"/>
      <c r="M126" s="24"/>
      <c r="O126" s="24"/>
      <c r="P126" s="24"/>
      <c r="R126" s="24"/>
      <c r="U126" s="24"/>
      <c r="W126" s="24"/>
      <c r="Y126" s="24"/>
      <c r="AK126" s="24"/>
      <c r="AL126" s="26"/>
      <c r="AM126" s="26"/>
      <c r="AN126" s="26"/>
      <c r="AO126" s="26"/>
      <c r="AP126" s="26"/>
      <c r="AQ126" s="29"/>
      <c r="AR126" s="29"/>
      <c r="AS126" s="29"/>
      <c r="AT126" s="29"/>
    </row>
    <row r="127" ht="15.75" customHeight="1">
      <c r="G127" s="24"/>
      <c r="I127" s="24"/>
      <c r="M127" s="24"/>
      <c r="O127" s="24"/>
      <c r="P127" s="24"/>
      <c r="R127" s="24"/>
      <c r="U127" s="24"/>
      <c r="W127" s="24"/>
      <c r="Y127" s="24"/>
      <c r="AK127" s="24"/>
      <c r="AL127" s="26"/>
      <c r="AM127" s="26"/>
      <c r="AN127" s="26"/>
      <c r="AO127" s="26"/>
      <c r="AP127" s="26"/>
      <c r="AQ127" s="29"/>
      <c r="AR127" s="29"/>
      <c r="AS127" s="29"/>
      <c r="AT127" s="29"/>
    </row>
    <row r="128" ht="15.75" customHeight="1">
      <c r="G128" s="24"/>
      <c r="I128" s="24"/>
      <c r="M128" s="24"/>
      <c r="O128" s="24"/>
      <c r="P128" s="24"/>
      <c r="R128" s="24"/>
      <c r="U128" s="24"/>
      <c r="W128" s="24"/>
      <c r="Y128" s="24"/>
      <c r="AK128" s="24"/>
      <c r="AL128" s="26"/>
      <c r="AM128" s="26"/>
      <c r="AN128" s="26"/>
      <c r="AO128" s="26"/>
      <c r="AP128" s="26"/>
      <c r="AQ128" s="29"/>
      <c r="AR128" s="29"/>
      <c r="AS128" s="29"/>
      <c r="AT128" s="29"/>
    </row>
    <row r="129" ht="15.75" customHeight="1">
      <c r="G129" s="24"/>
      <c r="I129" s="24"/>
      <c r="M129" s="24"/>
      <c r="O129" s="24"/>
      <c r="P129" s="24"/>
      <c r="R129" s="24"/>
      <c r="U129" s="24"/>
      <c r="W129" s="24"/>
      <c r="Y129" s="24"/>
      <c r="AK129" s="24"/>
      <c r="AL129" s="26"/>
      <c r="AM129" s="26"/>
      <c r="AN129" s="26"/>
      <c r="AO129" s="26"/>
      <c r="AP129" s="26"/>
      <c r="AQ129" s="29"/>
      <c r="AR129" s="29"/>
      <c r="AS129" s="29"/>
      <c r="AT129" s="29"/>
    </row>
    <row r="130" ht="15.75" customHeight="1">
      <c r="G130" s="24"/>
      <c r="I130" s="24"/>
      <c r="M130" s="24"/>
      <c r="O130" s="24"/>
      <c r="P130" s="24"/>
      <c r="R130" s="24"/>
      <c r="U130" s="24"/>
      <c r="W130" s="24"/>
      <c r="Y130" s="24"/>
      <c r="AK130" s="24"/>
      <c r="AL130" s="26"/>
      <c r="AM130" s="26"/>
      <c r="AN130" s="26"/>
      <c r="AO130" s="26"/>
      <c r="AP130" s="26"/>
      <c r="AQ130" s="29"/>
      <c r="AR130" s="29"/>
      <c r="AS130" s="29"/>
      <c r="AT130" s="29"/>
    </row>
    <row r="131" ht="15.75" customHeight="1">
      <c r="G131" s="24"/>
      <c r="I131" s="24"/>
      <c r="M131" s="24"/>
      <c r="O131" s="24"/>
      <c r="P131" s="24"/>
      <c r="R131" s="24"/>
      <c r="U131" s="24"/>
      <c r="W131" s="24"/>
      <c r="Y131" s="24"/>
      <c r="AK131" s="24"/>
      <c r="AL131" s="26"/>
      <c r="AM131" s="26"/>
      <c r="AN131" s="26"/>
      <c r="AO131" s="26"/>
      <c r="AP131" s="26"/>
      <c r="AQ131" s="29"/>
      <c r="AR131" s="29"/>
      <c r="AS131" s="29"/>
      <c r="AT131" s="29"/>
    </row>
    <row r="132" ht="15.75" customHeight="1">
      <c r="G132" s="24"/>
      <c r="I132" s="24"/>
      <c r="M132" s="24"/>
      <c r="O132" s="24"/>
      <c r="P132" s="24"/>
      <c r="R132" s="24"/>
      <c r="U132" s="24"/>
      <c r="W132" s="24"/>
      <c r="Y132" s="24"/>
      <c r="AK132" s="24"/>
      <c r="AL132" s="26"/>
      <c r="AM132" s="26"/>
      <c r="AN132" s="26"/>
      <c r="AO132" s="26"/>
      <c r="AP132" s="26"/>
      <c r="AQ132" s="29"/>
      <c r="AR132" s="29"/>
      <c r="AS132" s="29"/>
      <c r="AT132" s="29"/>
    </row>
    <row r="133" ht="15.75" customHeight="1">
      <c r="G133" s="24"/>
      <c r="I133" s="24"/>
      <c r="M133" s="24"/>
      <c r="O133" s="24"/>
      <c r="P133" s="24"/>
      <c r="R133" s="24"/>
      <c r="U133" s="24"/>
      <c r="W133" s="24"/>
      <c r="Y133" s="24"/>
      <c r="AK133" s="24"/>
      <c r="AL133" s="26"/>
      <c r="AM133" s="26"/>
      <c r="AN133" s="26"/>
      <c r="AO133" s="26"/>
      <c r="AP133" s="26"/>
      <c r="AQ133" s="29"/>
      <c r="AR133" s="29"/>
      <c r="AS133" s="29"/>
      <c r="AT133" s="29"/>
    </row>
    <row r="134" ht="15.75" customHeight="1">
      <c r="G134" s="24"/>
      <c r="I134" s="24"/>
      <c r="M134" s="24"/>
      <c r="O134" s="24"/>
      <c r="P134" s="24"/>
      <c r="R134" s="24"/>
      <c r="U134" s="24"/>
      <c r="W134" s="24"/>
      <c r="Y134" s="24"/>
      <c r="AK134" s="24"/>
      <c r="AL134" s="26"/>
      <c r="AM134" s="26"/>
      <c r="AN134" s="26"/>
      <c r="AO134" s="26"/>
      <c r="AP134" s="26"/>
      <c r="AQ134" s="29"/>
      <c r="AR134" s="29"/>
      <c r="AS134" s="29"/>
      <c r="AT134" s="29"/>
    </row>
    <row r="135" ht="15.75" customHeight="1">
      <c r="G135" s="24"/>
      <c r="I135" s="24"/>
      <c r="M135" s="24"/>
      <c r="O135" s="24"/>
      <c r="P135" s="24"/>
      <c r="R135" s="24"/>
      <c r="U135" s="24"/>
      <c r="W135" s="24"/>
      <c r="Y135" s="24"/>
      <c r="AK135" s="24"/>
      <c r="AL135" s="26"/>
      <c r="AM135" s="26"/>
      <c r="AN135" s="26"/>
      <c r="AO135" s="26"/>
      <c r="AP135" s="26"/>
      <c r="AQ135" s="29"/>
      <c r="AR135" s="29"/>
      <c r="AS135" s="29"/>
      <c r="AT135" s="29"/>
    </row>
    <row r="136" ht="15.75" customHeight="1">
      <c r="G136" s="24"/>
      <c r="I136" s="24"/>
      <c r="M136" s="24"/>
      <c r="O136" s="24"/>
      <c r="P136" s="24"/>
      <c r="R136" s="24"/>
      <c r="U136" s="24"/>
      <c r="W136" s="24"/>
      <c r="Y136" s="24"/>
      <c r="AK136" s="24"/>
      <c r="AL136" s="26"/>
      <c r="AM136" s="26"/>
      <c r="AN136" s="26"/>
      <c r="AO136" s="26"/>
      <c r="AP136" s="26"/>
      <c r="AQ136" s="29"/>
      <c r="AR136" s="29"/>
      <c r="AS136" s="29"/>
      <c r="AT136" s="29"/>
    </row>
    <row r="137" ht="15.75" customHeight="1">
      <c r="G137" s="24"/>
      <c r="I137" s="24"/>
      <c r="M137" s="24"/>
      <c r="O137" s="24"/>
      <c r="P137" s="24"/>
      <c r="R137" s="24"/>
      <c r="U137" s="24"/>
      <c r="W137" s="24"/>
      <c r="Y137" s="24"/>
      <c r="AK137" s="24"/>
      <c r="AL137" s="26"/>
      <c r="AM137" s="26"/>
      <c r="AN137" s="26"/>
      <c r="AO137" s="26"/>
      <c r="AP137" s="26"/>
      <c r="AQ137" s="29"/>
      <c r="AR137" s="29"/>
      <c r="AS137" s="29"/>
      <c r="AT137" s="29"/>
    </row>
    <row r="138" ht="15.75" customHeight="1">
      <c r="G138" s="24"/>
      <c r="I138" s="24"/>
      <c r="M138" s="24"/>
      <c r="O138" s="24"/>
      <c r="P138" s="24"/>
      <c r="R138" s="24"/>
      <c r="U138" s="24"/>
      <c r="W138" s="24"/>
      <c r="Y138" s="24"/>
      <c r="AK138" s="24"/>
      <c r="AL138" s="26"/>
      <c r="AM138" s="26"/>
      <c r="AN138" s="26"/>
      <c r="AO138" s="26"/>
      <c r="AP138" s="26"/>
      <c r="AQ138" s="29"/>
      <c r="AR138" s="29"/>
      <c r="AS138" s="29"/>
      <c r="AT138" s="29"/>
    </row>
    <row r="139" ht="15.75" customHeight="1">
      <c r="G139" s="24"/>
      <c r="I139" s="24"/>
      <c r="M139" s="24"/>
      <c r="O139" s="24"/>
      <c r="P139" s="24"/>
      <c r="R139" s="24"/>
      <c r="U139" s="24"/>
      <c r="W139" s="24"/>
      <c r="Y139" s="24"/>
      <c r="AK139" s="24"/>
      <c r="AL139" s="26"/>
      <c r="AM139" s="26"/>
      <c r="AN139" s="26"/>
      <c r="AO139" s="26"/>
      <c r="AP139" s="26"/>
      <c r="AQ139" s="29"/>
      <c r="AR139" s="29"/>
      <c r="AS139" s="29"/>
      <c r="AT139" s="29"/>
    </row>
    <row r="140" ht="15.75" customHeight="1">
      <c r="G140" s="24"/>
      <c r="I140" s="24"/>
      <c r="M140" s="24"/>
      <c r="O140" s="24"/>
      <c r="P140" s="24"/>
      <c r="R140" s="24"/>
      <c r="U140" s="24"/>
      <c r="W140" s="24"/>
      <c r="Y140" s="24"/>
      <c r="AK140" s="24"/>
      <c r="AL140" s="26"/>
      <c r="AM140" s="26"/>
      <c r="AN140" s="26"/>
      <c r="AO140" s="26"/>
      <c r="AP140" s="26"/>
      <c r="AQ140" s="29"/>
      <c r="AR140" s="29"/>
      <c r="AS140" s="29"/>
      <c r="AT140" s="29"/>
    </row>
    <row r="141" ht="15.75" customHeight="1">
      <c r="G141" s="24"/>
      <c r="I141" s="24"/>
      <c r="M141" s="24"/>
      <c r="O141" s="24"/>
      <c r="P141" s="24"/>
      <c r="R141" s="24"/>
      <c r="U141" s="24"/>
      <c r="W141" s="24"/>
      <c r="Y141" s="24"/>
      <c r="AK141" s="24"/>
      <c r="AL141" s="26"/>
      <c r="AM141" s="26"/>
      <c r="AN141" s="26"/>
      <c r="AO141" s="26"/>
      <c r="AP141" s="26"/>
      <c r="AQ141" s="29"/>
      <c r="AR141" s="29"/>
      <c r="AS141" s="29"/>
      <c r="AT141" s="29"/>
    </row>
    <row r="142" ht="15.75" customHeight="1">
      <c r="G142" s="24"/>
      <c r="I142" s="24"/>
      <c r="M142" s="24"/>
      <c r="O142" s="24"/>
      <c r="P142" s="24"/>
      <c r="R142" s="24"/>
      <c r="U142" s="24"/>
      <c r="W142" s="24"/>
      <c r="Y142" s="24"/>
      <c r="AK142" s="24"/>
      <c r="AL142" s="26"/>
      <c r="AM142" s="26"/>
      <c r="AN142" s="26"/>
      <c r="AO142" s="26"/>
      <c r="AP142" s="26"/>
      <c r="AQ142" s="29"/>
      <c r="AR142" s="29"/>
      <c r="AS142" s="29"/>
      <c r="AT142" s="29"/>
    </row>
    <row r="143" ht="15.75" customHeight="1">
      <c r="G143" s="24"/>
      <c r="I143" s="24"/>
      <c r="M143" s="24"/>
      <c r="O143" s="24"/>
      <c r="P143" s="24"/>
      <c r="R143" s="24"/>
      <c r="U143" s="24"/>
      <c r="W143" s="24"/>
      <c r="Y143" s="24"/>
      <c r="AK143" s="24"/>
      <c r="AL143" s="26"/>
      <c r="AM143" s="26"/>
      <c r="AN143" s="26"/>
      <c r="AO143" s="26"/>
      <c r="AP143" s="26"/>
      <c r="AQ143" s="29"/>
      <c r="AR143" s="29"/>
      <c r="AS143" s="29"/>
      <c r="AT143" s="29"/>
    </row>
    <row r="144" ht="15.75" customHeight="1">
      <c r="G144" s="24"/>
      <c r="I144" s="24"/>
      <c r="M144" s="24"/>
      <c r="O144" s="24"/>
      <c r="P144" s="24"/>
      <c r="R144" s="24"/>
      <c r="U144" s="24"/>
      <c r="W144" s="24"/>
      <c r="Y144" s="24"/>
      <c r="AK144" s="24"/>
      <c r="AL144" s="26"/>
      <c r="AM144" s="26"/>
      <c r="AN144" s="26"/>
      <c r="AO144" s="26"/>
      <c r="AP144" s="26"/>
      <c r="AQ144" s="29"/>
      <c r="AR144" s="29"/>
      <c r="AS144" s="29"/>
      <c r="AT144" s="29"/>
    </row>
    <row r="145" ht="15.75" customHeight="1">
      <c r="G145" s="24"/>
      <c r="I145" s="24"/>
      <c r="M145" s="24"/>
      <c r="O145" s="24"/>
      <c r="P145" s="24"/>
      <c r="R145" s="24"/>
      <c r="U145" s="24"/>
      <c r="W145" s="24"/>
      <c r="Y145" s="24"/>
      <c r="AK145" s="24"/>
      <c r="AL145" s="26"/>
      <c r="AM145" s="26"/>
      <c r="AN145" s="26"/>
      <c r="AO145" s="26"/>
      <c r="AP145" s="26"/>
      <c r="AQ145" s="29"/>
      <c r="AR145" s="29"/>
      <c r="AS145" s="29"/>
      <c r="AT145" s="29"/>
    </row>
    <row r="146" ht="15.75" customHeight="1">
      <c r="G146" s="24"/>
      <c r="I146" s="24"/>
      <c r="M146" s="24"/>
      <c r="O146" s="24"/>
      <c r="P146" s="24"/>
      <c r="R146" s="24"/>
      <c r="U146" s="24"/>
      <c r="W146" s="24"/>
      <c r="Y146" s="24"/>
      <c r="AK146" s="24"/>
      <c r="AL146" s="26"/>
      <c r="AM146" s="26"/>
      <c r="AN146" s="26"/>
      <c r="AO146" s="26"/>
      <c r="AP146" s="26"/>
      <c r="AQ146" s="29"/>
      <c r="AR146" s="29"/>
      <c r="AS146" s="29"/>
      <c r="AT146" s="29"/>
    </row>
    <row r="147" ht="15.75" customHeight="1">
      <c r="G147" s="24"/>
      <c r="I147" s="24"/>
      <c r="M147" s="24"/>
      <c r="O147" s="24"/>
      <c r="P147" s="24"/>
      <c r="R147" s="24"/>
      <c r="U147" s="24"/>
      <c r="W147" s="24"/>
      <c r="Y147" s="24"/>
      <c r="AK147" s="24"/>
      <c r="AL147" s="26"/>
      <c r="AM147" s="26"/>
      <c r="AN147" s="26"/>
      <c r="AO147" s="26"/>
      <c r="AP147" s="26"/>
      <c r="AQ147" s="29"/>
      <c r="AR147" s="29"/>
      <c r="AS147" s="29"/>
      <c r="AT147" s="29"/>
    </row>
    <row r="148" ht="15.75" customHeight="1">
      <c r="G148" s="24"/>
      <c r="I148" s="24"/>
      <c r="M148" s="24"/>
      <c r="O148" s="24"/>
      <c r="P148" s="24"/>
      <c r="R148" s="24"/>
      <c r="U148" s="24"/>
      <c r="W148" s="24"/>
      <c r="Y148" s="24"/>
      <c r="AK148" s="24"/>
      <c r="AL148" s="26"/>
      <c r="AM148" s="26"/>
      <c r="AN148" s="26"/>
      <c r="AO148" s="26"/>
      <c r="AP148" s="26"/>
      <c r="AQ148" s="29"/>
      <c r="AR148" s="29"/>
      <c r="AS148" s="29"/>
      <c r="AT148" s="29"/>
    </row>
    <row r="149" ht="15.75" customHeight="1">
      <c r="G149" s="24"/>
      <c r="I149" s="24"/>
      <c r="M149" s="24"/>
      <c r="O149" s="24"/>
      <c r="P149" s="24"/>
      <c r="R149" s="24"/>
      <c r="U149" s="24"/>
      <c r="W149" s="24"/>
      <c r="Y149" s="24"/>
      <c r="AK149" s="24"/>
      <c r="AL149" s="26"/>
      <c r="AM149" s="26"/>
      <c r="AN149" s="26"/>
      <c r="AO149" s="26"/>
      <c r="AP149" s="26"/>
      <c r="AQ149" s="29"/>
      <c r="AR149" s="29"/>
      <c r="AS149" s="29"/>
      <c r="AT149" s="29"/>
    </row>
    <row r="150" ht="15.75" customHeight="1">
      <c r="G150" s="24"/>
      <c r="I150" s="24"/>
      <c r="M150" s="24"/>
      <c r="O150" s="24"/>
      <c r="P150" s="24"/>
      <c r="R150" s="24"/>
      <c r="U150" s="24"/>
      <c r="W150" s="24"/>
      <c r="Y150" s="24"/>
      <c r="AK150" s="24"/>
      <c r="AL150" s="26"/>
      <c r="AM150" s="26"/>
      <c r="AN150" s="26"/>
      <c r="AO150" s="26"/>
      <c r="AP150" s="26"/>
      <c r="AQ150" s="29"/>
      <c r="AR150" s="29"/>
      <c r="AS150" s="29"/>
      <c r="AT150" s="29"/>
    </row>
    <row r="151" ht="15.75" customHeight="1">
      <c r="G151" s="24"/>
      <c r="I151" s="24"/>
      <c r="M151" s="24"/>
      <c r="O151" s="24"/>
      <c r="P151" s="24"/>
      <c r="R151" s="24"/>
      <c r="U151" s="24"/>
      <c r="W151" s="24"/>
      <c r="Y151" s="24"/>
      <c r="AK151" s="24"/>
      <c r="AL151" s="26"/>
      <c r="AM151" s="26"/>
      <c r="AN151" s="26"/>
      <c r="AO151" s="26"/>
      <c r="AP151" s="26"/>
      <c r="AQ151" s="29"/>
      <c r="AR151" s="29"/>
      <c r="AS151" s="29"/>
      <c r="AT151" s="29"/>
    </row>
    <row r="152" ht="15.75" customHeight="1">
      <c r="G152" s="24"/>
      <c r="I152" s="24"/>
      <c r="M152" s="24"/>
      <c r="O152" s="24"/>
      <c r="P152" s="24"/>
      <c r="R152" s="24"/>
      <c r="U152" s="24"/>
      <c r="W152" s="24"/>
      <c r="Y152" s="24"/>
      <c r="AK152" s="24"/>
      <c r="AL152" s="26"/>
      <c r="AM152" s="26"/>
      <c r="AN152" s="26"/>
      <c r="AO152" s="26"/>
      <c r="AP152" s="26"/>
      <c r="AQ152" s="29"/>
      <c r="AR152" s="29"/>
      <c r="AS152" s="29"/>
      <c r="AT152" s="29"/>
    </row>
    <row r="153" ht="15.75" customHeight="1">
      <c r="G153" s="24"/>
      <c r="I153" s="24"/>
      <c r="M153" s="24"/>
      <c r="O153" s="24"/>
      <c r="P153" s="24"/>
      <c r="R153" s="24"/>
      <c r="U153" s="24"/>
      <c r="W153" s="24"/>
      <c r="Y153" s="24"/>
      <c r="AK153" s="24"/>
      <c r="AL153" s="26"/>
      <c r="AM153" s="26"/>
      <c r="AN153" s="26"/>
      <c r="AO153" s="26"/>
      <c r="AP153" s="26"/>
      <c r="AQ153" s="29"/>
      <c r="AR153" s="29"/>
      <c r="AS153" s="29"/>
      <c r="AT153" s="29"/>
    </row>
    <row r="154" ht="15.75" customHeight="1">
      <c r="G154" s="24"/>
      <c r="I154" s="24"/>
      <c r="M154" s="24"/>
      <c r="O154" s="24"/>
      <c r="P154" s="24"/>
      <c r="R154" s="24"/>
      <c r="U154" s="24"/>
      <c r="W154" s="24"/>
      <c r="Y154" s="24"/>
      <c r="AK154" s="24"/>
      <c r="AL154" s="26"/>
      <c r="AM154" s="26"/>
      <c r="AN154" s="26"/>
      <c r="AO154" s="26"/>
      <c r="AP154" s="26"/>
      <c r="AQ154" s="29"/>
      <c r="AR154" s="29"/>
      <c r="AS154" s="29"/>
      <c r="AT154" s="29"/>
    </row>
    <row r="155" ht="15.75" customHeight="1">
      <c r="G155" s="24"/>
      <c r="I155" s="24"/>
      <c r="M155" s="24"/>
      <c r="O155" s="24"/>
      <c r="P155" s="24"/>
      <c r="R155" s="24"/>
      <c r="U155" s="24"/>
      <c r="W155" s="24"/>
      <c r="Y155" s="24"/>
      <c r="AK155" s="24"/>
      <c r="AL155" s="26"/>
      <c r="AM155" s="26"/>
      <c r="AN155" s="26"/>
      <c r="AO155" s="26"/>
      <c r="AP155" s="26"/>
      <c r="AQ155" s="29"/>
      <c r="AR155" s="29"/>
      <c r="AS155" s="29"/>
      <c r="AT155" s="29"/>
    </row>
    <row r="156" ht="15.75" customHeight="1">
      <c r="G156" s="24"/>
      <c r="I156" s="24"/>
      <c r="M156" s="24"/>
      <c r="O156" s="24"/>
      <c r="P156" s="24"/>
      <c r="R156" s="24"/>
      <c r="U156" s="24"/>
      <c r="W156" s="24"/>
      <c r="Y156" s="24"/>
      <c r="AK156" s="24"/>
      <c r="AL156" s="26"/>
      <c r="AM156" s="26"/>
      <c r="AN156" s="26"/>
      <c r="AO156" s="26"/>
      <c r="AP156" s="26"/>
      <c r="AQ156" s="29"/>
      <c r="AR156" s="29"/>
      <c r="AS156" s="29"/>
      <c r="AT156" s="29"/>
    </row>
    <row r="157" ht="15.75" customHeight="1">
      <c r="G157" s="24"/>
      <c r="I157" s="24"/>
      <c r="M157" s="24"/>
      <c r="O157" s="24"/>
      <c r="P157" s="24"/>
      <c r="R157" s="24"/>
      <c r="U157" s="24"/>
      <c r="W157" s="24"/>
      <c r="Y157" s="24"/>
      <c r="AK157" s="24"/>
      <c r="AL157" s="26"/>
      <c r="AM157" s="26"/>
      <c r="AN157" s="26"/>
      <c r="AO157" s="26"/>
      <c r="AP157" s="26"/>
      <c r="AQ157" s="29"/>
      <c r="AR157" s="29"/>
      <c r="AS157" s="29"/>
      <c r="AT157" s="29"/>
    </row>
    <row r="158" ht="15.75" customHeight="1">
      <c r="G158" s="24"/>
      <c r="I158" s="24"/>
      <c r="M158" s="24"/>
      <c r="O158" s="24"/>
      <c r="P158" s="24"/>
      <c r="R158" s="24"/>
      <c r="U158" s="24"/>
      <c r="W158" s="24"/>
      <c r="Y158" s="24"/>
      <c r="AK158" s="24"/>
      <c r="AL158" s="26"/>
      <c r="AM158" s="26"/>
      <c r="AN158" s="26"/>
      <c r="AO158" s="26"/>
      <c r="AP158" s="26"/>
      <c r="AQ158" s="29"/>
      <c r="AR158" s="29"/>
      <c r="AS158" s="29"/>
      <c r="AT158" s="29"/>
    </row>
    <row r="159" ht="15.75" customHeight="1">
      <c r="G159" s="24"/>
      <c r="I159" s="24"/>
      <c r="M159" s="24"/>
      <c r="O159" s="24"/>
      <c r="P159" s="24"/>
      <c r="R159" s="24"/>
      <c r="U159" s="24"/>
      <c r="W159" s="24"/>
      <c r="Y159" s="24"/>
      <c r="AK159" s="24"/>
      <c r="AL159" s="26"/>
      <c r="AM159" s="26"/>
      <c r="AN159" s="26"/>
      <c r="AO159" s="26"/>
      <c r="AP159" s="26"/>
      <c r="AQ159" s="29"/>
      <c r="AR159" s="29"/>
      <c r="AS159" s="29"/>
      <c r="AT159" s="29"/>
    </row>
    <row r="160" ht="15.75" customHeight="1">
      <c r="G160" s="24"/>
      <c r="I160" s="24"/>
      <c r="M160" s="24"/>
      <c r="O160" s="24"/>
      <c r="P160" s="24"/>
      <c r="R160" s="24"/>
      <c r="U160" s="24"/>
      <c r="W160" s="24"/>
      <c r="Y160" s="24"/>
      <c r="AK160" s="24"/>
      <c r="AL160" s="26"/>
      <c r="AM160" s="26"/>
      <c r="AN160" s="26"/>
      <c r="AO160" s="26"/>
      <c r="AP160" s="26"/>
      <c r="AQ160" s="29"/>
      <c r="AR160" s="29"/>
      <c r="AS160" s="29"/>
      <c r="AT160" s="29"/>
    </row>
    <row r="161" ht="15.75" customHeight="1">
      <c r="G161" s="24"/>
      <c r="I161" s="24"/>
      <c r="M161" s="24"/>
      <c r="O161" s="24"/>
      <c r="P161" s="24"/>
      <c r="R161" s="24"/>
      <c r="U161" s="24"/>
      <c r="W161" s="24"/>
      <c r="Y161" s="24"/>
      <c r="AK161" s="24"/>
      <c r="AL161" s="26"/>
      <c r="AM161" s="26"/>
      <c r="AN161" s="26"/>
      <c r="AO161" s="26"/>
      <c r="AP161" s="26"/>
      <c r="AQ161" s="29"/>
      <c r="AR161" s="29"/>
      <c r="AS161" s="29"/>
      <c r="AT161" s="29"/>
    </row>
    <row r="162" ht="15.75" customHeight="1">
      <c r="G162" s="24"/>
      <c r="I162" s="24"/>
      <c r="M162" s="24"/>
      <c r="O162" s="24"/>
      <c r="P162" s="24"/>
      <c r="R162" s="24"/>
      <c r="U162" s="24"/>
      <c r="W162" s="24"/>
      <c r="Y162" s="24"/>
      <c r="AK162" s="24"/>
      <c r="AL162" s="26"/>
      <c r="AM162" s="26"/>
      <c r="AN162" s="26"/>
      <c r="AO162" s="26"/>
      <c r="AP162" s="26"/>
      <c r="AQ162" s="29"/>
      <c r="AR162" s="29"/>
      <c r="AS162" s="29"/>
      <c r="AT162" s="29"/>
    </row>
    <row r="163" ht="15.75" customHeight="1">
      <c r="G163" s="24"/>
      <c r="I163" s="24"/>
      <c r="M163" s="24"/>
      <c r="O163" s="24"/>
      <c r="P163" s="24"/>
      <c r="R163" s="24"/>
      <c r="U163" s="24"/>
      <c r="W163" s="24"/>
      <c r="Y163" s="24"/>
      <c r="AK163" s="24"/>
      <c r="AL163" s="26"/>
      <c r="AM163" s="26"/>
      <c r="AN163" s="26"/>
      <c r="AO163" s="26"/>
      <c r="AP163" s="26"/>
      <c r="AQ163" s="29"/>
      <c r="AR163" s="29"/>
      <c r="AS163" s="29"/>
      <c r="AT163" s="29"/>
    </row>
    <row r="164" ht="15.75" customHeight="1">
      <c r="G164" s="24"/>
      <c r="I164" s="24"/>
      <c r="M164" s="24"/>
      <c r="O164" s="24"/>
      <c r="P164" s="24"/>
      <c r="R164" s="24"/>
      <c r="U164" s="24"/>
      <c r="W164" s="24"/>
      <c r="Y164" s="24"/>
      <c r="AK164" s="24"/>
      <c r="AL164" s="26"/>
      <c r="AM164" s="26"/>
      <c r="AN164" s="26"/>
      <c r="AO164" s="26"/>
      <c r="AP164" s="26"/>
      <c r="AQ164" s="29"/>
      <c r="AR164" s="29"/>
      <c r="AS164" s="29"/>
      <c r="AT164" s="29"/>
    </row>
    <row r="165" ht="15.75" customHeight="1">
      <c r="G165" s="24"/>
      <c r="I165" s="24"/>
      <c r="M165" s="24"/>
      <c r="O165" s="24"/>
      <c r="P165" s="24"/>
      <c r="R165" s="24"/>
      <c r="U165" s="24"/>
      <c r="W165" s="24"/>
      <c r="Y165" s="24"/>
      <c r="AK165" s="24"/>
      <c r="AL165" s="26"/>
      <c r="AM165" s="26"/>
      <c r="AN165" s="26"/>
      <c r="AO165" s="26"/>
      <c r="AP165" s="26"/>
      <c r="AQ165" s="29"/>
      <c r="AR165" s="29"/>
      <c r="AS165" s="29"/>
      <c r="AT165" s="29"/>
    </row>
    <row r="166" ht="15.75" customHeight="1">
      <c r="G166" s="24"/>
      <c r="I166" s="24"/>
      <c r="M166" s="24"/>
      <c r="O166" s="24"/>
      <c r="P166" s="24"/>
      <c r="R166" s="24"/>
      <c r="U166" s="24"/>
      <c r="W166" s="24"/>
      <c r="Y166" s="24"/>
      <c r="AK166" s="24"/>
      <c r="AL166" s="26"/>
      <c r="AM166" s="26"/>
      <c r="AN166" s="26"/>
      <c r="AO166" s="26"/>
      <c r="AP166" s="26"/>
      <c r="AQ166" s="29"/>
      <c r="AR166" s="29"/>
      <c r="AS166" s="29"/>
      <c r="AT166" s="29"/>
    </row>
    <row r="167" ht="15.75" customHeight="1">
      <c r="G167" s="24"/>
      <c r="I167" s="24"/>
      <c r="M167" s="24"/>
      <c r="O167" s="24"/>
      <c r="P167" s="24"/>
      <c r="R167" s="24"/>
      <c r="U167" s="24"/>
      <c r="W167" s="24"/>
      <c r="Y167" s="24"/>
      <c r="AK167" s="24"/>
      <c r="AL167" s="26"/>
      <c r="AM167" s="26"/>
      <c r="AN167" s="26"/>
      <c r="AO167" s="26"/>
      <c r="AP167" s="26"/>
      <c r="AQ167" s="29"/>
      <c r="AR167" s="29"/>
      <c r="AS167" s="29"/>
      <c r="AT167" s="29"/>
    </row>
    <row r="168" ht="15.75" customHeight="1">
      <c r="G168" s="24"/>
      <c r="I168" s="24"/>
      <c r="M168" s="24"/>
      <c r="O168" s="24"/>
      <c r="P168" s="24"/>
      <c r="R168" s="24"/>
      <c r="U168" s="24"/>
      <c r="W168" s="24"/>
      <c r="Y168" s="24"/>
      <c r="AK168" s="24"/>
      <c r="AL168" s="26"/>
      <c r="AM168" s="26"/>
      <c r="AN168" s="26"/>
      <c r="AO168" s="26"/>
      <c r="AP168" s="26"/>
      <c r="AQ168" s="29"/>
      <c r="AR168" s="29"/>
      <c r="AS168" s="29"/>
      <c r="AT168" s="29"/>
    </row>
    <row r="169" ht="15.75" customHeight="1">
      <c r="G169" s="24"/>
      <c r="I169" s="24"/>
      <c r="M169" s="24"/>
      <c r="O169" s="24"/>
      <c r="P169" s="24"/>
      <c r="R169" s="24"/>
      <c r="U169" s="24"/>
      <c r="W169" s="24"/>
      <c r="Y169" s="24"/>
      <c r="AK169" s="24"/>
      <c r="AL169" s="26"/>
      <c r="AM169" s="26"/>
      <c r="AN169" s="26"/>
      <c r="AO169" s="26"/>
      <c r="AP169" s="26"/>
      <c r="AQ169" s="29"/>
      <c r="AR169" s="29"/>
      <c r="AS169" s="29"/>
      <c r="AT169" s="29"/>
    </row>
    <row r="170" ht="15.75" customHeight="1">
      <c r="G170" s="24"/>
      <c r="I170" s="24"/>
      <c r="M170" s="24"/>
      <c r="O170" s="24"/>
      <c r="P170" s="24"/>
      <c r="R170" s="24"/>
      <c r="U170" s="24"/>
      <c r="W170" s="24"/>
      <c r="Y170" s="24"/>
      <c r="AK170" s="24"/>
      <c r="AL170" s="26"/>
      <c r="AM170" s="26"/>
      <c r="AN170" s="26"/>
      <c r="AO170" s="26"/>
      <c r="AP170" s="26"/>
      <c r="AQ170" s="29"/>
      <c r="AR170" s="29"/>
      <c r="AS170" s="29"/>
      <c r="AT170" s="29"/>
    </row>
    <row r="171" ht="15.75" customHeight="1">
      <c r="G171" s="24"/>
      <c r="I171" s="24"/>
      <c r="M171" s="24"/>
      <c r="O171" s="24"/>
      <c r="P171" s="24"/>
      <c r="R171" s="24"/>
      <c r="U171" s="24"/>
      <c r="W171" s="24"/>
      <c r="Y171" s="24"/>
      <c r="AK171" s="24"/>
      <c r="AL171" s="26"/>
      <c r="AM171" s="26"/>
      <c r="AN171" s="26"/>
      <c r="AO171" s="26"/>
      <c r="AP171" s="26"/>
      <c r="AQ171" s="29"/>
      <c r="AR171" s="29"/>
      <c r="AS171" s="29"/>
      <c r="AT171" s="29"/>
    </row>
    <row r="172" ht="15.75" customHeight="1">
      <c r="G172" s="24"/>
      <c r="I172" s="24"/>
      <c r="M172" s="24"/>
      <c r="O172" s="24"/>
      <c r="P172" s="24"/>
      <c r="R172" s="24"/>
      <c r="U172" s="24"/>
      <c r="W172" s="24"/>
      <c r="Y172" s="24"/>
      <c r="AK172" s="24"/>
      <c r="AL172" s="26"/>
      <c r="AM172" s="26"/>
      <c r="AN172" s="26"/>
      <c r="AO172" s="26"/>
      <c r="AP172" s="26"/>
      <c r="AQ172" s="29"/>
      <c r="AR172" s="29"/>
      <c r="AS172" s="29"/>
      <c r="AT172" s="29"/>
    </row>
    <row r="173" ht="15.75" customHeight="1">
      <c r="G173" s="24"/>
      <c r="I173" s="24"/>
      <c r="M173" s="24"/>
      <c r="O173" s="24"/>
      <c r="P173" s="24"/>
      <c r="R173" s="24"/>
      <c r="U173" s="24"/>
      <c r="W173" s="24"/>
      <c r="Y173" s="24"/>
      <c r="AK173" s="24"/>
      <c r="AL173" s="26"/>
      <c r="AM173" s="26"/>
      <c r="AN173" s="26"/>
      <c r="AO173" s="26"/>
      <c r="AP173" s="26"/>
      <c r="AQ173" s="29"/>
      <c r="AR173" s="29"/>
      <c r="AS173" s="29"/>
      <c r="AT173" s="29"/>
    </row>
    <row r="174" ht="15.75" customHeight="1">
      <c r="G174" s="24"/>
      <c r="I174" s="24"/>
      <c r="M174" s="24"/>
      <c r="O174" s="24"/>
      <c r="P174" s="24"/>
      <c r="R174" s="24"/>
      <c r="U174" s="24"/>
      <c r="W174" s="24"/>
      <c r="Y174" s="24"/>
      <c r="AK174" s="24"/>
      <c r="AL174" s="26"/>
      <c r="AM174" s="26"/>
      <c r="AN174" s="26"/>
      <c r="AO174" s="26"/>
      <c r="AP174" s="26"/>
      <c r="AQ174" s="29"/>
      <c r="AR174" s="29"/>
      <c r="AS174" s="29"/>
      <c r="AT174" s="29"/>
    </row>
    <row r="175" ht="15.75" customHeight="1">
      <c r="G175" s="24"/>
      <c r="I175" s="24"/>
      <c r="M175" s="24"/>
      <c r="O175" s="24"/>
      <c r="P175" s="24"/>
      <c r="R175" s="24"/>
      <c r="U175" s="24"/>
      <c r="W175" s="24"/>
      <c r="Y175" s="24"/>
      <c r="AK175" s="24"/>
      <c r="AL175" s="26"/>
      <c r="AM175" s="26"/>
      <c r="AN175" s="26"/>
      <c r="AO175" s="26"/>
      <c r="AP175" s="26"/>
      <c r="AQ175" s="29"/>
      <c r="AR175" s="29"/>
      <c r="AS175" s="29"/>
      <c r="AT175" s="29"/>
    </row>
    <row r="176" ht="15.75" customHeight="1">
      <c r="G176" s="24"/>
      <c r="I176" s="24"/>
      <c r="M176" s="24"/>
      <c r="O176" s="24"/>
      <c r="P176" s="24"/>
      <c r="R176" s="24"/>
      <c r="U176" s="24"/>
      <c r="W176" s="24"/>
      <c r="Y176" s="24"/>
      <c r="AK176" s="24"/>
      <c r="AL176" s="26"/>
      <c r="AM176" s="26"/>
      <c r="AN176" s="26"/>
      <c r="AO176" s="26"/>
      <c r="AP176" s="26"/>
      <c r="AQ176" s="29"/>
      <c r="AR176" s="29"/>
      <c r="AS176" s="29"/>
      <c r="AT176" s="29"/>
    </row>
    <row r="177" ht="15.75" customHeight="1">
      <c r="G177" s="24"/>
      <c r="I177" s="24"/>
      <c r="M177" s="24"/>
      <c r="O177" s="24"/>
      <c r="P177" s="24"/>
      <c r="R177" s="24"/>
      <c r="U177" s="24"/>
      <c r="W177" s="24"/>
      <c r="Y177" s="24"/>
      <c r="AK177" s="24"/>
      <c r="AL177" s="26"/>
      <c r="AM177" s="26"/>
      <c r="AN177" s="26"/>
      <c r="AO177" s="26"/>
      <c r="AP177" s="26"/>
      <c r="AQ177" s="29"/>
      <c r="AR177" s="29"/>
      <c r="AS177" s="29"/>
      <c r="AT177" s="29"/>
    </row>
    <row r="178" ht="15.75" customHeight="1">
      <c r="G178" s="24"/>
      <c r="I178" s="24"/>
      <c r="M178" s="24"/>
      <c r="O178" s="24"/>
      <c r="P178" s="24"/>
      <c r="R178" s="24"/>
      <c r="U178" s="24"/>
      <c r="W178" s="24"/>
      <c r="Y178" s="24"/>
      <c r="AK178" s="24"/>
      <c r="AL178" s="26"/>
      <c r="AM178" s="26"/>
      <c r="AN178" s="26"/>
      <c r="AO178" s="26"/>
      <c r="AP178" s="26"/>
      <c r="AQ178" s="29"/>
      <c r="AR178" s="29"/>
      <c r="AS178" s="29"/>
      <c r="AT178" s="29"/>
    </row>
    <row r="179" ht="15.75" customHeight="1">
      <c r="G179" s="24"/>
      <c r="I179" s="24"/>
      <c r="M179" s="24"/>
      <c r="O179" s="24"/>
      <c r="P179" s="24"/>
      <c r="R179" s="24"/>
      <c r="U179" s="24"/>
      <c r="W179" s="24"/>
      <c r="Y179" s="24"/>
      <c r="AK179" s="24"/>
      <c r="AL179" s="26"/>
      <c r="AM179" s="26"/>
      <c r="AN179" s="26"/>
      <c r="AO179" s="26"/>
      <c r="AP179" s="26"/>
      <c r="AQ179" s="29"/>
      <c r="AR179" s="29"/>
      <c r="AS179" s="29"/>
      <c r="AT179" s="29"/>
    </row>
    <row r="180" ht="15.75" customHeight="1">
      <c r="G180" s="24"/>
      <c r="I180" s="24"/>
      <c r="M180" s="24"/>
      <c r="O180" s="24"/>
      <c r="P180" s="24"/>
      <c r="R180" s="24"/>
      <c r="U180" s="24"/>
      <c r="W180" s="24"/>
      <c r="Y180" s="24"/>
      <c r="AK180" s="24"/>
      <c r="AL180" s="26"/>
      <c r="AM180" s="26"/>
      <c r="AN180" s="26"/>
      <c r="AO180" s="26"/>
      <c r="AP180" s="26"/>
      <c r="AQ180" s="29"/>
      <c r="AR180" s="29"/>
      <c r="AS180" s="29"/>
      <c r="AT180" s="29"/>
    </row>
    <row r="181" ht="15.75" customHeight="1">
      <c r="G181" s="24"/>
      <c r="I181" s="24"/>
      <c r="M181" s="24"/>
      <c r="O181" s="24"/>
      <c r="P181" s="24"/>
      <c r="R181" s="24"/>
      <c r="U181" s="24"/>
      <c r="W181" s="24"/>
      <c r="Y181" s="24"/>
      <c r="AK181" s="24"/>
      <c r="AL181" s="26"/>
      <c r="AM181" s="26"/>
      <c r="AN181" s="26"/>
      <c r="AO181" s="26"/>
      <c r="AP181" s="26"/>
      <c r="AQ181" s="29"/>
      <c r="AR181" s="29"/>
      <c r="AS181" s="29"/>
      <c r="AT181" s="29"/>
    </row>
    <row r="182" ht="15.75" customHeight="1">
      <c r="G182" s="24"/>
      <c r="I182" s="24"/>
      <c r="M182" s="24"/>
      <c r="O182" s="24"/>
      <c r="P182" s="24"/>
      <c r="R182" s="24"/>
      <c r="U182" s="24"/>
      <c r="W182" s="24"/>
      <c r="Y182" s="24"/>
      <c r="AK182" s="24"/>
      <c r="AL182" s="26"/>
      <c r="AM182" s="26"/>
      <c r="AN182" s="26"/>
      <c r="AO182" s="26"/>
      <c r="AP182" s="26"/>
      <c r="AQ182" s="29"/>
      <c r="AR182" s="29"/>
      <c r="AS182" s="29"/>
      <c r="AT182" s="29"/>
    </row>
    <row r="183" ht="15.75" customHeight="1">
      <c r="G183" s="24"/>
      <c r="I183" s="24"/>
      <c r="M183" s="24"/>
      <c r="O183" s="24"/>
      <c r="P183" s="24"/>
      <c r="R183" s="24"/>
      <c r="U183" s="24"/>
      <c r="W183" s="24"/>
      <c r="Y183" s="24"/>
      <c r="AK183" s="24"/>
      <c r="AL183" s="26"/>
      <c r="AM183" s="26"/>
      <c r="AN183" s="26"/>
      <c r="AO183" s="26"/>
      <c r="AP183" s="26"/>
      <c r="AQ183" s="29"/>
      <c r="AR183" s="29"/>
      <c r="AS183" s="29"/>
      <c r="AT183" s="29"/>
    </row>
    <row r="184" ht="15.75" customHeight="1">
      <c r="G184" s="24"/>
      <c r="I184" s="24"/>
      <c r="M184" s="24"/>
      <c r="O184" s="24"/>
      <c r="P184" s="24"/>
      <c r="R184" s="24"/>
      <c r="U184" s="24"/>
      <c r="W184" s="24"/>
      <c r="Y184" s="24"/>
      <c r="AK184" s="24"/>
      <c r="AL184" s="26"/>
      <c r="AM184" s="26"/>
      <c r="AN184" s="26"/>
      <c r="AO184" s="26"/>
      <c r="AP184" s="26"/>
      <c r="AQ184" s="29"/>
      <c r="AR184" s="29"/>
      <c r="AS184" s="29"/>
      <c r="AT184" s="29"/>
    </row>
    <row r="185" ht="15.75" customHeight="1">
      <c r="G185" s="24"/>
      <c r="I185" s="24"/>
      <c r="M185" s="24"/>
      <c r="O185" s="24"/>
      <c r="P185" s="24"/>
      <c r="R185" s="24"/>
      <c r="U185" s="24"/>
      <c r="W185" s="24"/>
      <c r="Y185" s="24"/>
      <c r="AK185" s="24"/>
      <c r="AL185" s="26"/>
      <c r="AM185" s="26"/>
      <c r="AN185" s="26"/>
      <c r="AO185" s="26"/>
      <c r="AP185" s="26"/>
      <c r="AQ185" s="29"/>
      <c r="AR185" s="29"/>
      <c r="AS185" s="29"/>
      <c r="AT185" s="29"/>
    </row>
    <row r="186" ht="15.75" customHeight="1">
      <c r="G186" s="24"/>
      <c r="I186" s="24"/>
      <c r="M186" s="24"/>
      <c r="O186" s="24"/>
      <c r="P186" s="24"/>
      <c r="R186" s="24"/>
      <c r="U186" s="24"/>
      <c r="W186" s="24"/>
      <c r="Y186" s="24"/>
      <c r="AK186" s="24"/>
      <c r="AL186" s="26"/>
      <c r="AM186" s="26"/>
      <c r="AN186" s="26"/>
      <c r="AO186" s="26"/>
      <c r="AP186" s="26"/>
      <c r="AQ186" s="29"/>
      <c r="AR186" s="29"/>
      <c r="AS186" s="29"/>
      <c r="AT186" s="29"/>
    </row>
    <row r="187" ht="15.75" customHeight="1">
      <c r="G187" s="24"/>
      <c r="I187" s="24"/>
      <c r="M187" s="24"/>
      <c r="O187" s="24"/>
      <c r="P187" s="24"/>
      <c r="R187" s="24"/>
      <c r="U187" s="24"/>
      <c r="W187" s="24"/>
      <c r="Y187" s="24"/>
      <c r="AK187" s="24"/>
      <c r="AL187" s="26"/>
      <c r="AM187" s="26"/>
      <c r="AN187" s="26"/>
      <c r="AO187" s="26"/>
      <c r="AP187" s="26"/>
      <c r="AQ187" s="29"/>
      <c r="AR187" s="29"/>
      <c r="AS187" s="29"/>
      <c r="AT187" s="29"/>
    </row>
    <row r="188" ht="15.75" customHeight="1">
      <c r="G188" s="24"/>
      <c r="I188" s="24"/>
      <c r="M188" s="24"/>
      <c r="O188" s="24"/>
      <c r="P188" s="24"/>
      <c r="R188" s="24"/>
      <c r="U188" s="24"/>
      <c r="W188" s="24"/>
      <c r="Y188" s="24"/>
      <c r="AK188" s="24"/>
      <c r="AL188" s="26"/>
      <c r="AM188" s="26"/>
      <c r="AN188" s="26"/>
      <c r="AO188" s="26"/>
      <c r="AP188" s="26"/>
      <c r="AQ188" s="29"/>
      <c r="AR188" s="29"/>
      <c r="AS188" s="29"/>
      <c r="AT188" s="29"/>
    </row>
    <row r="189" ht="15.75" customHeight="1">
      <c r="G189" s="24"/>
      <c r="I189" s="24"/>
      <c r="M189" s="24"/>
      <c r="O189" s="24"/>
      <c r="P189" s="24"/>
      <c r="R189" s="24"/>
      <c r="U189" s="24"/>
      <c r="W189" s="24"/>
      <c r="Y189" s="24"/>
      <c r="AK189" s="24"/>
      <c r="AL189" s="26"/>
      <c r="AM189" s="26"/>
      <c r="AN189" s="26"/>
      <c r="AO189" s="26"/>
      <c r="AP189" s="26"/>
      <c r="AQ189" s="29"/>
      <c r="AR189" s="29"/>
      <c r="AS189" s="29"/>
      <c r="AT189" s="29"/>
    </row>
    <row r="190" ht="15.75" customHeight="1">
      <c r="G190" s="24"/>
      <c r="I190" s="24"/>
      <c r="M190" s="24"/>
      <c r="O190" s="24"/>
      <c r="P190" s="24"/>
      <c r="R190" s="24"/>
      <c r="U190" s="24"/>
      <c r="W190" s="24"/>
      <c r="Y190" s="24"/>
      <c r="AK190" s="24"/>
      <c r="AL190" s="26"/>
      <c r="AM190" s="26"/>
      <c r="AN190" s="26"/>
      <c r="AO190" s="26"/>
      <c r="AP190" s="26"/>
      <c r="AQ190" s="29"/>
      <c r="AR190" s="29"/>
      <c r="AS190" s="29"/>
      <c r="AT190" s="29"/>
    </row>
    <row r="191" ht="15.75" customHeight="1">
      <c r="G191" s="24"/>
      <c r="I191" s="24"/>
      <c r="M191" s="24"/>
      <c r="O191" s="24"/>
      <c r="P191" s="24"/>
      <c r="R191" s="24"/>
      <c r="U191" s="24"/>
      <c r="W191" s="24"/>
      <c r="Y191" s="24"/>
      <c r="AK191" s="24"/>
      <c r="AL191" s="26"/>
      <c r="AM191" s="26"/>
      <c r="AN191" s="26"/>
      <c r="AO191" s="26"/>
      <c r="AP191" s="26"/>
      <c r="AQ191" s="29"/>
      <c r="AR191" s="29"/>
      <c r="AS191" s="29"/>
      <c r="AT191" s="29"/>
    </row>
    <row r="192" ht="15.75" customHeight="1">
      <c r="G192" s="24"/>
      <c r="I192" s="24"/>
      <c r="M192" s="24"/>
      <c r="O192" s="24"/>
      <c r="P192" s="24"/>
      <c r="R192" s="24"/>
      <c r="U192" s="24"/>
      <c r="W192" s="24"/>
      <c r="Y192" s="24"/>
      <c r="AK192" s="24"/>
      <c r="AL192" s="26"/>
      <c r="AM192" s="26"/>
      <c r="AN192" s="26"/>
      <c r="AO192" s="26"/>
      <c r="AP192" s="26"/>
      <c r="AQ192" s="29"/>
      <c r="AR192" s="29"/>
      <c r="AS192" s="29"/>
      <c r="AT192" s="29"/>
    </row>
    <row r="193" ht="15.75" customHeight="1">
      <c r="G193" s="24"/>
      <c r="I193" s="24"/>
      <c r="M193" s="24"/>
      <c r="O193" s="24"/>
      <c r="P193" s="24"/>
      <c r="R193" s="24"/>
      <c r="U193" s="24"/>
      <c r="W193" s="24"/>
      <c r="Y193" s="24"/>
      <c r="AK193" s="24"/>
      <c r="AL193" s="26"/>
      <c r="AM193" s="26"/>
      <c r="AN193" s="26"/>
      <c r="AO193" s="26"/>
      <c r="AP193" s="26"/>
      <c r="AQ193" s="29"/>
      <c r="AR193" s="29"/>
      <c r="AS193" s="29"/>
      <c r="AT193" s="29"/>
    </row>
    <row r="194" ht="15.75" customHeight="1">
      <c r="G194" s="24"/>
      <c r="I194" s="24"/>
      <c r="M194" s="24"/>
      <c r="O194" s="24"/>
      <c r="P194" s="24"/>
      <c r="R194" s="24"/>
      <c r="U194" s="24"/>
      <c r="W194" s="24"/>
      <c r="Y194" s="24"/>
      <c r="AK194" s="24"/>
      <c r="AL194" s="26"/>
      <c r="AM194" s="26"/>
      <c r="AN194" s="26"/>
      <c r="AO194" s="26"/>
      <c r="AP194" s="26"/>
      <c r="AQ194" s="29"/>
      <c r="AR194" s="29"/>
      <c r="AS194" s="29"/>
      <c r="AT194" s="29"/>
    </row>
    <row r="195" ht="15.75" customHeight="1">
      <c r="G195" s="24"/>
      <c r="I195" s="24"/>
      <c r="M195" s="24"/>
      <c r="O195" s="24"/>
      <c r="P195" s="24"/>
      <c r="R195" s="24"/>
      <c r="U195" s="24"/>
      <c r="W195" s="24"/>
      <c r="Y195" s="24"/>
      <c r="AK195" s="24"/>
      <c r="AL195" s="26"/>
      <c r="AM195" s="26"/>
      <c r="AN195" s="26"/>
      <c r="AO195" s="26"/>
      <c r="AP195" s="26"/>
      <c r="AQ195" s="29"/>
      <c r="AR195" s="29"/>
      <c r="AS195" s="29"/>
      <c r="AT195" s="29"/>
    </row>
    <row r="196" ht="15.75" customHeight="1">
      <c r="G196" s="24"/>
      <c r="I196" s="24"/>
      <c r="M196" s="24"/>
      <c r="O196" s="24"/>
      <c r="P196" s="24"/>
      <c r="R196" s="24"/>
      <c r="U196" s="24"/>
      <c r="W196" s="24"/>
      <c r="Y196" s="24"/>
      <c r="AK196" s="24"/>
      <c r="AL196" s="26"/>
      <c r="AM196" s="26"/>
      <c r="AN196" s="26"/>
      <c r="AO196" s="26"/>
      <c r="AP196" s="26"/>
      <c r="AQ196" s="29"/>
      <c r="AR196" s="29"/>
      <c r="AS196" s="29"/>
      <c r="AT196" s="29"/>
    </row>
    <row r="197" ht="15.75" customHeight="1">
      <c r="G197" s="24"/>
      <c r="I197" s="24"/>
      <c r="M197" s="24"/>
      <c r="O197" s="24"/>
      <c r="P197" s="24"/>
      <c r="R197" s="24"/>
      <c r="U197" s="24"/>
      <c r="W197" s="24"/>
      <c r="Y197" s="24"/>
      <c r="AK197" s="24"/>
      <c r="AL197" s="26"/>
      <c r="AM197" s="26"/>
      <c r="AN197" s="26"/>
      <c r="AO197" s="26"/>
      <c r="AP197" s="26"/>
      <c r="AQ197" s="29"/>
      <c r="AR197" s="29"/>
      <c r="AS197" s="29"/>
      <c r="AT197" s="29"/>
    </row>
    <row r="198" ht="15.75" customHeight="1">
      <c r="G198" s="24"/>
      <c r="I198" s="24"/>
      <c r="M198" s="24"/>
      <c r="O198" s="24"/>
      <c r="P198" s="24"/>
      <c r="R198" s="24"/>
      <c r="U198" s="24"/>
      <c r="W198" s="24"/>
      <c r="Y198" s="24"/>
      <c r="AK198" s="24"/>
      <c r="AL198" s="26"/>
      <c r="AM198" s="26"/>
      <c r="AN198" s="26"/>
      <c r="AO198" s="26"/>
      <c r="AP198" s="26"/>
      <c r="AQ198" s="29"/>
      <c r="AR198" s="29"/>
      <c r="AS198" s="29"/>
      <c r="AT198" s="29"/>
    </row>
    <row r="199" ht="15.75" customHeight="1">
      <c r="G199" s="24"/>
      <c r="I199" s="24"/>
      <c r="M199" s="24"/>
      <c r="O199" s="24"/>
      <c r="P199" s="24"/>
      <c r="R199" s="24"/>
      <c r="U199" s="24"/>
      <c r="W199" s="24"/>
      <c r="Y199" s="24"/>
      <c r="AK199" s="24"/>
      <c r="AL199" s="26"/>
      <c r="AM199" s="26"/>
      <c r="AN199" s="26"/>
      <c r="AO199" s="26"/>
      <c r="AP199" s="26"/>
      <c r="AQ199" s="29"/>
      <c r="AR199" s="29"/>
      <c r="AS199" s="29"/>
      <c r="AT199" s="29"/>
    </row>
    <row r="200" ht="15.75" customHeight="1">
      <c r="G200" s="24"/>
      <c r="I200" s="24"/>
      <c r="M200" s="24"/>
      <c r="O200" s="24"/>
      <c r="P200" s="24"/>
      <c r="R200" s="24"/>
      <c r="U200" s="24"/>
      <c r="W200" s="24"/>
      <c r="Y200" s="24"/>
      <c r="AK200" s="24"/>
      <c r="AL200" s="26"/>
      <c r="AM200" s="26"/>
      <c r="AN200" s="26"/>
      <c r="AO200" s="26"/>
      <c r="AP200" s="26"/>
      <c r="AQ200" s="29"/>
      <c r="AR200" s="29"/>
      <c r="AS200" s="29"/>
      <c r="AT200" s="29"/>
    </row>
    <row r="201" ht="15.75" customHeight="1">
      <c r="G201" s="24"/>
      <c r="I201" s="24"/>
      <c r="M201" s="24"/>
      <c r="O201" s="24"/>
      <c r="P201" s="24"/>
      <c r="R201" s="24"/>
      <c r="U201" s="24"/>
      <c r="W201" s="24"/>
      <c r="Y201" s="24"/>
      <c r="AK201" s="24"/>
      <c r="AL201" s="26"/>
      <c r="AM201" s="26"/>
      <c r="AN201" s="26"/>
      <c r="AO201" s="26"/>
      <c r="AP201" s="26"/>
      <c r="AQ201" s="29"/>
      <c r="AR201" s="29"/>
      <c r="AS201" s="29"/>
      <c r="AT201" s="29"/>
    </row>
    <row r="202" ht="15.75" customHeight="1">
      <c r="G202" s="24"/>
      <c r="I202" s="24"/>
      <c r="M202" s="24"/>
      <c r="O202" s="24"/>
      <c r="P202" s="24"/>
      <c r="R202" s="24"/>
      <c r="U202" s="24"/>
      <c r="W202" s="24"/>
      <c r="Y202" s="24"/>
      <c r="AK202" s="24"/>
      <c r="AL202" s="26"/>
      <c r="AM202" s="26"/>
      <c r="AN202" s="26"/>
      <c r="AO202" s="26"/>
      <c r="AP202" s="26"/>
      <c r="AQ202" s="29"/>
      <c r="AR202" s="29"/>
      <c r="AS202" s="29"/>
      <c r="AT202" s="29"/>
    </row>
    <row r="203" ht="15.75" customHeight="1">
      <c r="G203" s="24"/>
      <c r="I203" s="24"/>
      <c r="M203" s="24"/>
      <c r="O203" s="24"/>
      <c r="P203" s="24"/>
      <c r="R203" s="24"/>
      <c r="U203" s="24"/>
      <c r="W203" s="24"/>
      <c r="Y203" s="24"/>
      <c r="AK203" s="24"/>
      <c r="AL203" s="26"/>
      <c r="AM203" s="26"/>
      <c r="AN203" s="26"/>
      <c r="AO203" s="26"/>
      <c r="AP203" s="26"/>
      <c r="AQ203" s="29"/>
      <c r="AR203" s="29"/>
      <c r="AS203" s="29"/>
      <c r="AT203" s="29"/>
    </row>
    <row r="204" ht="15.75" customHeight="1">
      <c r="G204" s="24"/>
      <c r="I204" s="24"/>
      <c r="M204" s="24"/>
      <c r="O204" s="24"/>
      <c r="P204" s="24"/>
      <c r="R204" s="24"/>
      <c r="U204" s="24"/>
      <c r="W204" s="24"/>
      <c r="Y204" s="24"/>
      <c r="AK204" s="24"/>
      <c r="AL204" s="26"/>
      <c r="AM204" s="26"/>
      <c r="AN204" s="26"/>
      <c r="AO204" s="26"/>
      <c r="AP204" s="26"/>
      <c r="AQ204" s="29"/>
      <c r="AR204" s="29"/>
      <c r="AS204" s="29"/>
      <c r="AT204" s="29"/>
    </row>
    <row r="205" ht="15.75" customHeight="1">
      <c r="G205" s="24"/>
      <c r="I205" s="24"/>
      <c r="M205" s="24"/>
      <c r="O205" s="24"/>
      <c r="P205" s="24"/>
      <c r="R205" s="24"/>
      <c r="U205" s="24"/>
      <c r="W205" s="24"/>
      <c r="Y205" s="24"/>
      <c r="AK205" s="24"/>
      <c r="AL205" s="26"/>
      <c r="AM205" s="26"/>
      <c r="AN205" s="26"/>
      <c r="AO205" s="26"/>
      <c r="AP205" s="26"/>
      <c r="AQ205" s="29"/>
      <c r="AR205" s="29"/>
      <c r="AS205" s="29"/>
      <c r="AT205" s="29"/>
    </row>
    <row r="206" ht="15.75" customHeight="1">
      <c r="G206" s="24"/>
      <c r="I206" s="24"/>
      <c r="M206" s="24"/>
      <c r="O206" s="24"/>
      <c r="P206" s="24"/>
      <c r="R206" s="24"/>
      <c r="U206" s="24"/>
      <c r="W206" s="24"/>
      <c r="Y206" s="24"/>
      <c r="AK206" s="24"/>
      <c r="AL206" s="26"/>
      <c r="AM206" s="26"/>
      <c r="AN206" s="26"/>
      <c r="AO206" s="26"/>
      <c r="AP206" s="26"/>
      <c r="AQ206" s="29"/>
      <c r="AR206" s="29"/>
      <c r="AS206" s="29"/>
      <c r="AT206" s="29"/>
    </row>
    <row r="207" ht="15.75" customHeight="1">
      <c r="G207" s="24"/>
      <c r="I207" s="24"/>
      <c r="M207" s="24"/>
      <c r="O207" s="24"/>
      <c r="P207" s="24"/>
      <c r="R207" s="24"/>
      <c r="U207" s="24"/>
      <c r="W207" s="24"/>
      <c r="Y207" s="24"/>
      <c r="AK207" s="24"/>
      <c r="AL207" s="26"/>
      <c r="AM207" s="26"/>
      <c r="AN207" s="26"/>
      <c r="AO207" s="26"/>
      <c r="AP207" s="26"/>
      <c r="AQ207" s="29"/>
      <c r="AR207" s="29"/>
      <c r="AS207" s="29"/>
      <c r="AT207" s="29"/>
    </row>
    <row r="208" ht="15.75" customHeight="1">
      <c r="G208" s="24"/>
      <c r="I208" s="24"/>
      <c r="M208" s="24"/>
      <c r="O208" s="24"/>
      <c r="P208" s="24"/>
      <c r="R208" s="24"/>
      <c r="U208" s="24"/>
      <c r="W208" s="24"/>
      <c r="Y208" s="24"/>
      <c r="AK208" s="24"/>
      <c r="AL208" s="26"/>
      <c r="AM208" s="26"/>
      <c r="AN208" s="26"/>
      <c r="AO208" s="26"/>
      <c r="AP208" s="26"/>
      <c r="AQ208" s="29"/>
      <c r="AR208" s="29"/>
      <c r="AS208" s="29"/>
      <c r="AT208" s="29"/>
    </row>
    <row r="209" ht="15.75" customHeight="1">
      <c r="G209" s="24"/>
      <c r="I209" s="24"/>
      <c r="M209" s="24"/>
      <c r="O209" s="24"/>
      <c r="P209" s="24"/>
      <c r="R209" s="24"/>
      <c r="U209" s="24"/>
      <c r="W209" s="24"/>
      <c r="Y209" s="24"/>
      <c r="AK209" s="24"/>
      <c r="AL209" s="26"/>
      <c r="AM209" s="26"/>
      <c r="AN209" s="26"/>
      <c r="AO209" s="26"/>
      <c r="AP209" s="26"/>
      <c r="AQ209" s="29"/>
      <c r="AR209" s="29"/>
      <c r="AS209" s="29"/>
      <c r="AT209" s="29"/>
    </row>
    <row r="210" ht="15.75" customHeight="1">
      <c r="G210" s="24"/>
      <c r="I210" s="24"/>
      <c r="M210" s="24"/>
      <c r="O210" s="24"/>
      <c r="P210" s="24"/>
      <c r="R210" s="24"/>
      <c r="U210" s="24"/>
      <c r="W210" s="24"/>
      <c r="Y210" s="24"/>
      <c r="AK210" s="24"/>
      <c r="AL210" s="26"/>
      <c r="AM210" s="26"/>
      <c r="AN210" s="26"/>
      <c r="AO210" s="26"/>
      <c r="AP210" s="26"/>
      <c r="AQ210" s="29"/>
      <c r="AR210" s="29"/>
      <c r="AS210" s="29"/>
      <c r="AT210" s="29"/>
    </row>
    <row r="211" ht="15.75" customHeight="1">
      <c r="G211" s="24"/>
      <c r="I211" s="24"/>
      <c r="M211" s="24"/>
      <c r="O211" s="24"/>
      <c r="P211" s="24"/>
      <c r="R211" s="24"/>
      <c r="U211" s="24"/>
      <c r="W211" s="24"/>
      <c r="Y211" s="24"/>
      <c r="AK211" s="24"/>
      <c r="AL211" s="26"/>
      <c r="AM211" s="26"/>
      <c r="AN211" s="26"/>
      <c r="AO211" s="26"/>
      <c r="AP211" s="26"/>
      <c r="AQ211" s="29"/>
      <c r="AR211" s="29"/>
      <c r="AS211" s="29"/>
      <c r="AT211" s="29"/>
    </row>
    <row r="212" ht="15.75" customHeight="1">
      <c r="G212" s="24"/>
      <c r="I212" s="24"/>
      <c r="M212" s="24"/>
      <c r="O212" s="24"/>
      <c r="P212" s="24"/>
      <c r="R212" s="24"/>
      <c r="U212" s="24"/>
      <c r="W212" s="24"/>
      <c r="Y212" s="24"/>
      <c r="AK212" s="24"/>
      <c r="AL212" s="26"/>
      <c r="AM212" s="26"/>
      <c r="AN212" s="26"/>
      <c r="AO212" s="26"/>
      <c r="AP212" s="26"/>
      <c r="AQ212" s="29"/>
      <c r="AR212" s="29"/>
      <c r="AS212" s="29"/>
      <c r="AT212" s="29"/>
    </row>
    <row r="213" ht="15.75" customHeight="1">
      <c r="G213" s="24"/>
      <c r="I213" s="24"/>
      <c r="M213" s="24"/>
      <c r="O213" s="24"/>
      <c r="P213" s="24"/>
      <c r="R213" s="24"/>
      <c r="U213" s="24"/>
      <c r="W213" s="24"/>
      <c r="Y213" s="24"/>
      <c r="AK213" s="24"/>
      <c r="AL213" s="26"/>
      <c r="AM213" s="26"/>
      <c r="AN213" s="26"/>
      <c r="AO213" s="26"/>
      <c r="AP213" s="26"/>
      <c r="AQ213" s="29"/>
      <c r="AR213" s="29"/>
      <c r="AS213" s="29"/>
      <c r="AT213" s="29"/>
    </row>
    <row r="214" ht="15.75" customHeight="1">
      <c r="G214" s="24"/>
      <c r="I214" s="24"/>
      <c r="M214" s="24"/>
      <c r="O214" s="24"/>
      <c r="P214" s="24"/>
      <c r="R214" s="24"/>
      <c r="U214" s="24"/>
      <c r="W214" s="24"/>
      <c r="Y214" s="24"/>
      <c r="AK214" s="24"/>
      <c r="AL214" s="26"/>
      <c r="AM214" s="26"/>
      <c r="AN214" s="26"/>
      <c r="AO214" s="26"/>
      <c r="AP214" s="26"/>
      <c r="AQ214" s="29"/>
      <c r="AR214" s="29"/>
      <c r="AS214" s="29"/>
      <c r="AT214" s="29"/>
    </row>
    <row r="215" ht="15.75" customHeight="1">
      <c r="G215" s="24"/>
      <c r="I215" s="24"/>
      <c r="M215" s="24"/>
      <c r="O215" s="24"/>
      <c r="P215" s="24"/>
      <c r="R215" s="24"/>
      <c r="U215" s="24"/>
      <c r="W215" s="24"/>
      <c r="Y215" s="24"/>
      <c r="AK215" s="24"/>
      <c r="AL215" s="26"/>
      <c r="AM215" s="26"/>
      <c r="AN215" s="26"/>
      <c r="AO215" s="26"/>
      <c r="AP215" s="26"/>
      <c r="AQ215" s="29"/>
      <c r="AR215" s="29"/>
      <c r="AS215" s="29"/>
      <c r="AT215" s="29"/>
    </row>
    <row r="216" ht="15.75" customHeight="1">
      <c r="G216" s="24"/>
      <c r="I216" s="24"/>
      <c r="M216" s="24"/>
      <c r="O216" s="24"/>
      <c r="P216" s="24"/>
      <c r="R216" s="24"/>
      <c r="U216" s="24"/>
      <c r="W216" s="24"/>
      <c r="Y216" s="24"/>
      <c r="AK216" s="24"/>
      <c r="AL216" s="26"/>
      <c r="AM216" s="26"/>
      <c r="AN216" s="26"/>
      <c r="AO216" s="26"/>
      <c r="AP216" s="26"/>
      <c r="AQ216" s="29"/>
      <c r="AR216" s="29"/>
      <c r="AS216" s="29"/>
      <c r="AT216" s="29"/>
    </row>
    <row r="217" ht="15.75" customHeight="1">
      <c r="G217" s="24"/>
      <c r="I217" s="24"/>
      <c r="M217" s="24"/>
      <c r="O217" s="24"/>
      <c r="P217" s="24"/>
      <c r="R217" s="24"/>
      <c r="U217" s="24"/>
      <c r="W217" s="24"/>
      <c r="Y217" s="24"/>
      <c r="AK217" s="24"/>
      <c r="AL217" s="26"/>
      <c r="AM217" s="26"/>
      <c r="AN217" s="26"/>
      <c r="AO217" s="26"/>
      <c r="AP217" s="26"/>
      <c r="AQ217" s="29"/>
      <c r="AR217" s="29"/>
      <c r="AS217" s="29"/>
      <c r="AT217" s="29"/>
    </row>
    <row r="218" ht="15.75" customHeight="1">
      <c r="G218" s="24"/>
      <c r="I218" s="24"/>
      <c r="M218" s="24"/>
      <c r="O218" s="24"/>
      <c r="P218" s="24"/>
      <c r="R218" s="24"/>
      <c r="U218" s="24"/>
      <c r="W218" s="24"/>
      <c r="Y218" s="24"/>
      <c r="AK218" s="24"/>
      <c r="AL218" s="26"/>
      <c r="AM218" s="26"/>
      <c r="AN218" s="26"/>
      <c r="AO218" s="26"/>
      <c r="AP218" s="26"/>
      <c r="AQ218" s="29"/>
      <c r="AR218" s="29"/>
      <c r="AS218" s="29"/>
      <c r="AT218" s="29"/>
    </row>
    <row r="219" ht="15.75" customHeight="1">
      <c r="G219" s="24"/>
      <c r="I219" s="24"/>
      <c r="M219" s="24"/>
      <c r="O219" s="24"/>
      <c r="P219" s="24"/>
      <c r="R219" s="24"/>
      <c r="U219" s="24"/>
      <c r="W219" s="24"/>
      <c r="Y219" s="24"/>
      <c r="AK219" s="24"/>
      <c r="AL219" s="26"/>
      <c r="AM219" s="26"/>
      <c r="AN219" s="26"/>
      <c r="AO219" s="26"/>
      <c r="AP219" s="26"/>
      <c r="AQ219" s="29"/>
      <c r="AR219" s="29"/>
      <c r="AS219" s="29"/>
      <c r="AT219" s="29"/>
    </row>
    <row r="220" ht="15.75" customHeight="1">
      <c r="G220" s="24"/>
      <c r="I220" s="24"/>
      <c r="M220" s="24"/>
      <c r="O220" s="24"/>
      <c r="P220" s="24"/>
      <c r="R220" s="24"/>
      <c r="U220" s="24"/>
      <c r="W220" s="24"/>
      <c r="Y220" s="24"/>
      <c r="AK220" s="24"/>
      <c r="AL220" s="26"/>
      <c r="AM220" s="26"/>
      <c r="AN220" s="26"/>
      <c r="AO220" s="26"/>
      <c r="AP220" s="26"/>
      <c r="AQ220" s="29"/>
      <c r="AR220" s="29"/>
      <c r="AS220" s="29"/>
      <c r="AT220" s="29"/>
    </row>
    <row r="221" ht="15.75" customHeight="1">
      <c r="G221" s="24"/>
      <c r="I221" s="24"/>
      <c r="M221" s="24"/>
      <c r="O221" s="24"/>
      <c r="P221" s="24"/>
      <c r="R221" s="24"/>
      <c r="U221" s="24"/>
      <c r="W221" s="24"/>
      <c r="Y221" s="24"/>
      <c r="AK221" s="24"/>
      <c r="AL221" s="26"/>
      <c r="AM221" s="26"/>
      <c r="AN221" s="26"/>
      <c r="AO221" s="26"/>
      <c r="AP221" s="26"/>
      <c r="AQ221" s="29"/>
      <c r="AR221" s="29"/>
      <c r="AS221" s="29"/>
      <c r="AT221" s="29"/>
    </row>
    <row r="222" ht="15.75" customHeight="1">
      <c r="G222" s="24"/>
      <c r="I222" s="24"/>
      <c r="M222" s="24"/>
      <c r="O222" s="24"/>
      <c r="P222" s="24"/>
      <c r="R222" s="24"/>
      <c r="U222" s="24"/>
      <c r="W222" s="24"/>
      <c r="Y222" s="24"/>
      <c r="AK222" s="24"/>
      <c r="AL222" s="26"/>
      <c r="AM222" s="26"/>
      <c r="AN222" s="26"/>
      <c r="AO222" s="26"/>
      <c r="AP222" s="26"/>
      <c r="AQ222" s="29"/>
      <c r="AR222" s="29"/>
      <c r="AS222" s="29"/>
      <c r="AT222" s="29"/>
    </row>
    <row r="223" ht="15.75" customHeight="1">
      <c r="G223" s="24"/>
      <c r="I223" s="24"/>
      <c r="M223" s="24"/>
      <c r="O223" s="24"/>
      <c r="P223" s="24"/>
      <c r="R223" s="24"/>
      <c r="U223" s="24"/>
      <c r="W223" s="24"/>
      <c r="Y223" s="24"/>
      <c r="AK223" s="24"/>
      <c r="AL223" s="26"/>
      <c r="AM223" s="26"/>
      <c r="AN223" s="26"/>
      <c r="AO223" s="26"/>
      <c r="AP223" s="26"/>
      <c r="AQ223" s="29"/>
      <c r="AR223" s="29"/>
      <c r="AS223" s="29"/>
      <c r="AT223" s="29"/>
    </row>
    <row r="224" ht="15.75" customHeight="1">
      <c r="G224" s="24"/>
      <c r="I224" s="24"/>
      <c r="M224" s="24"/>
      <c r="O224" s="24"/>
      <c r="P224" s="24"/>
      <c r="R224" s="24"/>
      <c r="U224" s="24"/>
      <c r="W224" s="24"/>
      <c r="Y224" s="24"/>
      <c r="AK224" s="24"/>
      <c r="AL224" s="26"/>
      <c r="AM224" s="26"/>
      <c r="AN224" s="26"/>
      <c r="AO224" s="26"/>
      <c r="AP224" s="26"/>
      <c r="AQ224" s="29"/>
      <c r="AR224" s="29"/>
      <c r="AS224" s="29"/>
      <c r="AT224" s="29"/>
    </row>
    <row r="225" ht="15.75" customHeight="1">
      <c r="G225" s="24"/>
      <c r="I225" s="24"/>
      <c r="M225" s="24"/>
      <c r="O225" s="24"/>
      <c r="P225" s="24"/>
      <c r="R225" s="24"/>
      <c r="U225" s="24"/>
      <c r="W225" s="24"/>
      <c r="Y225" s="24"/>
      <c r="AK225" s="24"/>
      <c r="AL225" s="26"/>
      <c r="AM225" s="26"/>
      <c r="AN225" s="26"/>
      <c r="AO225" s="26"/>
      <c r="AP225" s="26"/>
      <c r="AQ225" s="29"/>
      <c r="AR225" s="29"/>
      <c r="AS225" s="29"/>
      <c r="AT225" s="29"/>
    </row>
    <row r="226" ht="15.75" customHeight="1">
      <c r="G226" s="24"/>
      <c r="I226" s="24"/>
      <c r="M226" s="24"/>
      <c r="O226" s="24"/>
      <c r="P226" s="24"/>
      <c r="R226" s="24"/>
      <c r="U226" s="24"/>
      <c r="W226" s="24"/>
      <c r="Y226" s="24"/>
      <c r="AK226" s="24"/>
      <c r="AL226" s="26"/>
      <c r="AM226" s="26"/>
      <c r="AN226" s="26"/>
      <c r="AO226" s="26"/>
      <c r="AP226" s="26"/>
      <c r="AQ226" s="29"/>
      <c r="AR226" s="29"/>
      <c r="AS226" s="29"/>
      <c r="AT226" s="29"/>
    </row>
    <row r="227" ht="15.75" customHeight="1">
      <c r="G227" s="24"/>
      <c r="I227" s="24"/>
      <c r="M227" s="24"/>
      <c r="O227" s="24"/>
      <c r="P227" s="24"/>
      <c r="R227" s="24"/>
      <c r="U227" s="24"/>
      <c r="W227" s="24"/>
      <c r="Y227" s="24"/>
      <c r="AK227" s="24"/>
      <c r="AL227" s="26"/>
      <c r="AM227" s="26"/>
      <c r="AN227" s="26"/>
      <c r="AO227" s="26"/>
      <c r="AP227" s="26"/>
      <c r="AQ227" s="29"/>
      <c r="AR227" s="29"/>
      <c r="AS227" s="29"/>
      <c r="AT227" s="29"/>
    </row>
    <row r="228" ht="15.75" customHeight="1">
      <c r="G228" s="24"/>
      <c r="I228" s="24"/>
      <c r="M228" s="24"/>
      <c r="O228" s="24"/>
      <c r="P228" s="24"/>
      <c r="R228" s="24"/>
      <c r="U228" s="24"/>
      <c r="W228" s="24"/>
      <c r="Y228" s="24"/>
      <c r="AK228" s="24"/>
      <c r="AL228" s="26"/>
      <c r="AM228" s="26"/>
      <c r="AN228" s="26"/>
      <c r="AO228" s="26"/>
      <c r="AP228" s="26"/>
      <c r="AQ228" s="29"/>
      <c r="AR228" s="29"/>
      <c r="AS228" s="29"/>
      <c r="AT228" s="29"/>
    </row>
    <row r="229" ht="15.75" customHeight="1">
      <c r="G229" s="24"/>
      <c r="I229" s="24"/>
      <c r="M229" s="24"/>
      <c r="O229" s="24"/>
      <c r="P229" s="24"/>
      <c r="R229" s="24"/>
      <c r="U229" s="24"/>
      <c r="W229" s="24"/>
      <c r="Y229" s="24"/>
      <c r="AK229" s="24"/>
      <c r="AL229" s="26"/>
      <c r="AM229" s="26"/>
      <c r="AN229" s="26"/>
      <c r="AO229" s="26"/>
      <c r="AP229" s="26"/>
      <c r="AQ229" s="29"/>
      <c r="AR229" s="29"/>
      <c r="AS229" s="29"/>
      <c r="AT229" s="29"/>
    </row>
    <row r="230" ht="15.75" customHeight="1">
      <c r="G230" s="24"/>
      <c r="I230" s="24"/>
      <c r="M230" s="24"/>
      <c r="O230" s="24"/>
      <c r="P230" s="24"/>
      <c r="R230" s="24"/>
      <c r="U230" s="24"/>
      <c r="W230" s="24"/>
      <c r="Y230" s="24"/>
      <c r="AK230" s="24"/>
      <c r="AL230" s="26"/>
      <c r="AM230" s="26"/>
      <c r="AN230" s="26"/>
      <c r="AO230" s="26"/>
      <c r="AP230" s="26"/>
      <c r="AQ230" s="29"/>
      <c r="AR230" s="29"/>
      <c r="AS230" s="29"/>
      <c r="AT230" s="29"/>
    </row>
    <row r="231" ht="15.75" customHeight="1">
      <c r="G231" s="24"/>
      <c r="I231" s="24"/>
      <c r="M231" s="24"/>
      <c r="O231" s="24"/>
      <c r="P231" s="24"/>
      <c r="R231" s="24"/>
      <c r="U231" s="24"/>
      <c r="W231" s="24"/>
      <c r="Y231" s="24"/>
      <c r="AK231" s="24"/>
      <c r="AL231" s="26"/>
      <c r="AM231" s="26"/>
      <c r="AN231" s="26"/>
      <c r="AO231" s="26"/>
      <c r="AP231" s="26"/>
      <c r="AQ231" s="29"/>
      <c r="AR231" s="29"/>
      <c r="AS231" s="29"/>
      <c r="AT231" s="29"/>
    </row>
    <row r="232" ht="15.75" customHeight="1">
      <c r="G232" s="24"/>
      <c r="I232" s="24"/>
      <c r="M232" s="24"/>
      <c r="O232" s="24"/>
      <c r="P232" s="24"/>
      <c r="R232" s="24"/>
      <c r="U232" s="24"/>
      <c r="W232" s="24"/>
      <c r="Y232" s="24"/>
      <c r="AK232" s="24"/>
      <c r="AL232" s="26"/>
      <c r="AM232" s="26"/>
      <c r="AN232" s="26"/>
      <c r="AO232" s="26"/>
      <c r="AP232" s="26"/>
      <c r="AQ232" s="29"/>
      <c r="AR232" s="29"/>
      <c r="AS232" s="29"/>
      <c r="AT232" s="29"/>
    </row>
    <row r="233" ht="15.75" customHeight="1">
      <c r="G233" s="24"/>
      <c r="I233" s="24"/>
      <c r="M233" s="24"/>
      <c r="O233" s="24"/>
      <c r="P233" s="24"/>
      <c r="R233" s="24"/>
      <c r="U233" s="24"/>
      <c r="W233" s="24"/>
      <c r="Y233" s="24"/>
      <c r="AK233" s="24"/>
      <c r="AL233" s="26"/>
      <c r="AM233" s="26"/>
      <c r="AN233" s="26"/>
      <c r="AO233" s="26"/>
      <c r="AP233" s="26"/>
      <c r="AQ233" s="29"/>
      <c r="AR233" s="29"/>
      <c r="AS233" s="29"/>
      <c r="AT233" s="29"/>
    </row>
    <row r="234" ht="15.75" customHeight="1">
      <c r="G234" s="24"/>
      <c r="I234" s="24"/>
      <c r="M234" s="24"/>
      <c r="O234" s="24"/>
      <c r="P234" s="24"/>
      <c r="R234" s="24"/>
      <c r="U234" s="24"/>
      <c r="W234" s="24"/>
      <c r="Y234" s="24"/>
      <c r="AK234" s="24"/>
      <c r="AL234" s="26"/>
      <c r="AM234" s="26"/>
      <c r="AN234" s="26"/>
      <c r="AO234" s="26"/>
      <c r="AP234" s="26"/>
      <c r="AQ234" s="29"/>
      <c r="AR234" s="29"/>
      <c r="AS234" s="29"/>
      <c r="AT234" s="29"/>
    </row>
    <row r="235" ht="15.75" customHeight="1">
      <c r="G235" s="24"/>
      <c r="I235" s="24"/>
      <c r="M235" s="24"/>
      <c r="O235" s="24"/>
      <c r="P235" s="24"/>
      <c r="R235" s="24"/>
      <c r="U235" s="24"/>
      <c r="W235" s="24"/>
      <c r="Y235" s="24"/>
      <c r="AK235" s="24"/>
      <c r="AL235" s="26"/>
      <c r="AM235" s="26"/>
      <c r="AN235" s="26"/>
      <c r="AO235" s="26"/>
      <c r="AP235" s="26"/>
      <c r="AQ235" s="29"/>
      <c r="AR235" s="29"/>
      <c r="AS235" s="29"/>
      <c r="AT235" s="29"/>
    </row>
    <row r="236" ht="15.75" customHeight="1">
      <c r="G236" s="24"/>
      <c r="I236" s="24"/>
      <c r="M236" s="24"/>
      <c r="O236" s="24"/>
      <c r="P236" s="24"/>
      <c r="R236" s="24"/>
      <c r="U236" s="24"/>
      <c r="W236" s="24"/>
      <c r="Y236" s="24"/>
      <c r="AK236" s="24"/>
      <c r="AL236" s="26"/>
      <c r="AM236" s="26"/>
      <c r="AN236" s="26"/>
      <c r="AO236" s="26"/>
      <c r="AP236" s="26"/>
      <c r="AQ236" s="29"/>
      <c r="AR236" s="29"/>
      <c r="AS236" s="29"/>
      <c r="AT236" s="29"/>
    </row>
    <row r="237" ht="15.75" customHeight="1">
      <c r="G237" s="24"/>
      <c r="I237" s="24"/>
      <c r="M237" s="24"/>
      <c r="O237" s="24"/>
      <c r="P237" s="24"/>
      <c r="R237" s="24"/>
      <c r="U237" s="24"/>
      <c r="W237" s="24"/>
      <c r="Y237" s="24"/>
      <c r="AK237" s="24"/>
      <c r="AL237" s="26"/>
      <c r="AM237" s="26"/>
      <c r="AN237" s="26"/>
      <c r="AO237" s="26"/>
      <c r="AP237" s="26"/>
      <c r="AQ237" s="29"/>
      <c r="AR237" s="29"/>
      <c r="AS237" s="29"/>
      <c r="AT237" s="29"/>
    </row>
    <row r="238" ht="15.75" customHeight="1">
      <c r="G238" s="24"/>
      <c r="I238" s="24"/>
      <c r="M238" s="24"/>
      <c r="O238" s="24"/>
      <c r="P238" s="24"/>
      <c r="R238" s="24"/>
      <c r="U238" s="24"/>
      <c r="W238" s="24"/>
      <c r="Y238" s="24"/>
      <c r="AK238" s="24"/>
      <c r="AL238" s="26"/>
      <c r="AM238" s="26"/>
      <c r="AN238" s="26"/>
      <c r="AO238" s="26"/>
      <c r="AP238" s="26"/>
      <c r="AQ238" s="29"/>
      <c r="AR238" s="29"/>
      <c r="AS238" s="29"/>
      <c r="AT238" s="29"/>
    </row>
    <row r="239" ht="15.75" customHeight="1">
      <c r="G239" s="24"/>
      <c r="I239" s="24"/>
      <c r="M239" s="24"/>
      <c r="O239" s="24"/>
      <c r="P239" s="24"/>
      <c r="R239" s="24"/>
      <c r="U239" s="24"/>
      <c r="W239" s="24"/>
      <c r="Y239" s="24"/>
      <c r="AK239" s="24"/>
      <c r="AL239" s="26"/>
      <c r="AM239" s="26"/>
      <c r="AN239" s="26"/>
      <c r="AO239" s="26"/>
      <c r="AP239" s="26"/>
      <c r="AQ239" s="29"/>
      <c r="AR239" s="29"/>
      <c r="AS239" s="29"/>
      <c r="AT239" s="29"/>
    </row>
    <row r="240" ht="15.75" customHeight="1">
      <c r="G240" s="24"/>
      <c r="I240" s="24"/>
      <c r="M240" s="24"/>
      <c r="O240" s="24"/>
      <c r="P240" s="24"/>
      <c r="R240" s="24"/>
      <c r="U240" s="24"/>
      <c r="W240" s="24"/>
      <c r="Y240" s="24"/>
      <c r="AK240" s="24"/>
      <c r="AL240" s="26"/>
      <c r="AM240" s="26"/>
      <c r="AN240" s="26"/>
      <c r="AO240" s="26"/>
      <c r="AP240" s="26"/>
      <c r="AQ240" s="29"/>
      <c r="AR240" s="29"/>
      <c r="AS240" s="29"/>
      <c r="AT240" s="29"/>
    </row>
    <row r="241" ht="15.75" customHeight="1">
      <c r="G241" s="24"/>
      <c r="I241" s="24"/>
      <c r="M241" s="24"/>
      <c r="O241" s="24"/>
      <c r="P241" s="24"/>
      <c r="R241" s="24"/>
      <c r="U241" s="24"/>
      <c r="W241" s="24"/>
      <c r="Y241" s="24"/>
      <c r="AK241" s="24"/>
      <c r="AL241" s="26"/>
      <c r="AM241" s="26"/>
      <c r="AN241" s="26"/>
      <c r="AO241" s="26"/>
      <c r="AP241" s="26"/>
      <c r="AQ241" s="29"/>
      <c r="AR241" s="29"/>
      <c r="AS241" s="29"/>
      <c r="AT241" s="29"/>
    </row>
    <row r="242" ht="15.75" customHeight="1">
      <c r="G242" s="24"/>
      <c r="I242" s="24"/>
      <c r="M242" s="24"/>
      <c r="O242" s="24"/>
      <c r="P242" s="24"/>
      <c r="R242" s="24"/>
      <c r="U242" s="24"/>
      <c r="W242" s="24"/>
      <c r="Y242" s="24"/>
      <c r="AK242" s="24"/>
      <c r="AL242" s="26"/>
      <c r="AM242" s="26"/>
      <c r="AN242" s="26"/>
      <c r="AO242" s="26"/>
      <c r="AP242" s="26"/>
      <c r="AQ242" s="29"/>
      <c r="AR242" s="29"/>
      <c r="AS242" s="29"/>
      <c r="AT242" s="29"/>
    </row>
    <row r="243" ht="15.75" customHeight="1">
      <c r="G243" s="24"/>
      <c r="I243" s="24"/>
      <c r="M243" s="24"/>
      <c r="O243" s="24"/>
      <c r="P243" s="24"/>
      <c r="R243" s="24"/>
      <c r="U243" s="24"/>
      <c r="W243" s="24"/>
      <c r="Y243" s="24"/>
      <c r="AK243" s="24"/>
      <c r="AL243" s="26"/>
      <c r="AM243" s="26"/>
      <c r="AN243" s="26"/>
      <c r="AO243" s="26"/>
      <c r="AP243" s="26"/>
      <c r="AQ243" s="29"/>
      <c r="AR243" s="29"/>
      <c r="AS243" s="29"/>
      <c r="AT243" s="29"/>
    </row>
    <row r="244" ht="15.75" customHeight="1">
      <c r="G244" s="24"/>
      <c r="I244" s="24"/>
      <c r="M244" s="24"/>
      <c r="O244" s="24"/>
      <c r="P244" s="24"/>
      <c r="R244" s="24"/>
      <c r="U244" s="24"/>
      <c r="W244" s="24"/>
      <c r="Y244" s="24"/>
      <c r="AK244" s="24"/>
      <c r="AL244" s="26"/>
      <c r="AM244" s="26"/>
      <c r="AN244" s="26"/>
      <c r="AO244" s="26"/>
      <c r="AP244" s="26"/>
      <c r="AQ244" s="29"/>
      <c r="AR244" s="29"/>
      <c r="AS244" s="29"/>
      <c r="AT244" s="29"/>
    </row>
    <row r="245" ht="15.75" customHeight="1">
      <c r="G245" s="24"/>
      <c r="I245" s="24"/>
      <c r="M245" s="24"/>
      <c r="O245" s="24"/>
      <c r="P245" s="24"/>
      <c r="R245" s="24"/>
      <c r="U245" s="24"/>
      <c r="W245" s="24"/>
      <c r="Y245" s="24"/>
      <c r="AK245" s="24"/>
      <c r="AL245" s="26"/>
      <c r="AM245" s="26"/>
      <c r="AN245" s="26"/>
      <c r="AO245" s="26"/>
      <c r="AP245" s="26"/>
      <c r="AQ245" s="29"/>
      <c r="AR245" s="29"/>
      <c r="AS245" s="29"/>
      <c r="AT245" s="29"/>
    </row>
    <row r="246" ht="15.75" customHeight="1">
      <c r="G246" s="24"/>
      <c r="I246" s="24"/>
      <c r="M246" s="24"/>
      <c r="O246" s="24"/>
      <c r="P246" s="24"/>
      <c r="R246" s="24"/>
      <c r="U246" s="24"/>
      <c r="W246" s="24"/>
      <c r="Y246" s="24"/>
      <c r="AK246" s="24"/>
      <c r="AL246" s="26"/>
      <c r="AM246" s="26"/>
      <c r="AN246" s="26"/>
      <c r="AO246" s="26"/>
      <c r="AP246" s="26"/>
      <c r="AQ246" s="29"/>
      <c r="AR246" s="29"/>
      <c r="AS246" s="29"/>
      <c r="AT246" s="29"/>
    </row>
    <row r="247" ht="15.75" customHeight="1">
      <c r="G247" s="24"/>
      <c r="I247" s="24"/>
      <c r="M247" s="24"/>
      <c r="O247" s="24"/>
      <c r="P247" s="24"/>
      <c r="R247" s="24"/>
      <c r="U247" s="24"/>
      <c r="W247" s="24"/>
      <c r="Y247" s="24"/>
      <c r="AK247" s="24"/>
      <c r="AL247" s="26"/>
      <c r="AM247" s="26"/>
      <c r="AN247" s="26"/>
      <c r="AO247" s="26"/>
      <c r="AP247" s="26"/>
      <c r="AQ247" s="29"/>
      <c r="AR247" s="29"/>
      <c r="AS247" s="29"/>
      <c r="AT247" s="29"/>
    </row>
    <row r="248" ht="15.75" customHeight="1">
      <c r="G248" s="24"/>
      <c r="I248" s="24"/>
      <c r="M248" s="24"/>
      <c r="O248" s="24"/>
      <c r="P248" s="24"/>
      <c r="R248" s="24"/>
      <c r="U248" s="24"/>
      <c r="W248" s="24"/>
      <c r="Y248" s="24"/>
      <c r="AK248" s="24"/>
      <c r="AL248" s="26"/>
      <c r="AM248" s="26"/>
      <c r="AN248" s="26"/>
      <c r="AO248" s="26"/>
      <c r="AP248" s="26"/>
      <c r="AQ248" s="29"/>
      <c r="AR248" s="29"/>
      <c r="AS248" s="29"/>
      <c r="AT248" s="29"/>
    </row>
    <row r="249" ht="15.75" customHeight="1">
      <c r="G249" s="24"/>
      <c r="I249" s="24"/>
      <c r="M249" s="24"/>
      <c r="O249" s="24"/>
      <c r="P249" s="24"/>
      <c r="R249" s="24"/>
      <c r="U249" s="24"/>
      <c r="W249" s="24"/>
      <c r="Y249" s="24"/>
      <c r="AK249" s="24"/>
      <c r="AL249" s="26"/>
      <c r="AM249" s="26"/>
      <c r="AN249" s="26"/>
      <c r="AO249" s="26"/>
      <c r="AP249" s="26"/>
      <c r="AQ249" s="29"/>
      <c r="AR249" s="29"/>
      <c r="AS249" s="29"/>
      <c r="AT249" s="29"/>
    </row>
    <row r="250" ht="15.75" customHeight="1">
      <c r="G250" s="24"/>
      <c r="I250" s="24"/>
      <c r="M250" s="24"/>
      <c r="O250" s="24"/>
      <c r="P250" s="24"/>
      <c r="R250" s="24"/>
      <c r="U250" s="24"/>
      <c r="W250" s="24"/>
      <c r="Y250" s="24"/>
      <c r="AK250" s="24"/>
      <c r="AL250" s="26"/>
      <c r="AM250" s="26"/>
      <c r="AN250" s="26"/>
      <c r="AO250" s="26"/>
      <c r="AP250" s="26"/>
      <c r="AQ250" s="29"/>
      <c r="AR250" s="29"/>
      <c r="AS250" s="29"/>
      <c r="AT250" s="29"/>
    </row>
    <row r="251" ht="15.75" customHeight="1">
      <c r="G251" s="24"/>
      <c r="I251" s="24"/>
      <c r="M251" s="24"/>
      <c r="O251" s="24"/>
      <c r="P251" s="24"/>
      <c r="R251" s="24"/>
      <c r="U251" s="24"/>
      <c r="W251" s="24"/>
      <c r="Y251" s="24"/>
      <c r="AK251" s="24"/>
      <c r="AL251" s="26"/>
      <c r="AM251" s="26"/>
      <c r="AN251" s="26"/>
      <c r="AO251" s="26"/>
      <c r="AP251" s="26"/>
      <c r="AQ251" s="29"/>
      <c r="AR251" s="29"/>
      <c r="AS251" s="29"/>
      <c r="AT251" s="29"/>
    </row>
    <row r="252" ht="15.75" customHeight="1">
      <c r="G252" s="24"/>
      <c r="I252" s="24"/>
      <c r="M252" s="24"/>
      <c r="O252" s="24"/>
      <c r="P252" s="24"/>
      <c r="R252" s="24"/>
      <c r="U252" s="24"/>
      <c r="W252" s="24"/>
      <c r="Y252" s="24"/>
      <c r="AK252" s="24"/>
      <c r="AL252" s="26"/>
      <c r="AM252" s="26"/>
      <c r="AN252" s="26"/>
      <c r="AO252" s="26"/>
      <c r="AP252" s="26"/>
      <c r="AQ252" s="29"/>
      <c r="AR252" s="29"/>
      <c r="AS252" s="29"/>
      <c r="AT252" s="29"/>
    </row>
    <row r="253" ht="15.75" customHeight="1">
      <c r="G253" s="24"/>
      <c r="I253" s="24"/>
      <c r="M253" s="24"/>
      <c r="O253" s="24"/>
      <c r="P253" s="24"/>
      <c r="R253" s="24"/>
      <c r="U253" s="24"/>
      <c r="W253" s="24"/>
      <c r="Y253" s="24"/>
      <c r="AK253" s="24"/>
      <c r="AL253" s="26"/>
      <c r="AM253" s="26"/>
      <c r="AN253" s="26"/>
      <c r="AO253" s="26"/>
      <c r="AP253" s="26"/>
      <c r="AQ253" s="29"/>
      <c r="AR253" s="29"/>
      <c r="AS253" s="29"/>
      <c r="AT253" s="29"/>
    </row>
    <row r="254" ht="15.75" customHeight="1">
      <c r="G254" s="24"/>
      <c r="I254" s="24"/>
      <c r="M254" s="24"/>
      <c r="O254" s="24"/>
      <c r="P254" s="24"/>
      <c r="R254" s="24"/>
      <c r="U254" s="24"/>
      <c r="W254" s="24"/>
      <c r="Y254" s="24"/>
      <c r="AK254" s="24"/>
      <c r="AL254" s="26"/>
      <c r="AM254" s="26"/>
      <c r="AN254" s="26"/>
      <c r="AO254" s="26"/>
      <c r="AP254" s="26"/>
      <c r="AQ254" s="29"/>
      <c r="AR254" s="29"/>
      <c r="AS254" s="29"/>
      <c r="AT254" s="29"/>
    </row>
    <row r="255" ht="15.75" customHeight="1">
      <c r="G255" s="24"/>
      <c r="I255" s="24"/>
      <c r="M255" s="24"/>
      <c r="O255" s="24"/>
      <c r="P255" s="24"/>
      <c r="R255" s="24"/>
      <c r="U255" s="24"/>
      <c r="W255" s="24"/>
      <c r="Y255" s="24"/>
      <c r="AK255" s="24"/>
      <c r="AL255" s="26"/>
      <c r="AM255" s="26"/>
      <c r="AN255" s="26"/>
      <c r="AO255" s="26"/>
      <c r="AP255" s="26"/>
      <c r="AQ255" s="29"/>
      <c r="AR255" s="29"/>
      <c r="AS255" s="29"/>
      <c r="AT255" s="29"/>
    </row>
    <row r="256" ht="15.75" customHeight="1">
      <c r="G256" s="24"/>
      <c r="I256" s="24"/>
      <c r="M256" s="24"/>
      <c r="O256" s="24"/>
      <c r="P256" s="24"/>
      <c r="R256" s="24"/>
      <c r="U256" s="24"/>
      <c r="W256" s="24"/>
      <c r="Y256" s="24"/>
      <c r="AK256" s="24"/>
      <c r="AL256" s="26"/>
      <c r="AM256" s="26"/>
      <c r="AN256" s="26"/>
      <c r="AO256" s="26"/>
      <c r="AP256" s="26"/>
      <c r="AQ256" s="29"/>
      <c r="AR256" s="29"/>
      <c r="AS256" s="29"/>
      <c r="AT256" s="29"/>
    </row>
    <row r="257" ht="15.75" customHeight="1">
      <c r="G257" s="24"/>
      <c r="I257" s="24"/>
      <c r="M257" s="24"/>
      <c r="O257" s="24"/>
      <c r="P257" s="24"/>
      <c r="R257" s="24"/>
      <c r="U257" s="24"/>
      <c r="W257" s="24"/>
      <c r="Y257" s="24"/>
      <c r="AK257" s="24"/>
      <c r="AL257" s="26"/>
      <c r="AM257" s="26"/>
      <c r="AN257" s="26"/>
      <c r="AO257" s="26"/>
      <c r="AP257" s="26"/>
      <c r="AQ257" s="29"/>
      <c r="AR257" s="29"/>
      <c r="AS257" s="29"/>
      <c r="AT257" s="29"/>
    </row>
    <row r="258" ht="15.75" customHeight="1">
      <c r="G258" s="24"/>
      <c r="I258" s="24"/>
      <c r="M258" s="24"/>
      <c r="O258" s="24"/>
      <c r="P258" s="24"/>
      <c r="R258" s="24"/>
      <c r="U258" s="24"/>
      <c r="W258" s="24"/>
      <c r="Y258" s="24"/>
      <c r="AK258" s="24"/>
      <c r="AL258" s="26"/>
      <c r="AM258" s="26"/>
      <c r="AN258" s="26"/>
      <c r="AO258" s="26"/>
      <c r="AP258" s="26"/>
      <c r="AQ258" s="29"/>
      <c r="AR258" s="29"/>
      <c r="AS258" s="29"/>
      <c r="AT258" s="29"/>
    </row>
    <row r="259" ht="15.75" customHeight="1">
      <c r="G259" s="24"/>
      <c r="I259" s="24"/>
      <c r="M259" s="24"/>
      <c r="O259" s="24"/>
      <c r="P259" s="24"/>
      <c r="R259" s="24"/>
      <c r="U259" s="24"/>
      <c r="W259" s="24"/>
      <c r="Y259" s="24"/>
      <c r="AK259" s="24"/>
      <c r="AL259" s="26"/>
      <c r="AM259" s="26"/>
      <c r="AN259" s="26"/>
      <c r="AO259" s="26"/>
      <c r="AP259" s="26"/>
      <c r="AQ259" s="29"/>
      <c r="AR259" s="29"/>
      <c r="AS259" s="29"/>
      <c r="AT259" s="29"/>
    </row>
    <row r="260" ht="15.75" customHeight="1">
      <c r="G260" s="24"/>
      <c r="I260" s="24"/>
      <c r="M260" s="24"/>
      <c r="O260" s="24"/>
      <c r="P260" s="24"/>
      <c r="R260" s="24"/>
      <c r="U260" s="24"/>
      <c r="W260" s="24"/>
      <c r="Y260" s="24"/>
      <c r="AK260" s="24"/>
      <c r="AL260" s="26"/>
      <c r="AM260" s="26"/>
      <c r="AN260" s="26"/>
      <c r="AO260" s="26"/>
      <c r="AP260" s="26"/>
      <c r="AQ260" s="29"/>
      <c r="AR260" s="29"/>
      <c r="AS260" s="29"/>
      <c r="AT260" s="29"/>
    </row>
    <row r="261" ht="15.75" customHeight="1">
      <c r="G261" s="24"/>
      <c r="I261" s="24"/>
      <c r="M261" s="24"/>
      <c r="O261" s="24"/>
      <c r="P261" s="24"/>
      <c r="R261" s="24"/>
      <c r="U261" s="24"/>
      <c r="W261" s="24"/>
      <c r="Y261" s="24"/>
      <c r="AK261" s="24"/>
      <c r="AL261" s="26"/>
      <c r="AM261" s="26"/>
      <c r="AN261" s="26"/>
      <c r="AO261" s="26"/>
      <c r="AP261" s="26"/>
      <c r="AQ261" s="29"/>
      <c r="AR261" s="29"/>
      <c r="AS261" s="29"/>
      <c r="AT261" s="29"/>
    </row>
    <row r="262" ht="15.75" customHeight="1">
      <c r="G262" s="24"/>
      <c r="I262" s="24"/>
      <c r="M262" s="24"/>
      <c r="O262" s="24"/>
      <c r="P262" s="24"/>
      <c r="R262" s="24"/>
      <c r="U262" s="24"/>
      <c r="W262" s="24"/>
      <c r="Y262" s="24"/>
      <c r="AK262" s="24"/>
      <c r="AL262" s="26"/>
      <c r="AM262" s="26"/>
      <c r="AN262" s="26"/>
      <c r="AO262" s="26"/>
      <c r="AP262" s="26"/>
      <c r="AQ262" s="29"/>
      <c r="AR262" s="29"/>
      <c r="AS262" s="29"/>
      <c r="AT262" s="29"/>
    </row>
    <row r="263" ht="15.75" customHeight="1">
      <c r="G263" s="24"/>
      <c r="I263" s="24"/>
      <c r="M263" s="24"/>
      <c r="O263" s="24"/>
      <c r="P263" s="24"/>
      <c r="R263" s="24"/>
      <c r="U263" s="24"/>
      <c r="W263" s="24"/>
      <c r="Y263" s="24"/>
      <c r="AK263" s="24"/>
      <c r="AL263" s="26"/>
      <c r="AM263" s="26"/>
      <c r="AN263" s="26"/>
      <c r="AO263" s="26"/>
      <c r="AP263" s="26"/>
      <c r="AQ263" s="29"/>
      <c r="AR263" s="29"/>
      <c r="AS263" s="29"/>
      <c r="AT263" s="29"/>
    </row>
    <row r="264" ht="15.75" customHeight="1">
      <c r="G264" s="24"/>
      <c r="I264" s="24"/>
      <c r="M264" s="24"/>
      <c r="O264" s="24"/>
      <c r="P264" s="24"/>
      <c r="R264" s="24"/>
      <c r="U264" s="24"/>
      <c r="W264" s="24"/>
      <c r="Y264" s="24"/>
      <c r="AK264" s="24"/>
      <c r="AL264" s="26"/>
      <c r="AM264" s="26"/>
      <c r="AN264" s="26"/>
      <c r="AO264" s="26"/>
      <c r="AP264" s="26"/>
      <c r="AQ264" s="29"/>
      <c r="AR264" s="29"/>
      <c r="AS264" s="29"/>
      <c r="AT264" s="29"/>
    </row>
    <row r="265" ht="15.75" customHeight="1">
      <c r="G265" s="24"/>
      <c r="I265" s="24"/>
      <c r="M265" s="24"/>
      <c r="O265" s="24"/>
      <c r="P265" s="24"/>
      <c r="R265" s="24"/>
      <c r="U265" s="24"/>
      <c r="W265" s="24"/>
      <c r="Y265" s="24"/>
      <c r="AK265" s="24"/>
      <c r="AL265" s="26"/>
      <c r="AM265" s="26"/>
      <c r="AN265" s="26"/>
      <c r="AO265" s="26"/>
      <c r="AP265" s="26"/>
      <c r="AQ265" s="29"/>
      <c r="AR265" s="29"/>
      <c r="AS265" s="29"/>
      <c r="AT265" s="29"/>
    </row>
    <row r="266" ht="15.75" customHeight="1">
      <c r="G266" s="24"/>
      <c r="I266" s="24"/>
      <c r="M266" s="24"/>
      <c r="O266" s="24"/>
      <c r="P266" s="24"/>
      <c r="R266" s="24"/>
      <c r="U266" s="24"/>
      <c r="W266" s="24"/>
      <c r="Y266" s="24"/>
      <c r="AK266" s="24"/>
      <c r="AL266" s="26"/>
      <c r="AM266" s="26"/>
      <c r="AN266" s="26"/>
      <c r="AO266" s="26"/>
      <c r="AP266" s="26"/>
      <c r="AQ266" s="29"/>
      <c r="AR266" s="29"/>
      <c r="AS266" s="29"/>
      <c r="AT266" s="29"/>
    </row>
    <row r="267" ht="15.75" customHeight="1">
      <c r="G267" s="24"/>
      <c r="I267" s="24"/>
      <c r="M267" s="24"/>
      <c r="O267" s="24"/>
      <c r="P267" s="24"/>
      <c r="R267" s="24"/>
      <c r="U267" s="24"/>
      <c r="W267" s="24"/>
      <c r="Y267" s="24"/>
      <c r="AK267" s="24"/>
      <c r="AL267" s="26"/>
      <c r="AM267" s="26"/>
      <c r="AN267" s="26"/>
      <c r="AO267" s="26"/>
      <c r="AP267" s="26"/>
      <c r="AQ267" s="29"/>
      <c r="AR267" s="29"/>
      <c r="AS267" s="29"/>
      <c r="AT267" s="29"/>
    </row>
    <row r="268" ht="15.75" customHeight="1">
      <c r="G268" s="24"/>
      <c r="I268" s="24"/>
      <c r="M268" s="24"/>
      <c r="O268" s="24"/>
      <c r="P268" s="24"/>
      <c r="R268" s="24"/>
      <c r="U268" s="24"/>
      <c r="W268" s="24"/>
      <c r="Y268" s="24"/>
      <c r="AK268" s="24"/>
      <c r="AL268" s="26"/>
      <c r="AM268" s="26"/>
      <c r="AN268" s="26"/>
      <c r="AO268" s="26"/>
      <c r="AP268" s="26"/>
      <c r="AQ268" s="29"/>
      <c r="AR268" s="29"/>
      <c r="AS268" s="29"/>
      <c r="AT268" s="29"/>
    </row>
    <row r="269" ht="15.75" customHeight="1">
      <c r="G269" s="24"/>
      <c r="I269" s="24"/>
      <c r="M269" s="24"/>
      <c r="O269" s="24"/>
      <c r="P269" s="24"/>
      <c r="R269" s="24"/>
      <c r="U269" s="24"/>
      <c r="W269" s="24"/>
      <c r="Y269" s="24"/>
      <c r="AK269" s="24"/>
      <c r="AL269" s="26"/>
      <c r="AM269" s="26"/>
      <c r="AN269" s="26"/>
      <c r="AO269" s="26"/>
      <c r="AP269" s="26"/>
      <c r="AQ269" s="29"/>
      <c r="AR269" s="29"/>
      <c r="AS269" s="29"/>
      <c r="AT269" s="29"/>
    </row>
    <row r="270" ht="15.75" customHeight="1">
      <c r="G270" s="24"/>
      <c r="I270" s="24"/>
      <c r="M270" s="24"/>
      <c r="O270" s="24"/>
      <c r="P270" s="24"/>
      <c r="R270" s="24"/>
      <c r="U270" s="24"/>
      <c r="W270" s="24"/>
      <c r="Y270" s="24"/>
      <c r="AK270" s="24"/>
      <c r="AL270" s="26"/>
      <c r="AM270" s="26"/>
      <c r="AN270" s="26"/>
      <c r="AO270" s="26"/>
      <c r="AP270" s="26"/>
      <c r="AQ270" s="29"/>
      <c r="AR270" s="29"/>
      <c r="AS270" s="29"/>
      <c r="AT270" s="29"/>
    </row>
    <row r="271" ht="15.75" customHeight="1">
      <c r="G271" s="24"/>
      <c r="I271" s="24"/>
      <c r="M271" s="24"/>
      <c r="O271" s="24"/>
      <c r="P271" s="24"/>
      <c r="R271" s="24"/>
      <c r="U271" s="24"/>
      <c r="W271" s="24"/>
      <c r="Y271" s="24"/>
      <c r="AK271" s="24"/>
      <c r="AL271" s="26"/>
      <c r="AM271" s="26"/>
      <c r="AN271" s="26"/>
      <c r="AO271" s="26"/>
      <c r="AP271" s="26"/>
      <c r="AQ271" s="29"/>
      <c r="AR271" s="29"/>
      <c r="AS271" s="29"/>
      <c r="AT271" s="29"/>
    </row>
    <row r="272" ht="15.75" customHeight="1">
      <c r="G272" s="24"/>
      <c r="I272" s="24"/>
      <c r="M272" s="24"/>
      <c r="O272" s="24"/>
      <c r="P272" s="24"/>
      <c r="R272" s="24"/>
      <c r="U272" s="24"/>
      <c r="W272" s="24"/>
      <c r="Y272" s="24"/>
      <c r="AK272" s="24"/>
      <c r="AL272" s="26"/>
      <c r="AM272" s="26"/>
      <c r="AN272" s="26"/>
      <c r="AO272" s="26"/>
      <c r="AP272" s="26"/>
      <c r="AQ272" s="29"/>
      <c r="AR272" s="29"/>
      <c r="AS272" s="29"/>
      <c r="AT272" s="29"/>
    </row>
    <row r="273" ht="15.75" customHeight="1">
      <c r="G273" s="24"/>
      <c r="I273" s="24"/>
      <c r="M273" s="24"/>
      <c r="O273" s="24"/>
      <c r="P273" s="24"/>
      <c r="R273" s="24"/>
      <c r="U273" s="24"/>
      <c r="W273" s="24"/>
      <c r="Y273" s="24"/>
      <c r="AK273" s="24"/>
      <c r="AL273" s="26"/>
      <c r="AM273" s="26"/>
      <c r="AN273" s="26"/>
      <c r="AO273" s="26"/>
      <c r="AP273" s="26"/>
      <c r="AQ273" s="29"/>
      <c r="AR273" s="29"/>
      <c r="AS273" s="29"/>
      <c r="AT273" s="29"/>
    </row>
    <row r="274" ht="15.75" customHeight="1">
      <c r="G274" s="24"/>
      <c r="I274" s="24"/>
      <c r="M274" s="24"/>
      <c r="O274" s="24"/>
      <c r="P274" s="24"/>
      <c r="R274" s="24"/>
      <c r="U274" s="24"/>
      <c r="W274" s="24"/>
      <c r="Y274" s="24"/>
      <c r="AK274" s="24"/>
      <c r="AL274" s="26"/>
      <c r="AM274" s="26"/>
      <c r="AN274" s="26"/>
      <c r="AO274" s="26"/>
      <c r="AP274" s="26"/>
      <c r="AQ274" s="29"/>
      <c r="AR274" s="29"/>
      <c r="AS274" s="29"/>
      <c r="AT274" s="29"/>
    </row>
    <row r="275" ht="15.75" customHeight="1">
      <c r="G275" s="24"/>
      <c r="I275" s="24"/>
      <c r="M275" s="24"/>
      <c r="O275" s="24"/>
      <c r="P275" s="24"/>
      <c r="R275" s="24"/>
      <c r="U275" s="24"/>
      <c r="W275" s="24"/>
      <c r="Y275" s="24"/>
      <c r="AK275" s="24"/>
      <c r="AL275" s="26"/>
      <c r="AM275" s="26"/>
      <c r="AN275" s="26"/>
      <c r="AO275" s="26"/>
      <c r="AP275" s="26"/>
      <c r="AQ275" s="29"/>
      <c r="AR275" s="29"/>
      <c r="AS275" s="29"/>
      <c r="AT275" s="29"/>
    </row>
    <row r="276" ht="15.75" customHeight="1">
      <c r="G276" s="24"/>
      <c r="I276" s="24"/>
      <c r="M276" s="24"/>
      <c r="O276" s="24"/>
      <c r="P276" s="24"/>
      <c r="R276" s="24"/>
      <c r="U276" s="24"/>
      <c r="W276" s="24"/>
      <c r="Y276" s="24"/>
      <c r="AK276" s="24"/>
      <c r="AL276" s="26"/>
      <c r="AM276" s="26"/>
      <c r="AN276" s="26"/>
      <c r="AO276" s="26"/>
      <c r="AP276" s="26"/>
      <c r="AQ276" s="29"/>
      <c r="AR276" s="29"/>
      <c r="AS276" s="29"/>
      <c r="AT276" s="29"/>
    </row>
    <row r="277" ht="15.75" customHeight="1">
      <c r="G277" s="24"/>
      <c r="I277" s="24"/>
      <c r="M277" s="24"/>
      <c r="O277" s="24"/>
      <c r="P277" s="24"/>
      <c r="R277" s="24"/>
      <c r="U277" s="24"/>
      <c r="W277" s="24"/>
      <c r="Y277" s="24"/>
      <c r="AK277" s="24"/>
      <c r="AL277" s="26"/>
      <c r="AM277" s="26"/>
      <c r="AN277" s="26"/>
      <c r="AO277" s="26"/>
      <c r="AP277" s="26"/>
      <c r="AQ277" s="29"/>
      <c r="AR277" s="29"/>
      <c r="AS277" s="29"/>
      <c r="AT277" s="29"/>
    </row>
    <row r="278" ht="15.75" customHeight="1">
      <c r="G278" s="24"/>
      <c r="I278" s="24"/>
      <c r="M278" s="24"/>
      <c r="O278" s="24"/>
      <c r="P278" s="24"/>
      <c r="R278" s="24"/>
      <c r="U278" s="24"/>
      <c r="W278" s="24"/>
      <c r="Y278" s="24"/>
      <c r="AK278" s="24"/>
      <c r="AL278" s="26"/>
      <c r="AM278" s="26"/>
      <c r="AN278" s="26"/>
      <c r="AO278" s="26"/>
      <c r="AP278" s="26"/>
      <c r="AQ278" s="29"/>
      <c r="AR278" s="29"/>
      <c r="AS278" s="29"/>
      <c r="AT278" s="29"/>
    </row>
    <row r="279" ht="15.75" customHeight="1">
      <c r="G279" s="24"/>
      <c r="I279" s="24"/>
      <c r="M279" s="24"/>
      <c r="O279" s="24"/>
      <c r="P279" s="24"/>
      <c r="R279" s="24"/>
      <c r="U279" s="24"/>
      <c r="W279" s="24"/>
      <c r="Y279" s="24"/>
      <c r="AK279" s="24"/>
      <c r="AL279" s="26"/>
      <c r="AM279" s="26"/>
      <c r="AN279" s="26"/>
      <c r="AO279" s="26"/>
      <c r="AP279" s="26"/>
      <c r="AQ279" s="29"/>
      <c r="AR279" s="29"/>
      <c r="AS279" s="29"/>
      <c r="AT279" s="29"/>
    </row>
    <row r="280" ht="15.75" customHeight="1">
      <c r="G280" s="24"/>
      <c r="I280" s="24"/>
      <c r="M280" s="24"/>
      <c r="O280" s="24"/>
      <c r="P280" s="24"/>
      <c r="R280" s="24"/>
      <c r="U280" s="24"/>
      <c r="W280" s="24"/>
      <c r="Y280" s="24"/>
      <c r="AK280" s="24"/>
      <c r="AL280" s="26"/>
      <c r="AM280" s="26"/>
      <c r="AN280" s="26"/>
      <c r="AO280" s="26"/>
      <c r="AP280" s="26"/>
      <c r="AQ280" s="29"/>
      <c r="AR280" s="29"/>
      <c r="AS280" s="29"/>
      <c r="AT280" s="29"/>
    </row>
    <row r="281" ht="15.75" customHeight="1">
      <c r="G281" s="24"/>
      <c r="I281" s="24"/>
      <c r="M281" s="24"/>
      <c r="O281" s="24"/>
      <c r="P281" s="24"/>
      <c r="R281" s="24"/>
      <c r="U281" s="24"/>
      <c r="W281" s="24"/>
      <c r="Y281" s="24"/>
      <c r="AK281" s="24"/>
      <c r="AL281" s="26"/>
      <c r="AM281" s="26"/>
      <c r="AN281" s="26"/>
      <c r="AO281" s="26"/>
      <c r="AP281" s="26"/>
      <c r="AQ281" s="29"/>
      <c r="AR281" s="29"/>
      <c r="AS281" s="29"/>
      <c r="AT281" s="29"/>
    </row>
    <row r="282" ht="15.75" customHeight="1">
      <c r="G282" s="24"/>
      <c r="I282" s="24"/>
      <c r="M282" s="24"/>
      <c r="O282" s="24"/>
      <c r="P282" s="24"/>
      <c r="R282" s="24"/>
      <c r="U282" s="24"/>
      <c r="W282" s="24"/>
      <c r="Y282" s="24"/>
      <c r="AK282" s="24"/>
      <c r="AL282" s="26"/>
      <c r="AM282" s="26"/>
      <c r="AN282" s="26"/>
      <c r="AO282" s="26"/>
      <c r="AP282" s="26"/>
      <c r="AQ282" s="29"/>
      <c r="AR282" s="29"/>
      <c r="AS282" s="29"/>
      <c r="AT282" s="29"/>
    </row>
    <row r="283" ht="15.75" customHeight="1">
      <c r="G283" s="24"/>
      <c r="I283" s="24"/>
      <c r="M283" s="24"/>
      <c r="O283" s="24"/>
      <c r="P283" s="24"/>
      <c r="R283" s="24"/>
      <c r="U283" s="24"/>
      <c r="W283" s="24"/>
      <c r="Y283" s="24"/>
      <c r="AK283" s="24"/>
      <c r="AL283" s="26"/>
      <c r="AM283" s="26"/>
      <c r="AN283" s="26"/>
      <c r="AO283" s="26"/>
      <c r="AP283" s="26"/>
      <c r="AQ283" s="29"/>
      <c r="AR283" s="29"/>
      <c r="AS283" s="29"/>
      <c r="AT283" s="29"/>
    </row>
    <row r="284" ht="15.75" customHeight="1">
      <c r="G284" s="24"/>
      <c r="I284" s="24"/>
      <c r="M284" s="24"/>
      <c r="O284" s="24"/>
      <c r="P284" s="24"/>
      <c r="R284" s="24"/>
      <c r="U284" s="24"/>
      <c r="W284" s="24"/>
      <c r="Y284" s="24"/>
      <c r="AK284" s="24"/>
      <c r="AL284" s="26"/>
      <c r="AM284" s="26"/>
      <c r="AN284" s="26"/>
      <c r="AO284" s="26"/>
      <c r="AP284" s="26"/>
      <c r="AQ284" s="29"/>
      <c r="AR284" s="29"/>
      <c r="AS284" s="29"/>
      <c r="AT284" s="29"/>
    </row>
    <row r="285" ht="15.75" customHeight="1">
      <c r="G285" s="24"/>
      <c r="I285" s="24"/>
      <c r="M285" s="24"/>
      <c r="O285" s="24"/>
      <c r="P285" s="24"/>
      <c r="R285" s="24"/>
      <c r="U285" s="24"/>
      <c r="W285" s="24"/>
      <c r="Y285" s="24"/>
      <c r="AK285" s="24"/>
      <c r="AL285" s="26"/>
      <c r="AM285" s="26"/>
      <c r="AN285" s="26"/>
      <c r="AO285" s="26"/>
      <c r="AP285" s="26"/>
      <c r="AQ285" s="29"/>
      <c r="AR285" s="29"/>
      <c r="AS285" s="29"/>
      <c r="AT285" s="29"/>
    </row>
    <row r="286" ht="15.75" customHeight="1">
      <c r="G286" s="24"/>
      <c r="I286" s="24"/>
      <c r="M286" s="24"/>
      <c r="O286" s="24"/>
      <c r="P286" s="24"/>
      <c r="R286" s="24"/>
      <c r="U286" s="24"/>
      <c r="W286" s="24"/>
      <c r="Y286" s="24"/>
      <c r="AK286" s="24"/>
      <c r="AL286" s="26"/>
      <c r="AM286" s="26"/>
      <c r="AN286" s="26"/>
      <c r="AO286" s="26"/>
      <c r="AP286" s="26"/>
      <c r="AQ286" s="29"/>
      <c r="AR286" s="29"/>
      <c r="AS286" s="29"/>
      <c r="AT286" s="29"/>
    </row>
    <row r="287" ht="15.75" customHeight="1">
      <c r="G287" s="24"/>
      <c r="I287" s="24"/>
      <c r="M287" s="24"/>
      <c r="O287" s="24"/>
      <c r="P287" s="24"/>
      <c r="R287" s="24"/>
      <c r="U287" s="24"/>
      <c r="W287" s="24"/>
      <c r="Y287" s="24"/>
      <c r="AK287" s="24"/>
      <c r="AL287" s="26"/>
      <c r="AM287" s="26"/>
      <c r="AN287" s="26"/>
      <c r="AO287" s="26"/>
      <c r="AP287" s="26"/>
      <c r="AQ287" s="29"/>
      <c r="AR287" s="29"/>
      <c r="AS287" s="29"/>
      <c r="AT287" s="29"/>
    </row>
    <row r="288" ht="15.75" customHeight="1">
      <c r="G288" s="24"/>
      <c r="I288" s="24"/>
      <c r="M288" s="24"/>
      <c r="O288" s="24"/>
      <c r="P288" s="24"/>
      <c r="R288" s="24"/>
      <c r="U288" s="24"/>
      <c r="W288" s="24"/>
      <c r="Y288" s="24"/>
      <c r="AK288" s="24"/>
      <c r="AL288" s="26"/>
      <c r="AM288" s="26"/>
      <c r="AN288" s="26"/>
      <c r="AO288" s="26"/>
      <c r="AP288" s="26"/>
      <c r="AQ288" s="29"/>
      <c r="AR288" s="29"/>
      <c r="AS288" s="29"/>
      <c r="AT288" s="29"/>
    </row>
    <row r="289" ht="15.75" customHeight="1">
      <c r="G289" s="24"/>
      <c r="I289" s="24"/>
      <c r="M289" s="24"/>
      <c r="O289" s="24"/>
      <c r="P289" s="24"/>
      <c r="R289" s="24"/>
      <c r="U289" s="24"/>
      <c r="W289" s="24"/>
      <c r="Y289" s="24"/>
      <c r="AK289" s="24"/>
      <c r="AL289" s="26"/>
      <c r="AM289" s="26"/>
      <c r="AN289" s="26"/>
      <c r="AO289" s="26"/>
      <c r="AP289" s="26"/>
      <c r="AQ289" s="29"/>
      <c r="AR289" s="29"/>
      <c r="AS289" s="29"/>
      <c r="AT289" s="29"/>
    </row>
    <row r="290" ht="15.75" customHeight="1">
      <c r="G290" s="24"/>
      <c r="I290" s="24"/>
      <c r="M290" s="24"/>
      <c r="O290" s="24"/>
      <c r="P290" s="24"/>
      <c r="R290" s="24"/>
      <c r="U290" s="24"/>
      <c r="W290" s="24"/>
      <c r="Y290" s="24"/>
      <c r="AK290" s="24"/>
      <c r="AL290" s="26"/>
      <c r="AM290" s="26"/>
      <c r="AN290" s="26"/>
      <c r="AO290" s="26"/>
      <c r="AP290" s="26"/>
      <c r="AQ290" s="29"/>
      <c r="AR290" s="29"/>
      <c r="AS290" s="29"/>
      <c r="AT290" s="29"/>
    </row>
    <row r="291" ht="15.75" customHeight="1">
      <c r="G291" s="24"/>
      <c r="I291" s="24"/>
      <c r="M291" s="24"/>
      <c r="O291" s="24"/>
      <c r="P291" s="24"/>
      <c r="R291" s="24"/>
      <c r="U291" s="24"/>
      <c r="W291" s="24"/>
      <c r="Y291" s="24"/>
      <c r="AK291" s="24"/>
      <c r="AL291" s="26"/>
      <c r="AM291" s="26"/>
      <c r="AN291" s="26"/>
      <c r="AO291" s="26"/>
      <c r="AP291" s="26"/>
      <c r="AQ291" s="29"/>
      <c r="AR291" s="29"/>
      <c r="AS291" s="29"/>
      <c r="AT291" s="29"/>
    </row>
    <row r="292" ht="15.75" customHeight="1">
      <c r="G292" s="24"/>
      <c r="I292" s="24"/>
      <c r="M292" s="24"/>
      <c r="O292" s="24"/>
      <c r="P292" s="24"/>
      <c r="R292" s="24"/>
      <c r="U292" s="24"/>
      <c r="W292" s="24"/>
      <c r="Y292" s="24"/>
      <c r="AK292" s="24"/>
      <c r="AL292" s="26"/>
      <c r="AM292" s="26"/>
      <c r="AN292" s="26"/>
      <c r="AO292" s="26"/>
      <c r="AP292" s="26"/>
      <c r="AQ292" s="29"/>
      <c r="AR292" s="29"/>
      <c r="AS292" s="29"/>
      <c r="AT292" s="29"/>
    </row>
    <row r="293" ht="15.75" customHeight="1">
      <c r="G293" s="24"/>
      <c r="I293" s="24"/>
      <c r="M293" s="24"/>
      <c r="O293" s="24"/>
      <c r="P293" s="24"/>
      <c r="R293" s="24"/>
      <c r="U293" s="24"/>
      <c r="W293" s="24"/>
      <c r="Y293" s="24"/>
      <c r="AK293" s="24"/>
      <c r="AL293" s="26"/>
      <c r="AM293" s="26"/>
      <c r="AN293" s="26"/>
      <c r="AO293" s="26"/>
      <c r="AP293" s="26"/>
      <c r="AQ293" s="29"/>
      <c r="AR293" s="29"/>
      <c r="AS293" s="29"/>
      <c r="AT293" s="29"/>
    </row>
    <row r="294" ht="15.75" customHeight="1">
      <c r="G294" s="24"/>
      <c r="I294" s="24"/>
      <c r="M294" s="24"/>
      <c r="O294" s="24"/>
      <c r="P294" s="24"/>
      <c r="R294" s="24"/>
      <c r="U294" s="24"/>
      <c r="W294" s="24"/>
      <c r="Y294" s="24"/>
      <c r="AK294" s="24"/>
      <c r="AL294" s="26"/>
      <c r="AM294" s="26"/>
      <c r="AN294" s="26"/>
      <c r="AO294" s="26"/>
      <c r="AP294" s="26"/>
      <c r="AQ294" s="29"/>
      <c r="AR294" s="29"/>
      <c r="AS294" s="29"/>
      <c r="AT294" s="29"/>
    </row>
    <row r="295" ht="15.75" customHeight="1">
      <c r="G295" s="24"/>
      <c r="I295" s="24"/>
      <c r="M295" s="24"/>
      <c r="O295" s="24"/>
      <c r="P295" s="24"/>
      <c r="R295" s="24"/>
      <c r="U295" s="24"/>
      <c r="W295" s="24"/>
      <c r="Y295" s="24"/>
      <c r="AK295" s="24"/>
      <c r="AL295" s="26"/>
      <c r="AM295" s="26"/>
      <c r="AN295" s="26"/>
      <c r="AO295" s="26"/>
      <c r="AP295" s="26"/>
      <c r="AQ295" s="29"/>
      <c r="AR295" s="29"/>
      <c r="AS295" s="29"/>
      <c r="AT295" s="29"/>
    </row>
    <row r="296" ht="15.75" customHeight="1">
      <c r="G296" s="24"/>
      <c r="I296" s="24"/>
      <c r="M296" s="24"/>
      <c r="O296" s="24"/>
      <c r="P296" s="24"/>
      <c r="R296" s="24"/>
      <c r="U296" s="24"/>
      <c r="W296" s="24"/>
      <c r="Y296" s="24"/>
      <c r="AK296" s="24"/>
      <c r="AL296" s="26"/>
      <c r="AM296" s="26"/>
      <c r="AN296" s="26"/>
      <c r="AO296" s="26"/>
      <c r="AP296" s="26"/>
      <c r="AQ296" s="29"/>
      <c r="AR296" s="29"/>
      <c r="AS296" s="29"/>
      <c r="AT296" s="29"/>
    </row>
    <row r="297" ht="15.75" customHeight="1">
      <c r="G297" s="24"/>
      <c r="I297" s="24"/>
      <c r="M297" s="24"/>
      <c r="O297" s="24"/>
      <c r="P297" s="24"/>
      <c r="R297" s="24"/>
      <c r="U297" s="24"/>
      <c r="W297" s="24"/>
      <c r="Y297" s="24"/>
      <c r="AK297" s="24"/>
      <c r="AL297" s="26"/>
      <c r="AM297" s="26"/>
      <c r="AN297" s="26"/>
      <c r="AO297" s="26"/>
      <c r="AP297" s="26"/>
      <c r="AQ297" s="29"/>
      <c r="AR297" s="29"/>
      <c r="AS297" s="29"/>
      <c r="AT297" s="29"/>
    </row>
    <row r="298" ht="15.75" customHeight="1">
      <c r="G298" s="24"/>
      <c r="I298" s="24"/>
      <c r="M298" s="24"/>
      <c r="O298" s="24"/>
      <c r="P298" s="24"/>
      <c r="R298" s="24"/>
      <c r="U298" s="24"/>
      <c r="W298" s="24"/>
      <c r="Y298" s="24"/>
      <c r="AK298" s="24"/>
      <c r="AL298" s="26"/>
      <c r="AM298" s="26"/>
      <c r="AN298" s="26"/>
      <c r="AO298" s="26"/>
      <c r="AP298" s="26"/>
      <c r="AQ298" s="29"/>
      <c r="AR298" s="29"/>
      <c r="AS298" s="29"/>
      <c r="AT298" s="29"/>
    </row>
    <row r="299" ht="15.75" customHeight="1">
      <c r="G299" s="24"/>
      <c r="I299" s="24"/>
      <c r="M299" s="24"/>
      <c r="O299" s="24"/>
      <c r="P299" s="24"/>
      <c r="R299" s="24"/>
      <c r="U299" s="24"/>
      <c r="W299" s="24"/>
      <c r="Y299" s="24"/>
      <c r="AK299" s="24"/>
      <c r="AL299" s="26"/>
      <c r="AM299" s="26"/>
      <c r="AN299" s="26"/>
      <c r="AO299" s="26"/>
      <c r="AP299" s="26"/>
      <c r="AQ299" s="29"/>
      <c r="AR299" s="29"/>
      <c r="AS299" s="29"/>
      <c r="AT299" s="29"/>
    </row>
    <row r="300" ht="15.75" customHeight="1">
      <c r="G300" s="24"/>
      <c r="I300" s="24"/>
      <c r="M300" s="24"/>
      <c r="O300" s="24"/>
      <c r="P300" s="24"/>
      <c r="R300" s="24"/>
      <c r="U300" s="24"/>
      <c r="W300" s="24"/>
      <c r="Y300" s="24"/>
      <c r="AK300" s="24"/>
      <c r="AL300" s="26"/>
      <c r="AM300" s="26"/>
      <c r="AN300" s="26"/>
      <c r="AO300" s="26"/>
      <c r="AP300" s="26"/>
      <c r="AQ300" s="29"/>
      <c r="AR300" s="29"/>
      <c r="AS300" s="29"/>
      <c r="AT300" s="29"/>
    </row>
    <row r="301" ht="15.75" customHeight="1">
      <c r="G301" s="24"/>
      <c r="I301" s="24"/>
      <c r="M301" s="24"/>
      <c r="O301" s="24"/>
      <c r="P301" s="24"/>
      <c r="R301" s="24"/>
      <c r="U301" s="24"/>
      <c r="W301" s="24"/>
      <c r="Y301" s="24"/>
      <c r="AK301" s="24"/>
      <c r="AL301" s="26"/>
      <c r="AM301" s="26"/>
      <c r="AN301" s="26"/>
      <c r="AO301" s="26"/>
      <c r="AP301" s="26"/>
      <c r="AQ301" s="29"/>
      <c r="AR301" s="29"/>
      <c r="AS301" s="29"/>
      <c r="AT301" s="29"/>
    </row>
    <row r="302" ht="15.75" customHeight="1">
      <c r="G302" s="24"/>
      <c r="I302" s="24"/>
      <c r="M302" s="24"/>
      <c r="O302" s="24"/>
      <c r="P302" s="24"/>
      <c r="R302" s="24"/>
      <c r="U302" s="24"/>
      <c r="W302" s="24"/>
      <c r="Y302" s="24"/>
      <c r="AK302" s="24"/>
      <c r="AL302" s="26"/>
      <c r="AM302" s="26"/>
      <c r="AN302" s="26"/>
      <c r="AO302" s="26"/>
      <c r="AP302" s="26"/>
      <c r="AQ302" s="29"/>
      <c r="AR302" s="29"/>
      <c r="AS302" s="29"/>
      <c r="AT302" s="29"/>
    </row>
    <row r="303" ht="15.75" customHeight="1">
      <c r="G303" s="24"/>
      <c r="I303" s="24"/>
      <c r="M303" s="24"/>
      <c r="O303" s="24"/>
      <c r="P303" s="24"/>
      <c r="R303" s="24"/>
      <c r="U303" s="24"/>
      <c r="W303" s="24"/>
      <c r="Y303" s="24"/>
      <c r="AK303" s="24"/>
      <c r="AL303" s="26"/>
      <c r="AM303" s="26"/>
      <c r="AN303" s="26"/>
      <c r="AO303" s="26"/>
      <c r="AP303" s="26"/>
      <c r="AQ303" s="29"/>
      <c r="AR303" s="29"/>
      <c r="AS303" s="29"/>
      <c r="AT303" s="29"/>
    </row>
    <row r="304" ht="15.75" customHeight="1">
      <c r="G304" s="24"/>
      <c r="I304" s="24"/>
      <c r="M304" s="24"/>
      <c r="O304" s="24"/>
      <c r="P304" s="24"/>
      <c r="R304" s="24"/>
      <c r="U304" s="24"/>
      <c r="W304" s="24"/>
      <c r="Y304" s="24"/>
      <c r="AK304" s="24"/>
      <c r="AL304" s="26"/>
      <c r="AM304" s="26"/>
      <c r="AN304" s="26"/>
      <c r="AO304" s="26"/>
      <c r="AP304" s="26"/>
      <c r="AQ304" s="29"/>
      <c r="AR304" s="29"/>
      <c r="AS304" s="29"/>
      <c r="AT304" s="29"/>
    </row>
    <row r="305" ht="15.75" customHeight="1">
      <c r="G305" s="24"/>
      <c r="I305" s="24"/>
      <c r="M305" s="24"/>
      <c r="O305" s="24"/>
      <c r="P305" s="24"/>
      <c r="R305" s="24"/>
      <c r="U305" s="24"/>
      <c r="W305" s="24"/>
      <c r="Y305" s="24"/>
      <c r="AK305" s="24"/>
      <c r="AL305" s="26"/>
      <c r="AM305" s="26"/>
      <c r="AN305" s="26"/>
      <c r="AO305" s="26"/>
      <c r="AP305" s="26"/>
      <c r="AQ305" s="29"/>
      <c r="AR305" s="29"/>
      <c r="AS305" s="29"/>
      <c r="AT305" s="29"/>
    </row>
    <row r="306" ht="15.75" customHeight="1">
      <c r="G306" s="24"/>
      <c r="I306" s="24"/>
      <c r="M306" s="24"/>
      <c r="O306" s="24"/>
      <c r="P306" s="24"/>
      <c r="R306" s="24"/>
      <c r="U306" s="24"/>
      <c r="W306" s="24"/>
      <c r="Y306" s="24"/>
      <c r="AK306" s="24"/>
      <c r="AL306" s="26"/>
      <c r="AM306" s="26"/>
      <c r="AN306" s="26"/>
      <c r="AO306" s="26"/>
      <c r="AP306" s="26"/>
      <c r="AQ306" s="29"/>
      <c r="AR306" s="29"/>
      <c r="AS306" s="29"/>
      <c r="AT306" s="29"/>
    </row>
    <row r="307" ht="15.75" customHeight="1">
      <c r="G307" s="24"/>
      <c r="I307" s="24"/>
      <c r="M307" s="24"/>
      <c r="O307" s="24"/>
      <c r="P307" s="24"/>
      <c r="R307" s="24"/>
      <c r="U307" s="24"/>
      <c r="W307" s="24"/>
      <c r="Y307" s="24"/>
      <c r="AK307" s="24"/>
      <c r="AL307" s="26"/>
      <c r="AM307" s="26"/>
      <c r="AN307" s="26"/>
      <c r="AO307" s="26"/>
      <c r="AP307" s="26"/>
      <c r="AQ307" s="29"/>
      <c r="AR307" s="29"/>
      <c r="AS307" s="29"/>
      <c r="AT307" s="29"/>
    </row>
    <row r="308" ht="15.75" customHeight="1">
      <c r="G308" s="24"/>
      <c r="I308" s="24"/>
      <c r="M308" s="24"/>
      <c r="O308" s="24"/>
      <c r="P308" s="24"/>
      <c r="R308" s="24"/>
      <c r="U308" s="24"/>
      <c r="W308" s="24"/>
      <c r="Y308" s="24"/>
      <c r="AK308" s="24"/>
      <c r="AL308" s="26"/>
      <c r="AM308" s="26"/>
      <c r="AN308" s="26"/>
      <c r="AO308" s="26"/>
      <c r="AP308" s="26"/>
      <c r="AQ308" s="29"/>
      <c r="AR308" s="29"/>
      <c r="AS308" s="29"/>
      <c r="AT308" s="29"/>
    </row>
    <row r="309" ht="15.75" customHeight="1">
      <c r="G309" s="24"/>
      <c r="I309" s="24"/>
      <c r="M309" s="24"/>
      <c r="O309" s="24"/>
      <c r="P309" s="24"/>
      <c r="R309" s="24"/>
      <c r="U309" s="24"/>
      <c r="W309" s="24"/>
      <c r="Y309" s="24"/>
      <c r="AK309" s="24"/>
      <c r="AL309" s="26"/>
      <c r="AM309" s="26"/>
      <c r="AN309" s="26"/>
      <c r="AO309" s="26"/>
      <c r="AP309" s="26"/>
      <c r="AQ309" s="29"/>
      <c r="AR309" s="29"/>
      <c r="AS309" s="29"/>
      <c r="AT309" s="29"/>
    </row>
    <row r="310" ht="15.75" customHeight="1">
      <c r="G310" s="24"/>
      <c r="I310" s="24"/>
      <c r="M310" s="24"/>
      <c r="O310" s="24"/>
      <c r="P310" s="24"/>
      <c r="R310" s="24"/>
      <c r="U310" s="24"/>
      <c r="W310" s="24"/>
      <c r="Y310" s="24"/>
      <c r="AK310" s="24"/>
      <c r="AL310" s="26"/>
      <c r="AM310" s="26"/>
      <c r="AN310" s="26"/>
      <c r="AO310" s="26"/>
      <c r="AP310" s="26"/>
      <c r="AQ310" s="29"/>
      <c r="AR310" s="29"/>
      <c r="AS310" s="29"/>
      <c r="AT310" s="29"/>
    </row>
    <row r="311" ht="15.75" customHeight="1">
      <c r="G311" s="24"/>
      <c r="I311" s="24"/>
      <c r="M311" s="24"/>
      <c r="O311" s="24"/>
      <c r="P311" s="24"/>
      <c r="R311" s="24"/>
      <c r="U311" s="24"/>
      <c r="W311" s="24"/>
      <c r="Y311" s="24"/>
      <c r="AK311" s="24"/>
      <c r="AL311" s="26"/>
      <c r="AM311" s="26"/>
      <c r="AN311" s="26"/>
      <c r="AO311" s="26"/>
      <c r="AP311" s="26"/>
      <c r="AQ311" s="29"/>
      <c r="AR311" s="29"/>
      <c r="AS311" s="29"/>
      <c r="AT311" s="29"/>
    </row>
    <row r="312" ht="15.75" customHeight="1">
      <c r="G312" s="24"/>
      <c r="I312" s="24"/>
      <c r="M312" s="24"/>
      <c r="O312" s="24"/>
      <c r="P312" s="24"/>
      <c r="R312" s="24"/>
      <c r="U312" s="24"/>
      <c r="W312" s="24"/>
      <c r="Y312" s="24"/>
      <c r="AK312" s="24"/>
      <c r="AL312" s="26"/>
      <c r="AM312" s="26"/>
      <c r="AN312" s="26"/>
      <c r="AO312" s="26"/>
      <c r="AP312" s="26"/>
      <c r="AQ312" s="29"/>
      <c r="AR312" s="29"/>
      <c r="AS312" s="29"/>
      <c r="AT312" s="29"/>
    </row>
    <row r="313" ht="15.75" customHeight="1">
      <c r="G313" s="24"/>
      <c r="I313" s="24"/>
      <c r="M313" s="24"/>
      <c r="O313" s="24"/>
      <c r="P313" s="24"/>
      <c r="R313" s="24"/>
      <c r="U313" s="24"/>
      <c r="W313" s="24"/>
      <c r="Y313" s="24"/>
      <c r="AK313" s="24"/>
      <c r="AL313" s="26"/>
      <c r="AM313" s="26"/>
      <c r="AN313" s="26"/>
      <c r="AO313" s="26"/>
      <c r="AP313" s="26"/>
      <c r="AQ313" s="29"/>
      <c r="AR313" s="29"/>
      <c r="AS313" s="29"/>
      <c r="AT313" s="29"/>
    </row>
    <row r="314" ht="15.75" customHeight="1">
      <c r="G314" s="24"/>
      <c r="I314" s="24"/>
      <c r="M314" s="24"/>
      <c r="O314" s="24"/>
      <c r="P314" s="24"/>
      <c r="R314" s="24"/>
      <c r="U314" s="24"/>
      <c r="W314" s="24"/>
      <c r="Y314" s="24"/>
      <c r="AK314" s="24"/>
      <c r="AL314" s="26"/>
      <c r="AM314" s="26"/>
      <c r="AN314" s="26"/>
      <c r="AO314" s="26"/>
      <c r="AP314" s="26"/>
      <c r="AQ314" s="29"/>
      <c r="AR314" s="29"/>
      <c r="AS314" s="29"/>
      <c r="AT314" s="29"/>
    </row>
    <row r="315" ht="15.75" customHeight="1">
      <c r="G315" s="24"/>
      <c r="I315" s="24"/>
      <c r="M315" s="24"/>
      <c r="O315" s="24"/>
      <c r="P315" s="24"/>
      <c r="R315" s="24"/>
      <c r="U315" s="24"/>
      <c r="W315" s="24"/>
      <c r="Y315" s="24"/>
      <c r="AK315" s="24"/>
      <c r="AL315" s="26"/>
      <c r="AM315" s="26"/>
      <c r="AN315" s="26"/>
      <c r="AO315" s="26"/>
      <c r="AP315" s="26"/>
      <c r="AQ315" s="29"/>
      <c r="AR315" s="29"/>
      <c r="AS315" s="29"/>
      <c r="AT315" s="29"/>
    </row>
    <row r="316" ht="15.75" customHeight="1">
      <c r="G316" s="24"/>
      <c r="I316" s="24"/>
      <c r="M316" s="24"/>
      <c r="O316" s="24"/>
      <c r="P316" s="24"/>
      <c r="R316" s="24"/>
      <c r="U316" s="24"/>
      <c r="W316" s="24"/>
      <c r="Y316" s="24"/>
      <c r="AK316" s="24"/>
      <c r="AL316" s="26"/>
      <c r="AM316" s="26"/>
      <c r="AN316" s="26"/>
      <c r="AO316" s="26"/>
      <c r="AP316" s="26"/>
      <c r="AQ316" s="29"/>
      <c r="AR316" s="29"/>
      <c r="AS316" s="29"/>
      <c r="AT316" s="29"/>
    </row>
    <row r="317" ht="15.75" customHeight="1">
      <c r="G317" s="24"/>
      <c r="I317" s="24"/>
      <c r="M317" s="24"/>
      <c r="O317" s="24"/>
      <c r="P317" s="24"/>
      <c r="R317" s="24"/>
      <c r="U317" s="24"/>
      <c r="W317" s="24"/>
      <c r="Y317" s="24"/>
      <c r="AK317" s="24"/>
      <c r="AL317" s="26"/>
      <c r="AM317" s="26"/>
      <c r="AN317" s="26"/>
      <c r="AO317" s="26"/>
      <c r="AP317" s="26"/>
      <c r="AQ317" s="29"/>
      <c r="AR317" s="29"/>
      <c r="AS317" s="29"/>
      <c r="AT317" s="29"/>
    </row>
    <row r="318" ht="15.75" customHeight="1">
      <c r="G318" s="24"/>
      <c r="I318" s="24"/>
      <c r="M318" s="24"/>
      <c r="O318" s="24"/>
      <c r="P318" s="24"/>
      <c r="R318" s="24"/>
      <c r="U318" s="24"/>
      <c r="W318" s="24"/>
      <c r="Y318" s="24"/>
      <c r="AK318" s="24"/>
      <c r="AL318" s="26"/>
      <c r="AM318" s="26"/>
      <c r="AN318" s="26"/>
      <c r="AO318" s="26"/>
      <c r="AP318" s="26"/>
      <c r="AQ318" s="29"/>
      <c r="AR318" s="29"/>
      <c r="AS318" s="29"/>
      <c r="AT318" s="29"/>
    </row>
    <row r="319" ht="15.75" customHeight="1">
      <c r="G319" s="24"/>
      <c r="I319" s="24"/>
      <c r="M319" s="24"/>
      <c r="O319" s="24"/>
      <c r="P319" s="24"/>
      <c r="R319" s="24"/>
      <c r="U319" s="24"/>
      <c r="W319" s="24"/>
      <c r="Y319" s="24"/>
      <c r="AK319" s="24"/>
      <c r="AL319" s="26"/>
      <c r="AM319" s="26"/>
      <c r="AN319" s="26"/>
      <c r="AO319" s="26"/>
      <c r="AP319" s="26"/>
      <c r="AQ319" s="29"/>
      <c r="AR319" s="29"/>
      <c r="AS319" s="29"/>
      <c r="AT319" s="29"/>
    </row>
    <row r="320" ht="15.75" customHeight="1">
      <c r="G320" s="24"/>
      <c r="I320" s="24"/>
      <c r="M320" s="24"/>
      <c r="O320" s="24"/>
      <c r="P320" s="24"/>
      <c r="R320" s="24"/>
      <c r="U320" s="24"/>
      <c r="W320" s="24"/>
      <c r="Y320" s="24"/>
      <c r="AK320" s="24"/>
      <c r="AL320" s="26"/>
      <c r="AM320" s="26"/>
      <c r="AN320" s="26"/>
      <c r="AO320" s="26"/>
      <c r="AP320" s="26"/>
      <c r="AQ320" s="29"/>
      <c r="AR320" s="29"/>
      <c r="AS320" s="29"/>
      <c r="AT320" s="29"/>
    </row>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sheetData>
  <mergeCells count="23">
    <mergeCell ref="A1:AJ1"/>
    <mergeCell ref="A2:E2"/>
    <mergeCell ref="A15:AI15"/>
    <mergeCell ref="A16:E16"/>
    <mergeCell ref="A32:AI32"/>
    <mergeCell ref="A33:E33"/>
    <mergeCell ref="A46:AI46"/>
    <mergeCell ref="A47:E47"/>
    <mergeCell ref="A60:AI60"/>
    <mergeCell ref="A61:E61"/>
    <mergeCell ref="O64:AJ64"/>
    <mergeCell ref="F74:G74"/>
    <mergeCell ref="A75:AI75"/>
    <mergeCell ref="A76:E76"/>
    <mergeCell ref="A112:E112"/>
    <mergeCell ref="A117:E117"/>
    <mergeCell ref="A91:AI91"/>
    <mergeCell ref="A92:E92"/>
    <mergeCell ref="A95:AI95"/>
    <mergeCell ref="A96:E96"/>
    <mergeCell ref="A101:AI101"/>
    <mergeCell ref="A102:E102"/>
    <mergeCell ref="A107:E107"/>
  </mergeCells>
  <conditionalFormatting sqref="AN4:AN120">
    <cfRule type="cellIs" dxfId="4" priority="1" operator="greaterThan">
      <formula>3</formula>
    </cfRule>
  </conditionalFormatting>
  <conditionalFormatting sqref="AO4:AR120">
    <cfRule type="cellIs" dxfId="4" priority="2" operator="greaterThan">
      <formula>0</formula>
    </cfRule>
  </conditionalFormatting>
  <conditionalFormatting sqref="AM4:AM120">
    <cfRule type="endsWith" dxfId="3" priority="3" operator="endsWith" text="NO CORRESPONDE FRANCO">
      <formula>RIGHT((AM4),LEN("NO CORRESPONDE FRANCO"))=("NO CORRESPONDE FRANCO")</formula>
    </cfRule>
  </conditionalFormatting>
  <printOptions/>
  <pageMargins bottom="0.75" footer="0.0" header="0.0" left="0.7" right="0.7" top="0.75"/>
  <pageSetup orientation="landscape"/>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3.0"/>
    <col customWidth="1" min="2" max="2" width="26.71"/>
    <col customWidth="1" hidden="1" min="3" max="3" width="9.86"/>
    <col customWidth="1" hidden="1" min="4" max="4" width="32.71"/>
    <col customWidth="1" hidden="1" min="5" max="5" width="16.71"/>
    <col customWidth="1" min="6" max="14" width="5.0"/>
    <col customWidth="1" min="15" max="24" width="3.43"/>
    <col customWidth="1" min="25" max="25" width="5.14"/>
    <col customWidth="1" min="26" max="26" width="4.43"/>
    <col customWidth="1" min="27" max="27" width="4.0"/>
    <col customWidth="1" min="28" max="28" width="4.29"/>
    <col customWidth="1" min="29" max="29" width="3.86"/>
    <col customWidth="1" min="30" max="30" width="6.57"/>
    <col customWidth="1" min="31" max="31" width="4.86"/>
    <col customWidth="1" min="32" max="32" width="4.14"/>
    <col customWidth="1" min="33" max="34" width="4.43"/>
    <col customWidth="1" min="35" max="35" width="3.86"/>
    <col customWidth="1" min="36" max="36" width="38.14"/>
    <col customWidth="1" min="37" max="37" width="40.0"/>
    <col customWidth="1" min="38" max="39" width="21.0"/>
    <col customWidth="1" min="40" max="40" width="3.71"/>
    <col customWidth="1" min="41" max="41" width="3.86"/>
    <col customWidth="1" min="42" max="42" width="4.29"/>
    <col customWidth="1" min="43" max="43" width="4.14"/>
    <col customWidth="1" min="44" max="44" width="3.29"/>
    <col customWidth="1" hidden="1" min="45" max="45" width="21.0"/>
    <col customWidth="1" min="46" max="47" width="21.0"/>
  </cols>
  <sheetData>
    <row r="1">
      <c r="A1" s="5"/>
      <c r="B1" s="2"/>
      <c r="C1" s="2"/>
      <c r="D1" s="2"/>
      <c r="E1" s="3"/>
      <c r="F1" s="7">
        <v>1.0</v>
      </c>
      <c r="G1" s="7">
        <v>2.0</v>
      </c>
      <c r="H1" s="7">
        <v>3.0</v>
      </c>
      <c r="I1" s="7">
        <v>4.0</v>
      </c>
      <c r="J1" s="7">
        <v>5.0</v>
      </c>
      <c r="K1" s="7">
        <v>6.0</v>
      </c>
      <c r="L1" s="7">
        <v>7.0</v>
      </c>
      <c r="M1" s="7">
        <v>8.0</v>
      </c>
      <c r="N1" s="7">
        <v>9.0</v>
      </c>
      <c r="O1" s="7">
        <v>10.0</v>
      </c>
      <c r="P1" s="7">
        <v>11.0</v>
      </c>
      <c r="Q1" s="7">
        <v>12.0</v>
      </c>
      <c r="R1" s="7">
        <v>13.0</v>
      </c>
      <c r="S1" s="7">
        <v>14.0</v>
      </c>
      <c r="T1" s="7">
        <v>15.0</v>
      </c>
      <c r="U1" s="7">
        <v>16.0</v>
      </c>
      <c r="V1" s="7">
        <v>17.0</v>
      </c>
      <c r="W1" s="7">
        <v>18.0</v>
      </c>
      <c r="X1" s="7">
        <v>19.0</v>
      </c>
      <c r="Y1" s="7">
        <v>20.0</v>
      </c>
      <c r="Z1" s="7">
        <v>21.0</v>
      </c>
      <c r="AA1" s="7">
        <v>22.0</v>
      </c>
      <c r="AB1" s="7">
        <v>23.0</v>
      </c>
      <c r="AC1" s="10">
        <v>24.0</v>
      </c>
      <c r="AD1" s="7">
        <v>25.0</v>
      </c>
      <c r="AE1" s="7">
        <v>26.0</v>
      </c>
      <c r="AF1" s="7">
        <v>27.0</v>
      </c>
      <c r="AG1" s="7">
        <v>28.0</v>
      </c>
      <c r="AH1" s="7">
        <v>29.0</v>
      </c>
      <c r="AI1" s="7">
        <v>30.0</v>
      </c>
      <c r="AJ1" s="7">
        <v>31.0</v>
      </c>
      <c r="AK1" s="13"/>
      <c r="AL1" s="13"/>
      <c r="AM1" s="15"/>
      <c r="AN1" s="15"/>
      <c r="AO1" s="15"/>
      <c r="AP1" s="15"/>
      <c r="AQ1" s="15"/>
      <c r="AR1" s="15"/>
      <c r="AS1" s="15"/>
      <c r="AT1" s="15"/>
      <c r="AU1" s="15"/>
    </row>
    <row r="2">
      <c r="A2" s="17" t="s">
        <v>4</v>
      </c>
      <c r="B2" s="18" t="s">
        <v>5</v>
      </c>
      <c r="C2" s="20" t="s">
        <v>6</v>
      </c>
      <c r="D2" s="22" t="s">
        <v>7</v>
      </c>
      <c r="E2" s="20" t="s">
        <v>8</v>
      </c>
      <c r="F2" s="7" t="s">
        <v>9</v>
      </c>
      <c r="G2" s="7" t="s">
        <v>10</v>
      </c>
      <c r="H2" s="7" t="s">
        <v>11</v>
      </c>
      <c r="I2" s="7" t="s">
        <v>12</v>
      </c>
      <c r="J2" s="7" t="s">
        <v>12</v>
      </c>
      <c r="K2" s="7" t="s">
        <v>13</v>
      </c>
      <c r="L2" s="7" t="s">
        <v>15</v>
      </c>
      <c r="M2" s="7" t="s">
        <v>9</v>
      </c>
      <c r="N2" s="7" t="s">
        <v>10</v>
      </c>
      <c r="O2" s="7" t="s">
        <v>11</v>
      </c>
      <c r="P2" s="7" t="s">
        <v>12</v>
      </c>
      <c r="Q2" s="7" t="s">
        <v>12</v>
      </c>
      <c r="R2" s="7" t="s">
        <v>13</v>
      </c>
      <c r="S2" s="7" t="s">
        <v>15</v>
      </c>
      <c r="T2" s="7" t="s">
        <v>9</v>
      </c>
      <c r="U2" s="7" t="s">
        <v>10</v>
      </c>
      <c r="V2" s="7" t="s">
        <v>11</v>
      </c>
      <c r="W2" s="7" t="s">
        <v>12</v>
      </c>
      <c r="X2" s="7" t="s">
        <v>12</v>
      </c>
      <c r="Y2" s="7" t="s">
        <v>13</v>
      </c>
      <c r="Z2" s="7" t="s">
        <v>15</v>
      </c>
      <c r="AA2" s="7" t="s">
        <v>9</v>
      </c>
      <c r="AB2" s="7" t="s">
        <v>10</v>
      </c>
      <c r="AC2" s="10" t="s">
        <v>11</v>
      </c>
      <c r="AD2" s="7" t="s">
        <v>12</v>
      </c>
      <c r="AE2" s="7" t="s">
        <v>12</v>
      </c>
      <c r="AF2" s="7" t="s">
        <v>13</v>
      </c>
      <c r="AG2" s="27" t="s">
        <v>15</v>
      </c>
      <c r="AH2" s="7" t="s">
        <v>9</v>
      </c>
      <c r="AI2" s="7" t="s">
        <v>10</v>
      </c>
      <c r="AJ2" s="7" t="s">
        <v>11</v>
      </c>
      <c r="AK2" s="13"/>
      <c r="AL2" s="28"/>
      <c r="AM2" s="31" t="s">
        <v>16</v>
      </c>
      <c r="AN2" s="31" t="s">
        <v>18</v>
      </c>
      <c r="AO2" s="31" t="s">
        <v>19</v>
      </c>
      <c r="AP2" s="31" t="s">
        <v>20</v>
      </c>
      <c r="AQ2" s="31" t="s">
        <v>21</v>
      </c>
      <c r="AR2" s="33" t="s">
        <v>22</v>
      </c>
      <c r="AS2" s="36"/>
      <c r="AT2" s="36"/>
      <c r="AU2" s="36"/>
    </row>
    <row r="3">
      <c r="A3" s="38" t="s">
        <v>23</v>
      </c>
      <c r="B3" s="39" t="s">
        <v>24</v>
      </c>
      <c r="C3" s="40">
        <v>11675.0</v>
      </c>
      <c r="D3" s="42" t="s">
        <v>25</v>
      </c>
      <c r="E3" s="40" t="s">
        <v>26</v>
      </c>
      <c r="F3" s="44"/>
      <c r="G3" s="45" t="s">
        <v>27</v>
      </c>
      <c r="H3" s="45" t="s">
        <v>27</v>
      </c>
      <c r="I3" s="44"/>
      <c r="J3" s="44"/>
      <c r="K3" s="44"/>
      <c r="L3" s="45" t="s">
        <v>27</v>
      </c>
      <c r="M3" s="44"/>
      <c r="N3" s="45" t="s">
        <v>27</v>
      </c>
      <c r="O3" s="45" t="s">
        <v>27</v>
      </c>
      <c r="P3" s="44"/>
      <c r="Q3" s="44"/>
      <c r="R3" s="45" t="s">
        <v>27</v>
      </c>
      <c r="S3" s="45" t="s">
        <v>27</v>
      </c>
      <c r="T3" s="44"/>
      <c r="U3" s="44"/>
      <c r="V3" s="44"/>
      <c r="W3" s="44"/>
      <c r="X3" s="44"/>
      <c r="Y3" s="45" t="s">
        <v>27</v>
      </c>
      <c r="Z3" s="45" t="s">
        <v>27</v>
      </c>
      <c r="AA3" s="44"/>
      <c r="AB3" s="44"/>
      <c r="AC3" s="44"/>
      <c r="AD3" s="45" t="s">
        <v>27</v>
      </c>
      <c r="AE3" s="44"/>
      <c r="AF3" s="45"/>
      <c r="AG3" s="44"/>
      <c r="AH3" s="44"/>
      <c r="AI3" s="44"/>
      <c r="AJ3" s="45" t="s">
        <v>27</v>
      </c>
      <c r="AK3" s="46" t="s">
        <v>28</v>
      </c>
      <c r="AL3" s="48"/>
      <c r="AM3" s="60" t="str">
        <f t="shared" ref="AM3:AM14" si="1">IFS(AN3&gt;3,"NO CORRESPONDE FRANCO",AS3&gt;0,"NO CORRESPONDE FRANCO",AS3=0,"")</f>
        <v/>
      </c>
      <c r="AN3" s="60">
        <f t="shared" ref="AN3:AN14" si="2">COUNTIF($F3:$AJ3,"LLT")</f>
        <v>0</v>
      </c>
      <c r="AO3" s="60">
        <f t="shared" ref="AO3:AO14" si="3">COUNTIF($F3:$AJ3,"LM")</f>
        <v>0</v>
      </c>
      <c r="AP3" s="60">
        <f t="shared" ref="AP3:AP14" si="4">COUNTIF($F3:$AJ3,"FaC")</f>
        <v>0</v>
      </c>
      <c r="AQ3" s="60">
        <f t="shared" ref="AQ3:AQ14" si="5">COUNTIF($F3:$AJ3,"LxE")</f>
        <v>0</v>
      </c>
      <c r="AR3" s="60">
        <f t="shared" ref="AR3:AR14" si="6">COUNTIF($F3:$AJ3,"LA")</f>
        <v>0</v>
      </c>
      <c r="AS3" s="60">
        <f t="shared" ref="AS3:AS14" si="7">SUM(AO3:AR3)</f>
        <v>0</v>
      </c>
      <c r="AT3" s="36"/>
      <c r="AU3" s="36"/>
    </row>
    <row r="4">
      <c r="A4" s="38" t="s">
        <v>33</v>
      </c>
      <c r="B4" s="63" t="s">
        <v>45</v>
      </c>
      <c r="C4" s="40">
        <v>4.4868083E7</v>
      </c>
      <c r="D4" s="80" t="s">
        <v>48</v>
      </c>
      <c r="E4" s="40" t="s">
        <v>50</v>
      </c>
      <c r="F4" s="45" t="s">
        <v>27</v>
      </c>
      <c r="G4" s="45" t="s">
        <v>27</v>
      </c>
      <c r="H4" s="45" t="s">
        <v>27</v>
      </c>
      <c r="I4" s="44"/>
      <c r="J4" s="44"/>
      <c r="K4" s="44"/>
      <c r="L4" s="45" t="s">
        <v>27</v>
      </c>
      <c r="M4" s="45" t="s">
        <v>18</v>
      </c>
      <c r="N4" s="45" t="s">
        <v>27</v>
      </c>
      <c r="O4" s="85" t="s">
        <v>32</v>
      </c>
      <c r="P4" s="44"/>
      <c r="Q4" s="44"/>
      <c r="R4" s="45" t="s">
        <v>27</v>
      </c>
      <c r="S4" s="45" t="s">
        <v>18</v>
      </c>
      <c r="T4" s="45" t="s">
        <v>27</v>
      </c>
      <c r="U4" s="44"/>
      <c r="V4" s="44"/>
      <c r="W4" s="44"/>
      <c r="X4" s="45" t="s">
        <v>27</v>
      </c>
      <c r="Y4" s="45" t="s">
        <v>18</v>
      </c>
      <c r="Z4" s="45" t="s">
        <v>18</v>
      </c>
      <c r="AA4" s="45" t="s">
        <v>27</v>
      </c>
      <c r="AB4" s="44"/>
      <c r="AC4" s="44"/>
      <c r="AD4" s="45" t="s">
        <v>27</v>
      </c>
      <c r="AE4" s="45" t="s">
        <v>27</v>
      </c>
      <c r="AF4" s="45" t="s">
        <v>27</v>
      </c>
      <c r="AG4" s="44"/>
      <c r="AH4" s="44"/>
      <c r="AI4" s="44"/>
      <c r="AJ4" s="45" t="s">
        <v>27</v>
      </c>
      <c r="AK4" s="48"/>
      <c r="AL4" s="48"/>
      <c r="AM4" s="60" t="str">
        <f t="shared" si="1"/>
        <v>NO CORRESPONDE FRANCO</v>
      </c>
      <c r="AN4" s="60">
        <f t="shared" si="2"/>
        <v>4</v>
      </c>
      <c r="AO4" s="60">
        <f t="shared" si="3"/>
        <v>0</v>
      </c>
      <c r="AP4" s="60">
        <f t="shared" si="4"/>
        <v>0</v>
      </c>
      <c r="AQ4" s="60">
        <f t="shared" si="5"/>
        <v>0</v>
      </c>
      <c r="AR4" s="60">
        <f t="shared" si="6"/>
        <v>0</v>
      </c>
      <c r="AS4" s="60">
        <f t="shared" si="7"/>
        <v>0</v>
      </c>
      <c r="AT4" s="82"/>
      <c r="AU4" s="82"/>
    </row>
    <row r="5">
      <c r="A5" s="38" t="s">
        <v>53</v>
      </c>
      <c r="B5" s="39" t="s">
        <v>54</v>
      </c>
      <c r="C5" s="88">
        <v>2.8460124E7</v>
      </c>
      <c r="D5" s="42" t="s">
        <v>55</v>
      </c>
      <c r="E5" s="89" t="s">
        <v>56</v>
      </c>
      <c r="F5" s="45" t="s">
        <v>27</v>
      </c>
      <c r="G5" s="45" t="s">
        <v>27</v>
      </c>
      <c r="H5" s="45" t="s">
        <v>27</v>
      </c>
      <c r="I5" s="44"/>
      <c r="J5" s="44"/>
      <c r="K5" s="44"/>
      <c r="L5" s="45" t="s">
        <v>27</v>
      </c>
      <c r="M5" s="45" t="s">
        <v>27</v>
      </c>
      <c r="N5" s="45" t="s">
        <v>27</v>
      </c>
      <c r="O5" s="85" t="s">
        <v>32</v>
      </c>
      <c r="P5" s="44"/>
      <c r="Q5" s="44"/>
      <c r="R5" s="45" t="s">
        <v>27</v>
      </c>
      <c r="S5" s="45" t="s">
        <v>27</v>
      </c>
      <c r="T5" s="45" t="s">
        <v>27</v>
      </c>
      <c r="U5" s="44"/>
      <c r="V5" s="44"/>
      <c r="W5" s="44"/>
      <c r="X5" s="85"/>
      <c r="Y5" s="45" t="s">
        <v>27</v>
      </c>
      <c r="Z5" s="91" t="s">
        <v>19</v>
      </c>
      <c r="AA5" s="91" t="s">
        <v>19</v>
      </c>
      <c r="AB5" s="44"/>
      <c r="AC5" s="44"/>
      <c r="AD5" s="91" t="s">
        <v>19</v>
      </c>
      <c r="AE5" s="91" t="s">
        <v>19</v>
      </c>
      <c r="AF5" s="91" t="s">
        <v>19</v>
      </c>
      <c r="AG5" s="44"/>
      <c r="AH5" s="44"/>
      <c r="AI5" s="44"/>
      <c r="AJ5" s="45" t="s">
        <v>27</v>
      </c>
      <c r="AK5" s="48"/>
      <c r="AL5" s="48"/>
      <c r="AM5" s="60" t="str">
        <f t="shared" si="1"/>
        <v>NO CORRESPONDE FRANCO</v>
      </c>
      <c r="AN5" s="60">
        <f t="shared" si="2"/>
        <v>0</v>
      </c>
      <c r="AO5" s="60">
        <f t="shared" si="3"/>
        <v>5</v>
      </c>
      <c r="AP5" s="60">
        <f t="shared" si="4"/>
        <v>0</v>
      </c>
      <c r="AQ5" s="60">
        <f t="shared" si="5"/>
        <v>0</v>
      </c>
      <c r="AR5" s="60">
        <f t="shared" si="6"/>
        <v>0</v>
      </c>
      <c r="AS5" s="60">
        <f t="shared" si="7"/>
        <v>5</v>
      </c>
      <c r="AT5" s="82"/>
      <c r="AU5" s="82"/>
    </row>
    <row r="6">
      <c r="A6" s="38" t="s">
        <v>33</v>
      </c>
      <c r="B6" s="39" t="s">
        <v>64</v>
      </c>
      <c r="C6" s="40">
        <v>2.5980677E7</v>
      </c>
      <c r="D6" s="39" t="s">
        <v>65</v>
      </c>
      <c r="E6" s="40">
        <v>2.204716048E9</v>
      </c>
      <c r="F6" s="45" t="s">
        <v>27</v>
      </c>
      <c r="G6" s="45" t="s">
        <v>27</v>
      </c>
      <c r="H6" s="45" t="s">
        <v>18</v>
      </c>
      <c r="I6" s="44"/>
      <c r="J6" s="44"/>
      <c r="K6" s="44"/>
      <c r="L6" s="45" t="s">
        <v>18</v>
      </c>
      <c r="M6" s="45" t="s">
        <v>27</v>
      </c>
      <c r="N6" s="45" t="s">
        <v>18</v>
      </c>
      <c r="O6" s="45" t="s">
        <v>18</v>
      </c>
      <c r="P6" s="44"/>
      <c r="Q6" s="44"/>
      <c r="R6" s="45" t="s">
        <v>27</v>
      </c>
      <c r="S6" s="45" t="s">
        <v>27</v>
      </c>
      <c r="T6" s="45" t="s">
        <v>27</v>
      </c>
      <c r="U6" s="44"/>
      <c r="V6" s="44"/>
      <c r="W6" s="44"/>
      <c r="X6" s="45" t="s">
        <v>27</v>
      </c>
      <c r="Y6" s="45" t="s">
        <v>27</v>
      </c>
      <c r="Z6" s="45" t="s">
        <v>27</v>
      </c>
      <c r="AA6" s="45" t="s">
        <v>27</v>
      </c>
      <c r="AB6" s="44"/>
      <c r="AC6" s="44"/>
      <c r="AD6" s="45" t="s">
        <v>27</v>
      </c>
      <c r="AE6" s="45" t="s">
        <v>27</v>
      </c>
      <c r="AF6" s="45" t="s">
        <v>27</v>
      </c>
      <c r="AG6" s="44"/>
      <c r="AH6" s="44"/>
      <c r="AI6" s="44"/>
      <c r="AJ6" s="45" t="s">
        <v>27</v>
      </c>
      <c r="AK6" s="48"/>
      <c r="AL6" s="48"/>
      <c r="AM6" s="60" t="str">
        <f t="shared" si="1"/>
        <v>NO CORRESPONDE FRANCO</v>
      </c>
      <c r="AN6" s="60">
        <f t="shared" si="2"/>
        <v>4</v>
      </c>
      <c r="AO6" s="60">
        <f t="shared" si="3"/>
        <v>0</v>
      </c>
      <c r="AP6" s="60">
        <f t="shared" si="4"/>
        <v>0</v>
      </c>
      <c r="AQ6" s="60">
        <f t="shared" si="5"/>
        <v>0</v>
      </c>
      <c r="AR6" s="60">
        <f t="shared" si="6"/>
        <v>0</v>
      </c>
      <c r="AS6" s="60">
        <f t="shared" si="7"/>
        <v>0</v>
      </c>
      <c r="AT6" s="82"/>
      <c r="AU6" s="82"/>
    </row>
    <row r="7">
      <c r="A7" s="38" t="s">
        <v>33</v>
      </c>
      <c r="B7" s="101" t="s">
        <v>69</v>
      </c>
      <c r="C7" s="40">
        <v>4.5012085E7</v>
      </c>
      <c r="D7" s="39" t="s">
        <v>71</v>
      </c>
      <c r="E7" s="40" t="s">
        <v>73</v>
      </c>
      <c r="F7" s="103" t="s">
        <v>18</v>
      </c>
      <c r="G7" s="45" t="s">
        <v>27</v>
      </c>
      <c r="H7" s="45" t="s">
        <v>18</v>
      </c>
      <c r="I7" s="44"/>
      <c r="J7" s="44"/>
      <c r="K7" s="44"/>
      <c r="L7" s="45" t="s">
        <v>18</v>
      </c>
      <c r="M7" s="45" t="s">
        <v>18</v>
      </c>
      <c r="N7" s="45" t="s">
        <v>18</v>
      </c>
      <c r="O7" s="45" t="s">
        <v>18</v>
      </c>
      <c r="P7" s="44"/>
      <c r="Q7" s="44"/>
      <c r="R7" s="45" t="s">
        <v>18</v>
      </c>
      <c r="S7" s="45" t="s">
        <v>18</v>
      </c>
      <c r="T7" s="45" t="s">
        <v>18</v>
      </c>
      <c r="U7" s="44"/>
      <c r="V7" s="44"/>
      <c r="W7" s="44"/>
      <c r="X7" s="45" t="s">
        <v>18</v>
      </c>
      <c r="Y7" s="91" t="s">
        <v>19</v>
      </c>
      <c r="Z7" s="45" t="s">
        <v>18</v>
      </c>
      <c r="AA7" s="103" t="s">
        <v>18</v>
      </c>
      <c r="AB7" s="44"/>
      <c r="AC7" s="44"/>
      <c r="AD7" s="45" t="s">
        <v>18</v>
      </c>
      <c r="AE7" s="45" t="s">
        <v>18</v>
      </c>
      <c r="AF7" s="45" t="s">
        <v>18</v>
      </c>
      <c r="AG7" s="44"/>
      <c r="AH7" s="44"/>
      <c r="AI7" s="44"/>
      <c r="AJ7" s="45" t="s">
        <v>27</v>
      </c>
      <c r="AK7" s="48"/>
      <c r="AL7" s="48"/>
      <c r="AM7" s="60" t="str">
        <f t="shared" si="1"/>
        <v>NO CORRESPONDE FRANCO</v>
      </c>
      <c r="AN7" s="60">
        <f t="shared" si="2"/>
        <v>15</v>
      </c>
      <c r="AO7" s="60">
        <f t="shared" si="3"/>
        <v>1</v>
      </c>
      <c r="AP7" s="60">
        <f t="shared" si="4"/>
        <v>0</v>
      </c>
      <c r="AQ7" s="60">
        <f t="shared" si="5"/>
        <v>0</v>
      </c>
      <c r="AR7" s="60">
        <f t="shared" si="6"/>
        <v>0</v>
      </c>
      <c r="AS7" s="60">
        <f t="shared" si="7"/>
        <v>1</v>
      </c>
      <c r="AT7" s="82"/>
      <c r="AU7" s="82"/>
    </row>
    <row r="8">
      <c r="A8" s="38" t="s">
        <v>33</v>
      </c>
      <c r="B8" s="39" t="s">
        <v>81</v>
      </c>
      <c r="C8" s="40">
        <v>4.4884266E7</v>
      </c>
      <c r="D8" s="39" t="s">
        <v>82</v>
      </c>
      <c r="E8" s="40" t="s">
        <v>83</v>
      </c>
      <c r="F8" s="45" t="s">
        <v>27</v>
      </c>
      <c r="G8" s="45" t="s">
        <v>27</v>
      </c>
      <c r="H8" s="45" t="s">
        <v>18</v>
      </c>
      <c r="I8" s="44"/>
      <c r="J8" s="44"/>
      <c r="K8" s="44"/>
      <c r="L8" s="45" t="s">
        <v>27</v>
      </c>
      <c r="M8" s="113" t="s">
        <v>79</v>
      </c>
      <c r="N8" s="45" t="s">
        <v>18</v>
      </c>
      <c r="O8" s="45" t="s">
        <v>27</v>
      </c>
      <c r="P8" s="44"/>
      <c r="Q8" s="45" t="s">
        <v>27</v>
      </c>
      <c r="R8" s="45" t="s">
        <v>27</v>
      </c>
      <c r="S8" s="45" t="s">
        <v>27</v>
      </c>
      <c r="T8" s="45" t="s">
        <v>27</v>
      </c>
      <c r="U8" s="44"/>
      <c r="V8" s="45" t="s">
        <v>27</v>
      </c>
      <c r="W8" s="44"/>
      <c r="X8" s="45" t="s">
        <v>27</v>
      </c>
      <c r="Y8" s="45" t="s">
        <v>18</v>
      </c>
      <c r="Z8" s="45" t="s">
        <v>27</v>
      </c>
      <c r="AA8" s="70"/>
      <c r="AB8" s="44"/>
      <c r="AC8" s="44"/>
      <c r="AD8" s="45" t="s">
        <v>27</v>
      </c>
      <c r="AE8" s="45" t="s">
        <v>27</v>
      </c>
      <c r="AF8" s="45" t="s">
        <v>18</v>
      </c>
      <c r="AG8" s="44"/>
      <c r="AH8" s="44"/>
      <c r="AI8" s="44"/>
      <c r="AJ8" s="118" t="s">
        <v>79</v>
      </c>
      <c r="AK8" s="48"/>
      <c r="AL8" s="48"/>
      <c r="AM8" s="60" t="str">
        <f t="shared" si="1"/>
        <v>NO CORRESPONDE FRANCO</v>
      </c>
      <c r="AN8" s="60">
        <f t="shared" si="2"/>
        <v>4</v>
      </c>
      <c r="AO8" s="60">
        <f t="shared" si="3"/>
        <v>0</v>
      </c>
      <c r="AP8" s="60">
        <f t="shared" si="4"/>
        <v>0</v>
      </c>
      <c r="AQ8" s="60">
        <f t="shared" si="5"/>
        <v>0</v>
      </c>
      <c r="AR8" s="60">
        <f t="shared" si="6"/>
        <v>0</v>
      </c>
      <c r="AS8" s="60">
        <f t="shared" si="7"/>
        <v>0</v>
      </c>
      <c r="AT8" s="82"/>
      <c r="AU8" s="82"/>
    </row>
    <row r="9">
      <c r="A9" s="66" t="s">
        <v>33</v>
      </c>
      <c r="B9" s="67" t="s">
        <v>91</v>
      </c>
      <c r="C9" s="66">
        <v>3.4999122E7</v>
      </c>
      <c r="D9" s="68" t="s">
        <v>93</v>
      </c>
      <c r="E9" s="66" t="s">
        <v>94</v>
      </c>
      <c r="F9" s="45" t="s">
        <v>27</v>
      </c>
      <c r="G9" s="45" t="s">
        <v>27</v>
      </c>
      <c r="H9" s="45" t="s">
        <v>27</v>
      </c>
      <c r="I9" s="44"/>
      <c r="J9" s="44"/>
      <c r="K9" s="44"/>
      <c r="L9" s="45" t="s">
        <v>18</v>
      </c>
      <c r="M9" s="45" t="s">
        <v>27</v>
      </c>
      <c r="N9" s="45" t="s">
        <v>27</v>
      </c>
      <c r="O9" s="45" t="s">
        <v>27</v>
      </c>
      <c r="P9" s="44"/>
      <c r="Q9" s="44"/>
      <c r="R9" s="45" t="s">
        <v>27</v>
      </c>
      <c r="S9" s="45" t="s">
        <v>18</v>
      </c>
      <c r="T9" s="45" t="s">
        <v>27</v>
      </c>
      <c r="U9" s="44"/>
      <c r="V9" s="44"/>
      <c r="W9" s="44"/>
      <c r="X9" s="85" t="s">
        <v>32</v>
      </c>
      <c r="Y9" s="45" t="s">
        <v>18</v>
      </c>
      <c r="Z9" s="45" t="s">
        <v>27</v>
      </c>
      <c r="AA9" s="45" t="s">
        <v>27</v>
      </c>
      <c r="AB9" s="44"/>
      <c r="AC9" s="44"/>
      <c r="AD9" s="45" t="s">
        <v>27</v>
      </c>
      <c r="AE9" s="45" t="s">
        <v>27</v>
      </c>
      <c r="AF9" s="45" t="s">
        <v>27</v>
      </c>
      <c r="AG9" s="44"/>
      <c r="AH9" s="44"/>
      <c r="AI9" s="44"/>
      <c r="AJ9" s="45" t="s">
        <v>27</v>
      </c>
      <c r="AK9" s="48"/>
      <c r="AL9" s="48"/>
      <c r="AM9" s="60" t="str">
        <f t="shared" si="1"/>
        <v/>
      </c>
      <c r="AN9" s="60">
        <f t="shared" si="2"/>
        <v>3</v>
      </c>
      <c r="AO9" s="60">
        <f t="shared" si="3"/>
        <v>0</v>
      </c>
      <c r="AP9" s="60">
        <f t="shared" si="4"/>
        <v>0</v>
      </c>
      <c r="AQ9" s="60">
        <f t="shared" si="5"/>
        <v>0</v>
      </c>
      <c r="AR9" s="60">
        <f t="shared" si="6"/>
        <v>0</v>
      </c>
      <c r="AS9" s="60">
        <f t="shared" si="7"/>
        <v>0</v>
      </c>
      <c r="AT9" s="82"/>
      <c r="AU9" s="82"/>
    </row>
    <row r="10">
      <c r="A10" s="66" t="s">
        <v>33</v>
      </c>
      <c r="B10" s="67" t="s">
        <v>99</v>
      </c>
      <c r="C10" s="66">
        <v>4.6201746E7</v>
      </c>
      <c r="D10" s="68" t="s">
        <v>100</v>
      </c>
      <c r="E10" s="66" t="s">
        <v>101</v>
      </c>
      <c r="F10" s="103" t="s">
        <v>18</v>
      </c>
      <c r="G10" s="45" t="s">
        <v>27</v>
      </c>
      <c r="H10" s="45" t="s">
        <v>27</v>
      </c>
      <c r="I10" s="44"/>
      <c r="J10" s="44"/>
      <c r="K10" s="44"/>
      <c r="L10" s="124" t="s">
        <v>22</v>
      </c>
      <c r="M10" s="124" t="s">
        <v>22</v>
      </c>
      <c r="N10" s="124" t="s">
        <v>22</v>
      </c>
      <c r="O10" s="124" t="s">
        <v>22</v>
      </c>
      <c r="P10" s="124" t="s">
        <v>22</v>
      </c>
      <c r="Q10" s="124" t="s">
        <v>22</v>
      </c>
      <c r="R10" s="124" t="s">
        <v>22</v>
      </c>
      <c r="S10" s="85" t="s">
        <v>32</v>
      </c>
      <c r="T10" s="128" t="s">
        <v>79</v>
      </c>
      <c r="U10" s="44"/>
      <c r="V10" s="44"/>
      <c r="W10" s="44"/>
      <c r="X10" s="45" t="s">
        <v>18</v>
      </c>
      <c r="Y10" s="45" t="s">
        <v>27</v>
      </c>
      <c r="Z10" s="45" t="s">
        <v>27</v>
      </c>
      <c r="AA10" s="45" t="s">
        <v>27</v>
      </c>
      <c r="AB10" s="44"/>
      <c r="AC10" s="44"/>
      <c r="AD10" s="45" t="s">
        <v>27</v>
      </c>
      <c r="AE10" s="45" t="s">
        <v>27</v>
      </c>
      <c r="AF10" s="45" t="s">
        <v>18</v>
      </c>
      <c r="AG10" s="44"/>
      <c r="AH10" s="44"/>
      <c r="AI10" s="44"/>
      <c r="AJ10" s="45" t="s">
        <v>27</v>
      </c>
      <c r="AK10" s="48"/>
      <c r="AL10" s="48"/>
      <c r="AM10" s="60" t="str">
        <f t="shared" si="1"/>
        <v>NO CORRESPONDE FRANCO</v>
      </c>
      <c r="AN10" s="60">
        <f t="shared" si="2"/>
        <v>3</v>
      </c>
      <c r="AO10" s="60">
        <f t="shared" si="3"/>
        <v>0</v>
      </c>
      <c r="AP10" s="60">
        <f t="shared" si="4"/>
        <v>0</v>
      </c>
      <c r="AQ10" s="60">
        <f t="shared" si="5"/>
        <v>0</v>
      </c>
      <c r="AR10" s="60">
        <f t="shared" si="6"/>
        <v>7</v>
      </c>
      <c r="AS10" s="60">
        <f t="shared" si="7"/>
        <v>7</v>
      </c>
      <c r="AT10" s="82"/>
      <c r="AU10" s="82"/>
    </row>
    <row r="11">
      <c r="A11" s="66" t="s">
        <v>33</v>
      </c>
      <c r="B11" s="67" t="s">
        <v>111</v>
      </c>
      <c r="C11" s="66">
        <v>4.4101107E7</v>
      </c>
      <c r="D11" s="68" t="s">
        <v>112</v>
      </c>
      <c r="E11" s="66" t="s">
        <v>113</v>
      </c>
      <c r="F11" s="124" t="s">
        <v>22</v>
      </c>
      <c r="G11" s="124" t="s">
        <v>22</v>
      </c>
      <c r="H11" s="45" t="s">
        <v>27</v>
      </c>
      <c r="I11" s="44"/>
      <c r="J11" s="44"/>
      <c r="K11" s="44"/>
      <c r="L11" s="45" t="s">
        <v>27</v>
      </c>
      <c r="M11" s="45" t="s">
        <v>27</v>
      </c>
      <c r="N11" s="45" t="s">
        <v>27</v>
      </c>
      <c r="O11" s="45" t="s">
        <v>27</v>
      </c>
      <c r="P11" s="44"/>
      <c r="Q11" s="44"/>
      <c r="R11" s="45" t="s">
        <v>27</v>
      </c>
      <c r="S11" s="45" t="s">
        <v>27</v>
      </c>
      <c r="T11" s="45" t="s">
        <v>27</v>
      </c>
      <c r="U11" s="44"/>
      <c r="V11" s="44"/>
      <c r="W11" s="44"/>
      <c r="X11" s="45" t="s">
        <v>27</v>
      </c>
      <c r="Y11" s="45" t="s">
        <v>18</v>
      </c>
      <c r="Z11" s="45" t="s">
        <v>27</v>
      </c>
      <c r="AA11" s="45" t="s">
        <v>18</v>
      </c>
      <c r="AB11" s="44"/>
      <c r="AC11" s="44"/>
      <c r="AD11" s="128" t="s">
        <v>79</v>
      </c>
      <c r="AE11" s="45" t="s">
        <v>27</v>
      </c>
      <c r="AF11" s="45" t="s">
        <v>18</v>
      </c>
      <c r="AG11" s="44"/>
      <c r="AH11" s="45" t="s">
        <v>18</v>
      </c>
      <c r="AI11" s="44"/>
      <c r="AJ11" s="45" t="s">
        <v>27</v>
      </c>
      <c r="AK11" s="48"/>
      <c r="AL11" s="48"/>
      <c r="AM11" s="60" t="str">
        <f t="shared" si="1"/>
        <v>NO CORRESPONDE FRANCO</v>
      </c>
      <c r="AN11" s="60">
        <f t="shared" si="2"/>
        <v>4</v>
      </c>
      <c r="AO11" s="60">
        <f t="shared" si="3"/>
        <v>0</v>
      </c>
      <c r="AP11" s="60">
        <f t="shared" si="4"/>
        <v>0</v>
      </c>
      <c r="AQ11" s="60">
        <f t="shared" si="5"/>
        <v>0</v>
      </c>
      <c r="AR11" s="60">
        <f t="shared" si="6"/>
        <v>2</v>
      </c>
      <c r="AS11" s="60">
        <f t="shared" si="7"/>
        <v>2</v>
      </c>
      <c r="AT11" s="82"/>
      <c r="AU11" s="82"/>
    </row>
    <row r="12">
      <c r="A12" s="66" t="s">
        <v>33</v>
      </c>
      <c r="B12" s="67" t="s">
        <v>114</v>
      </c>
      <c r="C12" s="66">
        <v>4.405204E7</v>
      </c>
      <c r="D12" s="68" t="s">
        <v>115</v>
      </c>
      <c r="E12" s="66" t="s">
        <v>116</v>
      </c>
      <c r="F12" s="103" t="s">
        <v>18</v>
      </c>
      <c r="G12" s="45" t="s">
        <v>27</v>
      </c>
      <c r="H12" s="45" t="s">
        <v>27</v>
      </c>
      <c r="I12" s="44"/>
      <c r="J12" s="44"/>
      <c r="K12" s="44"/>
      <c r="L12" s="45" t="s">
        <v>27</v>
      </c>
      <c r="M12" s="45" t="s">
        <v>18</v>
      </c>
      <c r="N12" s="45" t="s">
        <v>27</v>
      </c>
      <c r="O12" s="91" t="s">
        <v>19</v>
      </c>
      <c r="P12" s="44"/>
      <c r="Q12" s="44"/>
      <c r="R12" s="134" t="s">
        <v>19</v>
      </c>
      <c r="S12" s="134" t="s">
        <v>19</v>
      </c>
      <c r="T12" s="45" t="s">
        <v>27</v>
      </c>
      <c r="U12" s="44"/>
      <c r="V12" s="44"/>
      <c r="W12" s="44"/>
      <c r="X12" s="45" t="s">
        <v>18</v>
      </c>
      <c r="Y12" s="45" t="s">
        <v>18</v>
      </c>
      <c r="Z12" s="45" t="s">
        <v>27</v>
      </c>
      <c r="AA12" s="45" t="s">
        <v>18</v>
      </c>
      <c r="AB12" s="44"/>
      <c r="AC12" s="44"/>
      <c r="AD12" s="45" t="s">
        <v>18</v>
      </c>
      <c r="AE12" s="45" t="s">
        <v>18</v>
      </c>
      <c r="AF12" s="91" t="s">
        <v>19</v>
      </c>
      <c r="AG12" s="44"/>
      <c r="AH12" s="44"/>
      <c r="AI12" s="44"/>
      <c r="AJ12" s="45" t="s">
        <v>120</v>
      </c>
      <c r="AK12" s="145" t="str">
        <f>VLOOKUP(AJ12,DATOS!$A:$B,2,0)</f>
        <v>#REF!</v>
      </c>
      <c r="AL12" s="48"/>
      <c r="AM12" s="60" t="str">
        <f t="shared" si="1"/>
        <v>NO CORRESPONDE FRANCO</v>
      </c>
      <c r="AN12" s="60">
        <f t="shared" si="2"/>
        <v>7</v>
      </c>
      <c r="AO12" s="60">
        <f t="shared" si="3"/>
        <v>4</v>
      </c>
      <c r="AP12" s="60">
        <f t="shared" si="4"/>
        <v>0</v>
      </c>
      <c r="AQ12" s="60">
        <f t="shared" si="5"/>
        <v>0</v>
      </c>
      <c r="AR12" s="60">
        <f t="shared" si="6"/>
        <v>0</v>
      </c>
      <c r="AS12" s="60">
        <f t="shared" si="7"/>
        <v>4</v>
      </c>
      <c r="AT12" s="82"/>
      <c r="AU12" s="82"/>
    </row>
    <row r="13">
      <c r="A13" s="66" t="s">
        <v>33</v>
      </c>
      <c r="B13" s="148" t="s">
        <v>132</v>
      </c>
      <c r="C13" s="66">
        <v>3.2359059E7</v>
      </c>
      <c r="D13" s="151" t="s">
        <v>134</v>
      </c>
      <c r="E13" s="66" t="s">
        <v>140</v>
      </c>
      <c r="F13" s="45" t="s">
        <v>27</v>
      </c>
      <c r="G13" s="45" t="s">
        <v>27</v>
      </c>
      <c r="H13" s="45" t="s">
        <v>27</v>
      </c>
      <c r="I13" s="44"/>
      <c r="J13" s="44"/>
      <c r="K13" s="44"/>
      <c r="L13" s="45" t="s">
        <v>27</v>
      </c>
      <c r="M13" s="45" t="s">
        <v>27</v>
      </c>
      <c r="N13" s="45" t="s">
        <v>27</v>
      </c>
      <c r="O13" s="45" t="s">
        <v>27</v>
      </c>
      <c r="P13" s="44"/>
      <c r="Q13" s="44"/>
      <c r="R13" s="45" t="s">
        <v>27</v>
      </c>
      <c r="S13" s="45" t="s">
        <v>27</v>
      </c>
      <c r="T13" s="109" t="s">
        <v>79</v>
      </c>
      <c r="U13" s="103" t="s">
        <v>27</v>
      </c>
      <c r="V13" s="44"/>
      <c r="W13" s="44"/>
      <c r="X13" s="45" t="s">
        <v>18</v>
      </c>
      <c r="Y13" s="45" t="s">
        <v>27</v>
      </c>
      <c r="Z13" s="124" t="s">
        <v>22</v>
      </c>
      <c r="AA13" s="124" t="s">
        <v>22</v>
      </c>
      <c r="AB13" s="44"/>
      <c r="AC13" s="44"/>
      <c r="AD13" s="85" t="s">
        <v>32</v>
      </c>
      <c r="AE13" s="45" t="s">
        <v>27</v>
      </c>
      <c r="AF13" s="45" t="s">
        <v>27</v>
      </c>
      <c r="AG13" s="44"/>
      <c r="AH13" s="44"/>
      <c r="AI13" s="44"/>
      <c r="AJ13" s="45" t="s">
        <v>27</v>
      </c>
      <c r="AK13" s="48"/>
      <c r="AL13" s="48"/>
      <c r="AM13" s="60" t="str">
        <f t="shared" si="1"/>
        <v>NO CORRESPONDE FRANCO</v>
      </c>
      <c r="AN13" s="60">
        <f t="shared" si="2"/>
        <v>1</v>
      </c>
      <c r="AO13" s="60">
        <f t="shared" si="3"/>
        <v>0</v>
      </c>
      <c r="AP13" s="60">
        <f t="shared" si="4"/>
        <v>0</v>
      </c>
      <c r="AQ13" s="60">
        <f t="shared" si="5"/>
        <v>0</v>
      </c>
      <c r="AR13" s="60">
        <f t="shared" si="6"/>
        <v>2</v>
      </c>
      <c r="AS13" s="60">
        <f t="shared" si="7"/>
        <v>2</v>
      </c>
      <c r="AT13" s="82"/>
      <c r="AU13" s="82"/>
    </row>
    <row r="14">
      <c r="A14" s="66" t="s">
        <v>33</v>
      </c>
      <c r="B14" s="159" t="s">
        <v>142</v>
      </c>
      <c r="C14" s="66">
        <v>3.7019337E7</v>
      </c>
      <c r="D14" s="68" t="s">
        <v>143</v>
      </c>
      <c r="E14" s="66" t="s">
        <v>145</v>
      </c>
      <c r="F14" s="45" t="s">
        <v>18</v>
      </c>
      <c r="G14" s="45" t="s">
        <v>27</v>
      </c>
      <c r="H14" s="45" t="s">
        <v>27</v>
      </c>
      <c r="I14" s="44"/>
      <c r="J14" s="44"/>
      <c r="K14" s="44"/>
      <c r="L14" s="45" t="s">
        <v>27</v>
      </c>
      <c r="M14" s="45" t="s">
        <v>27</v>
      </c>
      <c r="N14" s="45" t="s">
        <v>27</v>
      </c>
      <c r="O14" s="45" t="s">
        <v>27</v>
      </c>
      <c r="P14" s="44"/>
      <c r="Q14" s="44"/>
      <c r="R14" s="45" t="s">
        <v>27</v>
      </c>
      <c r="S14" s="45" t="s">
        <v>27</v>
      </c>
      <c r="T14" s="45" t="s">
        <v>27</v>
      </c>
      <c r="U14" s="44"/>
      <c r="V14" s="44"/>
      <c r="W14" s="44"/>
      <c r="X14" s="45" t="s">
        <v>27</v>
      </c>
      <c r="Y14" s="45" t="s">
        <v>27</v>
      </c>
      <c r="Z14" s="45" t="s">
        <v>27</v>
      </c>
      <c r="AA14" s="85" t="s">
        <v>32</v>
      </c>
      <c r="AB14" s="44"/>
      <c r="AC14" s="44"/>
      <c r="AD14" s="45" t="s">
        <v>27</v>
      </c>
      <c r="AE14" s="45" t="s">
        <v>27</v>
      </c>
      <c r="AF14" s="45" t="s">
        <v>27</v>
      </c>
      <c r="AG14" s="44"/>
      <c r="AH14" s="44"/>
      <c r="AI14" s="44"/>
      <c r="AJ14" s="45" t="s">
        <v>27</v>
      </c>
      <c r="AK14" s="48"/>
      <c r="AL14" s="48"/>
      <c r="AM14" s="60" t="str">
        <f t="shared" si="1"/>
        <v/>
      </c>
      <c r="AN14" s="60">
        <f t="shared" si="2"/>
        <v>1</v>
      </c>
      <c r="AO14" s="60">
        <f t="shared" si="3"/>
        <v>0</v>
      </c>
      <c r="AP14" s="60">
        <f t="shared" si="4"/>
        <v>0</v>
      </c>
      <c r="AQ14" s="60">
        <f t="shared" si="5"/>
        <v>0</v>
      </c>
      <c r="AR14" s="60">
        <f t="shared" si="6"/>
        <v>0</v>
      </c>
      <c r="AS14" s="60">
        <f t="shared" si="7"/>
        <v>0</v>
      </c>
      <c r="AT14" s="82"/>
      <c r="AU14" s="82"/>
    </row>
    <row r="15">
      <c r="A15" s="164"/>
      <c r="B15" s="164"/>
      <c r="C15" s="164"/>
      <c r="D15" s="166"/>
      <c r="E15" s="164"/>
      <c r="G15" s="24"/>
      <c r="H15" s="24"/>
      <c r="I15" s="24"/>
      <c r="J15" s="24"/>
      <c r="K15" s="24"/>
      <c r="L15" s="24"/>
      <c r="M15" s="24"/>
      <c r="N15" s="24"/>
      <c r="O15" s="24"/>
      <c r="P15" s="24"/>
      <c r="Q15" s="24"/>
      <c r="R15" s="24"/>
      <c r="S15" s="24"/>
      <c r="T15" s="24"/>
      <c r="U15" s="24"/>
      <c r="V15" s="24"/>
      <c r="W15" s="24"/>
      <c r="X15" s="24"/>
      <c r="Y15" s="24"/>
      <c r="Z15" s="24"/>
      <c r="AA15" s="24"/>
      <c r="AB15" s="24"/>
      <c r="AC15" s="24"/>
      <c r="AD15" s="24"/>
      <c r="AE15" s="24"/>
      <c r="AF15" s="24"/>
      <c r="AG15" s="24"/>
      <c r="AH15" s="24"/>
      <c r="AI15" s="24"/>
      <c r="AJ15" s="24"/>
      <c r="AL15" s="48"/>
      <c r="AM15" s="82"/>
      <c r="AN15" s="82"/>
      <c r="AO15" s="82"/>
      <c r="AP15" s="82"/>
      <c r="AQ15" s="82"/>
      <c r="AR15" s="82"/>
      <c r="AS15" s="82"/>
      <c r="AT15" s="82"/>
      <c r="AU15" s="82"/>
    </row>
    <row r="16">
      <c r="A16" s="171" t="s">
        <v>165</v>
      </c>
      <c r="B16" s="2"/>
      <c r="C16" s="2"/>
      <c r="D16" s="2"/>
      <c r="E16" s="3"/>
      <c r="F16" s="7">
        <v>1.0</v>
      </c>
      <c r="G16" s="7">
        <v>2.0</v>
      </c>
      <c r="H16" s="7">
        <v>3.0</v>
      </c>
      <c r="I16" s="7">
        <v>4.0</v>
      </c>
      <c r="J16" s="7">
        <v>5.0</v>
      </c>
      <c r="K16" s="7">
        <v>6.0</v>
      </c>
      <c r="L16" s="7">
        <v>7.0</v>
      </c>
      <c r="M16" s="7">
        <v>8.0</v>
      </c>
      <c r="N16" s="7">
        <v>9.0</v>
      </c>
      <c r="O16" s="7">
        <v>10.0</v>
      </c>
      <c r="P16" s="7">
        <v>11.0</v>
      </c>
      <c r="Q16" s="7">
        <v>12.0</v>
      </c>
      <c r="R16" s="7">
        <v>13.0</v>
      </c>
      <c r="S16" s="7">
        <v>14.0</v>
      </c>
      <c r="T16" s="7">
        <v>15.0</v>
      </c>
      <c r="U16" s="7">
        <v>16.0</v>
      </c>
      <c r="V16" s="7">
        <v>17.0</v>
      </c>
      <c r="W16" s="7">
        <v>18.0</v>
      </c>
      <c r="X16" s="7">
        <v>19.0</v>
      </c>
      <c r="Y16" s="7">
        <v>20.0</v>
      </c>
      <c r="Z16" s="7">
        <v>21.0</v>
      </c>
      <c r="AA16" s="7">
        <v>22.0</v>
      </c>
      <c r="AB16" s="7">
        <v>23.0</v>
      </c>
      <c r="AC16" s="10">
        <v>24.0</v>
      </c>
      <c r="AD16" s="7">
        <v>25.0</v>
      </c>
      <c r="AE16" s="7">
        <v>26.0</v>
      </c>
      <c r="AF16" s="7">
        <v>27.0</v>
      </c>
      <c r="AG16" s="7">
        <v>28.0</v>
      </c>
      <c r="AH16" s="7">
        <v>29.0</v>
      </c>
      <c r="AI16" s="7">
        <v>30.0</v>
      </c>
      <c r="AJ16" s="7">
        <v>31.0</v>
      </c>
      <c r="AK16" s="52"/>
      <c r="AL16" s="48"/>
      <c r="AM16" s="82"/>
      <c r="AN16" s="82"/>
      <c r="AO16" s="82"/>
      <c r="AP16" s="82"/>
      <c r="AQ16" s="82"/>
      <c r="AR16" s="82"/>
      <c r="AS16" s="82"/>
      <c r="AT16" s="82"/>
      <c r="AU16" s="82"/>
    </row>
    <row r="17">
      <c r="A17" s="177" t="s">
        <v>4</v>
      </c>
      <c r="B17" s="178" t="s">
        <v>5</v>
      </c>
      <c r="C17" s="179" t="s">
        <v>6</v>
      </c>
      <c r="D17" s="181" t="s">
        <v>7</v>
      </c>
      <c r="E17" s="179" t="s">
        <v>8</v>
      </c>
      <c r="F17" s="7" t="s">
        <v>9</v>
      </c>
      <c r="G17" s="7" t="s">
        <v>10</v>
      </c>
      <c r="H17" s="7" t="s">
        <v>11</v>
      </c>
      <c r="I17" s="7" t="s">
        <v>12</v>
      </c>
      <c r="J17" s="7" t="s">
        <v>12</v>
      </c>
      <c r="K17" s="7" t="s">
        <v>13</v>
      </c>
      <c r="L17" s="7" t="s">
        <v>15</v>
      </c>
      <c r="M17" s="7" t="s">
        <v>9</v>
      </c>
      <c r="N17" s="7" t="s">
        <v>10</v>
      </c>
      <c r="O17" s="7" t="s">
        <v>11</v>
      </c>
      <c r="P17" s="7" t="s">
        <v>12</v>
      </c>
      <c r="Q17" s="7" t="s">
        <v>12</v>
      </c>
      <c r="R17" s="7" t="s">
        <v>13</v>
      </c>
      <c r="S17" s="7" t="s">
        <v>15</v>
      </c>
      <c r="T17" s="7" t="s">
        <v>9</v>
      </c>
      <c r="U17" s="7" t="s">
        <v>10</v>
      </c>
      <c r="V17" s="7" t="s">
        <v>11</v>
      </c>
      <c r="W17" s="7" t="s">
        <v>12</v>
      </c>
      <c r="X17" s="7" t="s">
        <v>12</v>
      </c>
      <c r="Y17" s="7" t="s">
        <v>13</v>
      </c>
      <c r="Z17" s="7" t="s">
        <v>15</v>
      </c>
      <c r="AA17" s="7" t="s">
        <v>9</v>
      </c>
      <c r="AB17" s="7" t="s">
        <v>10</v>
      </c>
      <c r="AC17" s="10" t="s">
        <v>11</v>
      </c>
      <c r="AD17" s="7" t="s">
        <v>12</v>
      </c>
      <c r="AE17" s="7" t="s">
        <v>12</v>
      </c>
      <c r="AF17" s="7" t="s">
        <v>13</v>
      </c>
      <c r="AG17" s="27" t="s">
        <v>15</v>
      </c>
      <c r="AH17" s="7" t="s">
        <v>9</v>
      </c>
      <c r="AI17" s="7" t="s">
        <v>10</v>
      </c>
      <c r="AJ17" s="7" t="s">
        <v>11</v>
      </c>
      <c r="AL17" s="48"/>
      <c r="AM17" s="82"/>
      <c r="AN17" s="82"/>
      <c r="AO17" s="82"/>
      <c r="AP17" s="82"/>
      <c r="AQ17" s="82"/>
      <c r="AR17" s="82"/>
      <c r="AS17" s="82"/>
      <c r="AT17" s="82"/>
      <c r="AU17" s="82"/>
    </row>
    <row r="18">
      <c r="A18" s="115" t="s">
        <v>33</v>
      </c>
      <c r="B18" s="63" t="s">
        <v>182</v>
      </c>
      <c r="C18" s="88">
        <v>1.8224482E7</v>
      </c>
      <c r="D18" s="42" t="s">
        <v>183</v>
      </c>
      <c r="E18" s="88" t="s">
        <v>185</v>
      </c>
      <c r="F18" s="45" t="s">
        <v>27</v>
      </c>
      <c r="G18" s="45" t="s">
        <v>27</v>
      </c>
      <c r="H18" s="45" t="s">
        <v>27</v>
      </c>
      <c r="I18" s="45" t="s">
        <v>27</v>
      </c>
      <c r="J18" s="103" t="s">
        <v>27</v>
      </c>
      <c r="K18" s="44"/>
      <c r="L18" s="44"/>
      <c r="M18" s="45" t="s">
        <v>27</v>
      </c>
      <c r="N18" s="45" t="s">
        <v>27</v>
      </c>
      <c r="O18" s="45" t="s">
        <v>27</v>
      </c>
      <c r="P18" s="44"/>
      <c r="Q18" s="44"/>
      <c r="R18" s="45" t="s">
        <v>27</v>
      </c>
      <c r="S18" s="45" t="s">
        <v>27</v>
      </c>
      <c r="T18" s="45" t="s">
        <v>27</v>
      </c>
      <c r="U18" s="45" t="s">
        <v>27</v>
      </c>
      <c r="V18" s="44"/>
      <c r="W18" s="44"/>
      <c r="X18" s="44"/>
      <c r="Y18" s="45" t="s">
        <v>27</v>
      </c>
      <c r="Z18" s="45" t="s">
        <v>27</v>
      </c>
      <c r="AA18" s="45" t="s">
        <v>27</v>
      </c>
      <c r="AB18" s="45" t="s">
        <v>27</v>
      </c>
      <c r="AC18" s="44"/>
      <c r="AD18" s="45" t="s">
        <v>27</v>
      </c>
      <c r="AE18" s="45" t="s">
        <v>27</v>
      </c>
      <c r="AF18" s="45" t="s">
        <v>27</v>
      </c>
      <c r="AG18" s="109" t="s">
        <v>79</v>
      </c>
      <c r="AH18" s="44"/>
      <c r="AI18" s="44"/>
      <c r="AJ18" s="44"/>
      <c r="AK18" s="48"/>
      <c r="AL18" s="48"/>
      <c r="AM18" s="60" t="str">
        <f t="shared" ref="AM18:AM23" si="8">IFS(AN18&gt;3,"NO CORRESPONDE FRANCO",AS18&gt;0,"NO CORRESPONDE FRANCO",AS18=0,"")</f>
        <v/>
      </c>
      <c r="AN18" s="60">
        <f t="shared" ref="AN18:AN23" si="9">COUNTIF($F18:$AJ18,"LLT")</f>
        <v>0</v>
      </c>
      <c r="AO18" s="60">
        <f t="shared" ref="AO18:AO23" si="10">COUNTIF($F18:$AJ18,"LM")</f>
        <v>0</v>
      </c>
      <c r="AP18" s="60">
        <f t="shared" ref="AP18:AP23" si="11">COUNTIF($F18:$AJ18,"FaC")</f>
        <v>0</v>
      </c>
      <c r="AQ18" s="60">
        <f t="shared" ref="AQ18:AQ23" si="12">COUNTIF($F18:$AJ18,"LxE")</f>
        <v>0</v>
      </c>
      <c r="AR18" s="60">
        <f t="shared" ref="AR18:AR23" si="13">COUNTIF($F18:$AJ18,"LA")</f>
        <v>0</v>
      </c>
      <c r="AS18" s="60">
        <f t="shared" ref="AS18:AS23" si="14">SUM(AO18:AR18)</f>
        <v>0</v>
      </c>
      <c r="AT18" s="82"/>
      <c r="AU18" s="82"/>
    </row>
    <row r="19" ht="15.75" customHeight="1">
      <c r="A19" s="76" t="s">
        <v>33</v>
      </c>
      <c r="B19" s="67" t="s">
        <v>191</v>
      </c>
      <c r="C19" s="76">
        <v>4.6994265E7</v>
      </c>
      <c r="D19" s="68" t="s">
        <v>192</v>
      </c>
      <c r="E19" s="76" t="s">
        <v>193</v>
      </c>
      <c r="F19" s="103" t="s">
        <v>18</v>
      </c>
      <c r="G19" s="45" t="s">
        <v>18</v>
      </c>
      <c r="H19" s="45" t="s">
        <v>18</v>
      </c>
      <c r="I19" s="45" t="s">
        <v>18</v>
      </c>
      <c r="J19" s="44"/>
      <c r="K19" s="44"/>
      <c r="L19" s="44"/>
      <c r="M19" s="45" t="s">
        <v>27</v>
      </c>
      <c r="N19" s="45" t="s">
        <v>18</v>
      </c>
      <c r="O19" s="45" t="s">
        <v>18</v>
      </c>
      <c r="P19" s="44"/>
      <c r="Q19" s="44"/>
      <c r="R19" s="45" t="s">
        <v>18</v>
      </c>
      <c r="S19" s="45" t="s">
        <v>18</v>
      </c>
      <c r="T19" s="70"/>
      <c r="U19" s="45" t="s">
        <v>27</v>
      </c>
      <c r="V19" s="44"/>
      <c r="W19" s="44"/>
      <c r="X19" s="44"/>
      <c r="Y19" s="91" t="s">
        <v>19</v>
      </c>
      <c r="Z19" s="91" t="s">
        <v>19</v>
      </c>
      <c r="AA19" s="45" t="s">
        <v>18</v>
      </c>
      <c r="AB19" s="44"/>
      <c r="AC19" s="44"/>
      <c r="AD19" s="45" t="s">
        <v>18</v>
      </c>
      <c r="AE19" s="45" t="s">
        <v>27</v>
      </c>
      <c r="AF19" s="70"/>
      <c r="AG19" s="45" t="s">
        <v>18</v>
      </c>
      <c r="AH19" s="44"/>
      <c r="AI19" s="44"/>
      <c r="AJ19" s="44"/>
      <c r="AK19" s="52"/>
      <c r="AL19" s="48"/>
      <c r="AM19" s="60" t="str">
        <f t="shared" si="8"/>
        <v>NO CORRESPONDE FRANCO</v>
      </c>
      <c r="AN19" s="60">
        <f t="shared" si="9"/>
        <v>11</v>
      </c>
      <c r="AO19" s="60">
        <f t="shared" si="10"/>
        <v>2</v>
      </c>
      <c r="AP19" s="60">
        <f t="shared" si="11"/>
        <v>0</v>
      </c>
      <c r="AQ19" s="60">
        <f t="shared" si="12"/>
        <v>0</v>
      </c>
      <c r="AR19" s="60">
        <f t="shared" si="13"/>
        <v>0</v>
      </c>
      <c r="AS19" s="60">
        <f t="shared" si="14"/>
        <v>2</v>
      </c>
      <c r="AT19" s="82"/>
      <c r="AU19" s="82"/>
    </row>
    <row r="20" ht="15.75" customHeight="1">
      <c r="A20" s="76" t="s">
        <v>33</v>
      </c>
      <c r="B20" s="67" t="s">
        <v>136</v>
      </c>
      <c r="C20" s="76">
        <v>4.6438246E7</v>
      </c>
      <c r="D20" s="67" t="s">
        <v>138</v>
      </c>
      <c r="E20" s="76" t="s">
        <v>139</v>
      </c>
      <c r="F20" s="103" t="s">
        <v>18</v>
      </c>
      <c r="G20" s="45" t="s">
        <v>18</v>
      </c>
      <c r="H20" s="45" t="s">
        <v>198</v>
      </c>
      <c r="I20" s="45" t="s">
        <v>18</v>
      </c>
      <c r="J20" s="44"/>
      <c r="K20" s="196" t="s">
        <v>199</v>
      </c>
      <c r="L20" s="6"/>
      <c r="M20" s="6"/>
      <c r="N20" s="6"/>
      <c r="O20" s="6"/>
      <c r="P20" s="6"/>
      <c r="Q20" s="6"/>
      <c r="R20" s="6"/>
      <c r="S20" s="6"/>
      <c r="T20" s="6"/>
      <c r="U20" s="6"/>
      <c r="V20" s="6"/>
      <c r="W20" s="6"/>
      <c r="X20" s="6"/>
      <c r="Y20" s="6"/>
      <c r="Z20" s="6"/>
      <c r="AA20" s="6"/>
      <c r="AB20" s="6"/>
      <c r="AC20" s="6"/>
      <c r="AD20" s="6"/>
      <c r="AE20" s="6"/>
      <c r="AF20" s="6"/>
      <c r="AG20" s="6"/>
      <c r="AH20" s="6"/>
      <c r="AI20" s="6"/>
      <c r="AJ20" s="11"/>
      <c r="AK20" s="48"/>
      <c r="AL20" s="48"/>
      <c r="AM20" s="60" t="str">
        <f t="shared" si="8"/>
        <v/>
      </c>
      <c r="AN20" s="60">
        <f t="shared" si="9"/>
        <v>3</v>
      </c>
      <c r="AO20" s="60">
        <f t="shared" si="10"/>
        <v>0</v>
      </c>
      <c r="AP20" s="60">
        <f t="shared" si="11"/>
        <v>0</v>
      </c>
      <c r="AQ20" s="60">
        <f t="shared" si="12"/>
        <v>0</v>
      </c>
      <c r="AR20" s="60">
        <f t="shared" si="13"/>
        <v>0</v>
      </c>
      <c r="AS20" s="60">
        <f t="shared" si="14"/>
        <v>0</v>
      </c>
      <c r="AT20" s="82"/>
      <c r="AU20" s="82"/>
    </row>
    <row r="21" ht="15.75" customHeight="1">
      <c r="A21" s="66" t="s">
        <v>33</v>
      </c>
      <c r="B21" s="67" t="s">
        <v>205</v>
      </c>
      <c r="C21" s="66">
        <v>4.3404637E7</v>
      </c>
      <c r="D21" s="67" t="s">
        <v>206</v>
      </c>
      <c r="E21" s="66" t="s">
        <v>207</v>
      </c>
      <c r="F21" s="45" t="s">
        <v>27</v>
      </c>
      <c r="G21" s="45" t="s">
        <v>27</v>
      </c>
      <c r="H21" s="45" t="s">
        <v>27</v>
      </c>
      <c r="I21" s="45" t="s">
        <v>27</v>
      </c>
      <c r="J21" s="44"/>
      <c r="K21" s="44"/>
      <c r="L21" s="44"/>
      <c r="M21" s="45" t="s">
        <v>27</v>
      </c>
      <c r="N21" s="45" t="s">
        <v>27</v>
      </c>
      <c r="O21" s="45" t="s">
        <v>27</v>
      </c>
      <c r="P21" s="44"/>
      <c r="Q21" s="44"/>
      <c r="R21" s="45" t="s">
        <v>27</v>
      </c>
      <c r="S21" s="45" t="s">
        <v>27</v>
      </c>
      <c r="T21" s="45" t="s">
        <v>27</v>
      </c>
      <c r="U21" s="85" t="s">
        <v>32</v>
      </c>
      <c r="V21" s="44"/>
      <c r="W21" s="44"/>
      <c r="X21" s="44"/>
      <c r="Y21" s="45" t="s">
        <v>27</v>
      </c>
      <c r="Z21" s="45" t="s">
        <v>27</v>
      </c>
      <c r="AA21" s="45" t="s">
        <v>27</v>
      </c>
      <c r="AB21" s="44"/>
      <c r="AC21" s="44"/>
      <c r="AD21" s="45" t="s">
        <v>27</v>
      </c>
      <c r="AE21" s="45" t="s">
        <v>27</v>
      </c>
      <c r="AF21" s="45" t="s">
        <v>27</v>
      </c>
      <c r="AG21" s="85" t="s">
        <v>32</v>
      </c>
      <c r="AH21" s="44"/>
      <c r="AI21" s="44"/>
      <c r="AJ21" s="44"/>
      <c r="AK21" s="48"/>
      <c r="AL21" s="48"/>
      <c r="AM21" s="60" t="str">
        <f t="shared" si="8"/>
        <v/>
      </c>
      <c r="AN21" s="60">
        <f t="shared" si="9"/>
        <v>0</v>
      </c>
      <c r="AO21" s="60">
        <f t="shared" si="10"/>
        <v>0</v>
      </c>
      <c r="AP21" s="60">
        <f t="shared" si="11"/>
        <v>0</v>
      </c>
      <c r="AQ21" s="60">
        <f t="shared" si="12"/>
        <v>0</v>
      </c>
      <c r="AR21" s="60">
        <f t="shared" si="13"/>
        <v>0</v>
      </c>
      <c r="AS21" s="60">
        <f t="shared" si="14"/>
        <v>0</v>
      </c>
      <c r="AT21" s="82"/>
      <c r="AU21" s="82"/>
    </row>
    <row r="22" ht="15.75" customHeight="1">
      <c r="A22" s="66" t="s">
        <v>33</v>
      </c>
      <c r="B22" s="67" t="s">
        <v>211</v>
      </c>
      <c r="C22" s="66">
        <v>3.6405101E7</v>
      </c>
      <c r="D22" s="68" t="s">
        <v>212</v>
      </c>
      <c r="E22" s="66" t="s">
        <v>213</v>
      </c>
      <c r="F22" s="103" t="s">
        <v>18</v>
      </c>
      <c r="G22" s="45" t="s">
        <v>18</v>
      </c>
      <c r="H22" s="45" t="s">
        <v>27</v>
      </c>
      <c r="I22" s="45" t="s">
        <v>27</v>
      </c>
      <c r="J22" s="44"/>
      <c r="K22" s="44"/>
      <c r="L22" s="44"/>
      <c r="M22" s="45" t="s">
        <v>27</v>
      </c>
      <c r="N22" s="85" t="s">
        <v>32</v>
      </c>
      <c r="O22" s="45" t="s">
        <v>27</v>
      </c>
      <c r="P22" s="44"/>
      <c r="Q22" s="44"/>
      <c r="R22" s="45" t="s">
        <v>27</v>
      </c>
      <c r="S22" s="45" t="s">
        <v>18</v>
      </c>
      <c r="T22" s="45" t="s">
        <v>27</v>
      </c>
      <c r="U22" s="45" t="s">
        <v>27</v>
      </c>
      <c r="V22" s="44"/>
      <c r="W22" s="44"/>
      <c r="X22" s="44"/>
      <c r="Y22" s="45" t="s">
        <v>27</v>
      </c>
      <c r="Z22" s="45" t="s">
        <v>27</v>
      </c>
      <c r="AA22" s="45" t="s">
        <v>27</v>
      </c>
      <c r="AB22" s="44"/>
      <c r="AC22" s="44"/>
      <c r="AD22" s="45" t="s">
        <v>27</v>
      </c>
      <c r="AE22" s="45" t="s">
        <v>27</v>
      </c>
      <c r="AF22" s="45" t="s">
        <v>27</v>
      </c>
      <c r="AG22" s="45" t="s">
        <v>18</v>
      </c>
      <c r="AH22" s="44"/>
      <c r="AI22" s="44"/>
      <c r="AJ22" s="44"/>
      <c r="AK22" s="48"/>
      <c r="AL22" s="48"/>
      <c r="AM22" s="60" t="str">
        <f t="shared" si="8"/>
        <v>NO CORRESPONDE FRANCO</v>
      </c>
      <c r="AN22" s="60">
        <f t="shared" si="9"/>
        <v>4</v>
      </c>
      <c r="AO22" s="60">
        <f t="shared" si="10"/>
        <v>0</v>
      </c>
      <c r="AP22" s="60">
        <f t="shared" si="11"/>
        <v>0</v>
      </c>
      <c r="AQ22" s="60">
        <f t="shared" si="12"/>
        <v>0</v>
      </c>
      <c r="AR22" s="60">
        <f t="shared" si="13"/>
        <v>0</v>
      </c>
      <c r="AS22" s="60">
        <f t="shared" si="14"/>
        <v>0</v>
      </c>
      <c r="AT22" s="82"/>
      <c r="AU22" s="82"/>
    </row>
    <row r="23" ht="15.75" customHeight="1">
      <c r="A23" s="76" t="s">
        <v>33</v>
      </c>
      <c r="B23" s="116" t="s">
        <v>217</v>
      </c>
      <c r="C23" s="76">
        <v>4.4484026E7</v>
      </c>
      <c r="D23" s="97" t="s">
        <v>218</v>
      </c>
      <c r="E23" s="76" t="s">
        <v>219</v>
      </c>
      <c r="F23" s="45" t="s">
        <v>27</v>
      </c>
      <c r="G23" s="45" t="s">
        <v>27</v>
      </c>
      <c r="H23" s="45" t="s">
        <v>27</v>
      </c>
      <c r="I23" s="45" t="s">
        <v>27</v>
      </c>
      <c r="J23" s="44"/>
      <c r="K23" s="44"/>
      <c r="L23" s="124" t="s">
        <v>22</v>
      </c>
      <c r="M23" s="124" t="s">
        <v>22</v>
      </c>
      <c r="N23" s="124" t="s">
        <v>22</v>
      </c>
      <c r="O23" s="124" t="s">
        <v>22</v>
      </c>
      <c r="P23" s="124" t="s">
        <v>22</v>
      </c>
      <c r="Q23" s="124" t="s">
        <v>22</v>
      </c>
      <c r="R23" s="124" t="s">
        <v>22</v>
      </c>
      <c r="S23" s="45" t="s">
        <v>27</v>
      </c>
      <c r="T23" s="45" t="s">
        <v>27</v>
      </c>
      <c r="U23" s="45" t="s">
        <v>27</v>
      </c>
      <c r="V23" s="44"/>
      <c r="W23" s="44"/>
      <c r="X23" s="44"/>
      <c r="Y23" s="45" t="s">
        <v>27</v>
      </c>
      <c r="Z23" s="45" t="s">
        <v>27</v>
      </c>
      <c r="AA23" s="85" t="s">
        <v>32</v>
      </c>
      <c r="AB23" s="44"/>
      <c r="AC23" s="44"/>
      <c r="AD23" s="45" t="s">
        <v>27</v>
      </c>
      <c r="AE23" s="45" t="s">
        <v>27</v>
      </c>
      <c r="AF23" s="45" t="s">
        <v>27</v>
      </c>
      <c r="AG23" s="45" t="s">
        <v>27</v>
      </c>
      <c r="AH23" s="44"/>
      <c r="AI23" s="44"/>
      <c r="AJ23" s="44"/>
      <c r="AK23" s="48"/>
      <c r="AL23" s="48"/>
      <c r="AM23" s="60" t="str">
        <f t="shared" si="8"/>
        <v>NO CORRESPONDE FRANCO</v>
      </c>
      <c r="AN23" s="60">
        <f t="shared" si="9"/>
        <v>0</v>
      </c>
      <c r="AO23" s="60">
        <f t="shared" si="10"/>
        <v>0</v>
      </c>
      <c r="AP23" s="60">
        <f t="shared" si="11"/>
        <v>0</v>
      </c>
      <c r="AQ23" s="60">
        <f t="shared" si="12"/>
        <v>0</v>
      </c>
      <c r="AR23" s="60">
        <f t="shared" si="13"/>
        <v>7</v>
      </c>
      <c r="AS23" s="60">
        <f t="shared" si="14"/>
        <v>7</v>
      </c>
      <c r="AT23" s="82"/>
      <c r="AU23" s="82"/>
    </row>
    <row r="24" ht="15.75" customHeight="1">
      <c r="A24" s="205" t="s">
        <v>33</v>
      </c>
      <c r="B24" s="206" t="s">
        <v>221</v>
      </c>
      <c r="C24" s="205">
        <v>2.5413482E7</v>
      </c>
      <c r="D24" s="208" t="s">
        <v>222</v>
      </c>
      <c r="E24" s="205" t="s">
        <v>223</v>
      </c>
      <c r="F24" s="45" t="s">
        <v>27</v>
      </c>
      <c r="G24" s="45" t="s">
        <v>27</v>
      </c>
      <c r="H24" s="45" t="s">
        <v>27</v>
      </c>
      <c r="I24" s="45" t="s">
        <v>27</v>
      </c>
      <c r="J24" s="44"/>
      <c r="K24" s="44"/>
      <c r="L24" s="45" t="s">
        <v>27</v>
      </c>
      <c r="M24" s="45" t="s">
        <v>27</v>
      </c>
      <c r="N24" s="45" t="s">
        <v>27</v>
      </c>
      <c r="O24" s="45" t="s">
        <v>27</v>
      </c>
      <c r="P24" s="44"/>
      <c r="Q24" s="44"/>
      <c r="R24" s="45" t="s">
        <v>27</v>
      </c>
      <c r="S24" s="45" t="s">
        <v>27</v>
      </c>
      <c r="T24" s="119" t="s">
        <v>79</v>
      </c>
      <c r="U24" s="85" t="s">
        <v>32</v>
      </c>
      <c r="V24" s="44"/>
      <c r="W24" s="44"/>
      <c r="X24" s="44"/>
      <c r="Y24" s="45" t="s">
        <v>27</v>
      </c>
      <c r="Z24" s="45" t="s">
        <v>27</v>
      </c>
      <c r="AA24" s="45" t="s">
        <v>27</v>
      </c>
      <c r="AB24" s="44"/>
      <c r="AC24" s="96"/>
      <c r="AD24" s="96" t="s">
        <v>22</v>
      </c>
      <c r="AE24" s="96" t="s">
        <v>22</v>
      </c>
      <c r="AF24" s="96" t="s">
        <v>22</v>
      </c>
      <c r="AG24" s="96" t="s">
        <v>22</v>
      </c>
      <c r="AH24" s="96" t="s">
        <v>22</v>
      </c>
      <c r="AI24" s="96" t="s">
        <v>22</v>
      </c>
      <c r="AJ24" s="44"/>
      <c r="AK24" s="48"/>
      <c r="AL24" s="48"/>
      <c r="AM24" s="60"/>
      <c r="AN24" s="60"/>
      <c r="AO24" s="60"/>
      <c r="AP24" s="60"/>
      <c r="AQ24" s="60"/>
      <c r="AR24" s="60"/>
      <c r="AS24" s="60"/>
      <c r="AT24" s="82"/>
      <c r="AU24" s="82"/>
    </row>
    <row r="25" ht="15.75" customHeight="1">
      <c r="A25" s="66" t="s">
        <v>33</v>
      </c>
      <c r="B25" s="67" t="s">
        <v>227</v>
      </c>
      <c r="C25" s="66">
        <v>3.6359202E7</v>
      </c>
      <c r="D25" s="68" t="s">
        <v>228</v>
      </c>
      <c r="E25" s="66" t="s">
        <v>229</v>
      </c>
      <c r="F25" s="45" t="s">
        <v>27</v>
      </c>
      <c r="G25" s="45" t="s">
        <v>27</v>
      </c>
      <c r="H25" s="45" t="s">
        <v>27</v>
      </c>
      <c r="I25" s="45" t="s">
        <v>18</v>
      </c>
      <c r="J25" s="44"/>
      <c r="K25" s="44"/>
      <c r="L25" s="44"/>
      <c r="M25" s="45" t="s">
        <v>18</v>
      </c>
      <c r="N25" s="45" t="s">
        <v>18</v>
      </c>
      <c r="O25" s="45" t="s">
        <v>18</v>
      </c>
      <c r="P25" s="44"/>
      <c r="Q25" s="44"/>
      <c r="R25" s="45" t="s">
        <v>18</v>
      </c>
      <c r="S25" s="45" t="s">
        <v>27</v>
      </c>
      <c r="T25" s="45" t="s">
        <v>18</v>
      </c>
      <c r="U25" s="45" t="s">
        <v>18</v>
      </c>
      <c r="V25" s="44"/>
      <c r="W25" s="44"/>
      <c r="X25" s="44"/>
      <c r="Y25" s="45" t="s">
        <v>18</v>
      </c>
      <c r="Z25" s="45" t="s">
        <v>18</v>
      </c>
      <c r="AA25" s="45" t="s">
        <v>18</v>
      </c>
      <c r="AB25" s="44"/>
      <c r="AC25" s="44"/>
      <c r="AD25" s="45" t="s">
        <v>18</v>
      </c>
      <c r="AE25" s="45" t="s">
        <v>18</v>
      </c>
      <c r="AF25" s="45" t="s">
        <v>18</v>
      </c>
      <c r="AG25" s="45" t="s">
        <v>18</v>
      </c>
      <c r="AH25" s="44"/>
      <c r="AI25" s="45" t="s">
        <v>27</v>
      </c>
      <c r="AJ25" s="44"/>
      <c r="AK25" s="48"/>
      <c r="AL25" s="48"/>
      <c r="AM25" s="60" t="str">
        <f t="shared" ref="AM25:AM28" si="15">IFS(AN25&gt;3,"NO CORRESPONDE FRANCO",AS25&gt;0,"NO CORRESPONDE FRANCO",AS25=0,"")</f>
        <v>NO CORRESPONDE FRANCO</v>
      </c>
      <c r="AN25" s="60">
        <f t="shared" ref="AN25:AN28" si="16">COUNTIF($F25:$AJ25,"LLT")</f>
        <v>14</v>
      </c>
      <c r="AO25" s="60">
        <f t="shared" ref="AO25:AO28" si="17">COUNTIF($F25:$AJ25,"LM")</f>
        <v>0</v>
      </c>
      <c r="AP25" s="60">
        <f t="shared" ref="AP25:AP28" si="18">COUNTIF($F25:$AJ25,"FaC")</f>
        <v>0</v>
      </c>
      <c r="AQ25" s="60">
        <f t="shared" ref="AQ25:AQ28" si="19">COUNTIF($F25:$AJ25,"LxE")</f>
        <v>0</v>
      </c>
      <c r="AR25" s="60">
        <f t="shared" ref="AR25:AR28" si="20">COUNTIF($F25:$AJ25,"LA")</f>
        <v>0</v>
      </c>
      <c r="AS25" s="60">
        <f t="shared" ref="AS25:AS28" si="21">SUM(AO25:AR25)</f>
        <v>0</v>
      </c>
      <c r="AT25" s="82"/>
      <c r="AU25" s="82"/>
    </row>
    <row r="26" ht="15.75" customHeight="1">
      <c r="A26" s="76" t="s">
        <v>33</v>
      </c>
      <c r="B26" s="67" t="s">
        <v>241</v>
      </c>
      <c r="C26" s="130">
        <v>3.9416059E7</v>
      </c>
      <c r="D26" s="116" t="s">
        <v>243</v>
      </c>
      <c r="E26" s="76" t="s">
        <v>244</v>
      </c>
      <c r="F26" s="45" t="s">
        <v>18</v>
      </c>
      <c r="G26" s="45" t="s">
        <v>27</v>
      </c>
      <c r="H26" s="45" t="s">
        <v>27</v>
      </c>
      <c r="I26" s="45" t="s">
        <v>27</v>
      </c>
      <c r="J26" s="44"/>
      <c r="K26" s="44"/>
      <c r="L26" s="44"/>
      <c r="M26" s="45" t="s">
        <v>27</v>
      </c>
      <c r="N26" s="45" t="s">
        <v>18</v>
      </c>
      <c r="O26" s="45" t="s">
        <v>27</v>
      </c>
      <c r="P26" s="44"/>
      <c r="Q26" s="44"/>
      <c r="R26" s="45" t="s">
        <v>18</v>
      </c>
      <c r="S26" s="45" t="s">
        <v>27</v>
      </c>
      <c r="T26" s="45" t="s">
        <v>27</v>
      </c>
      <c r="U26" s="45" t="s">
        <v>27</v>
      </c>
      <c r="V26" s="44"/>
      <c r="W26" s="44"/>
      <c r="X26" s="44"/>
      <c r="Y26" s="45" t="s">
        <v>27</v>
      </c>
      <c r="Z26" s="45" t="s">
        <v>27</v>
      </c>
      <c r="AA26" s="128" t="s">
        <v>79</v>
      </c>
      <c r="AB26" s="44"/>
      <c r="AC26" s="44"/>
      <c r="AD26" s="45" t="s">
        <v>27</v>
      </c>
      <c r="AE26" s="45" t="s">
        <v>27</v>
      </c>
      <c r="AF26" s="45" t="s">
        <v>27</v>
      </c>
      <c r="AG26" s="45" t="s">
        <v>27</v>
      </c>
      <c r="AH26" s="138" t="s">
        <v>19</v>
      </c>
      <c r="AI26" s="44"/>
      <c r="AJ26" s="44"/>
      <c r="AK26" s="212" t="s">
        <v>245</v>
      </c>
      <c r="AL26" s="48"/>
      <c r="AM26" s="60" t="str">
        <f t="shared" si="15"/>
        <v>NO CORRESPONDE FRANCO</v>
      </c>
      <c r="AN26" s="60">
        <f t="shared" si="16"/>
        <v>3</v>
      </c>
      <c r="AO26" s="60">
        <f t="shared" si="17"/>
        <v>1</v>
      </c>
      <c r="AP26" s="60">
        <f t="shared" si="18"/>
        <v>0</v>
      </c>
      <c r="AQ26" s="60">
        <f t="shared" si="19"/>
        <v>0</v>
      </c>
      <c r="AR26" s="60">
        <f t="shared" si="20"/>
        <v>0</v>
      </c>
      <c r="AS26" s="60">
        <f t="shared" si="21"/>
        <v>1</v>
      </c>
      <c r="AT26" s="82"/>
      <c r="AU26" s="82"/>
    </row>
    <row r="27" ht="15.75" customHeight="1">
      <c r="A27" s="76" t="s">
        <v>33</v>
      </c>
      <c r="B27" s="220" t="s">
        <v>249</v>
      </c>
      <c r="C27" s="76">
        <v>3.3669832E7</v>
      </c>
      <c r="D27" s="220" t="s">
        <v>253</v>
      </c>
      <c r="E27" s="115" t="s">
        <v>254</v>
      </c>
      <c r="F27" s="45" t="s">
        <v>27</v>
      </c>
      <c r="G27" s="45" t="s">
        <v>27</v>
      </c>
      <c r="H27" s="45" t="s">
        <v>27</v>
      </c>
      <c r="I27" s="45" t="s">
        <v>27</v>
      </c>
      <c r="J27" s="44"/>
      <c r="K27" s="44"/>
      <c r="L27" s="44"/>
      <c r="M27" s="45" t="s">
        <v>27</v>
      </c>
      <c r="N27" s="45" t="s">
        <v>27</v>
      </c>
      <c r="O27" s="45" t="s">
        <v>27</v>
      </c>
      <c r="P27" s="44"/>
      <c r="Q27" s="44"/>
      <c r="R27" s="85" t="s">
        <v>32</v>
      </c>
      <c r="S27" s="45" t="s">
        <v>27</v>
      </c>
      <c r="T27" s="45" t="s">
        <v>27</v>
      </c>
      <c r="U27" s="45" t="s">
        <v>27</v>
      </c>
      <c r="V27" s="44"/>
      <c r="W27" s="44"/>
      <c r="X27" s="44"/>
      <c r="Y27" s="45" t="s">
        <v>27</v>
      </c>
      <c r="Z27" s="45" t="s">
        <v>27</v>
      </c>
      <c r="AA27" s="45" t="s">
        <v>27</v>
      </c>
      <c r="AB27" s="44"/>
      <c r="AC27" s="44"/>
      <c r="AD27" s="45" t="s">
        <v>27</v>
      </c>
      <c r="AE27" s="45" t="s">
        <v>27</v>
      </c>
      <c r="AF27" s="45" t="s">
        <v>27</v>
      </c>
      <c r="AG27" s="45" t="s">
        <v>27</v>
      </c>
      <c r="AH27" s="44"/>
      <c r="AI27" s="44"/>
      <c r="AJ27" s="44"/>
      <c r="AK27" s="48"/>
      <c r="AL27" s="48"/>
      <c r="AM27" s="60" t="str">
        <f t="shared" si="15"/>
        <v/>
      </c>
      <c r="AN27" s="60">
        <f t="shared" si="16"/>
        <v>0</v>
      </c>
      <c r="AO27" s="60">
        <f t="shared" si="17"/>
        <v>0</v>
      </c>
      <c r="AP27" s="60">
        <f t="shared" si="18"/>
        <v>0</v>
      </c>
      <c r="AQ27" s="60">
        <f t="shared" si="19"/>
        <v>0</v>
      </c>
      <c r="AR27" s="60">
        <f t="shared" si="20"/>
        <v>0</v>
      </c>
      <c r="AS27" s="60">
        <f t="shared" si="21"/>
        <v>0</v>
      </c>
      <c r="AT27" s="82"/>
      <c r="AU27" s="82"/>
    </row>
    <row r="28" ht="15.75" customHeight="1">
      <c r="A28" s="76" t="s">
        <v>33</v>
      </c>
      <c r="B28" s="116" t="s">
        <v>263</v>
      </c>
      <c r="C28" s="76">
        <v>4.6991061E7</v>
      </c>
      <c r="D28" s="116" t="s">
        <v>264</v>
      </c>
      <c r="E28" s="76" t="s">
        <v>265</v>
      </c>
      <c r="F28" s="45" t="s">
        <v>27</v>
      </c>
      <c r="G28" s="45" t="s">
        <v>27</v>
      </c>
      <c r="H28" s="45" t="s">
        <v>27</v>
      </c>
      <c r="I28" s="45" t="s">
        <v>27</v>
      </c>
      <c r="J28" s="44"/>
      <c r="K28" s="45" t="s">
        <v>27</v>
      </c>
      <c r="L28" s="44"/>
      <c r="M28" s="45" t="s">
        <v>27</v>
      </c>
      <c r="N28" s="45" t="s">
        <v>27</v>
      </c>
      <c r="O28" s="45" t="s">
        <v>27</v>
      </c>
      <c r="P28" s="44"/>
      <c r="Q28" s="44"/>
      <c r="R28" s="45" t="s">
        <v>27</v>
      </c>
      <c r="S28" s="45" t="s">
        <v>27</v>
      </c>
      <c r="T28" s="45" t="s">
        <v>27</v>
      </c>
      <c r="U28" s="45" t="s">
        <v>27</v>
      </c>
      <c r="V28" s="44"/>
      <c r="W28" s="96" t="s">
        <v>22</v>
      </c>
      <c r="X28" s="96" t="s">
        <v>22</v>
      </c>
      <c r="Y28" s="96" t="s">
        <v>22</v>
      </c>
      <c r="Z28" s="96" t="s">
        <v>22</v>
      </c>
      <c r="AA28" s="96" t="s">
        <v>22</v>
      </c>
      <c r="AB28" s="96" t="s">
        <v>22</v>
      </c>
      <c r="AC28" s="96"/>
      <c r="AD28" s="85" t="s">
        <v>32</v>
      </c>
      <c r="AE28" s="85" t="s">
        <v>32</v>
      </c>
      <c r="AF28" s="119" t="s">
        <v>79</v>
      </c>
      <c r="AG28" s="45" t="s">
        <v>27</v>
      </c>
      <c r="AH28" s="44"/>
      <c r="AI28" s="44"/>
      <c r="AJ28" s="44"/>
      <c r="AK28" s="48"/>
      <c r="AL28" s="48"/>
      <c r="AM28" s="60" t="str">
        <f t="shared" si="15"/>
        <v>NO CORRESPONDE FRANCO</v>
      </c>
      <c r="AN28" s="60">
        <f t="shared" si="16"/>
        <v>0</v>
      </c>
      <c r="AO28" s="60">
        <f t="shared" si="17"/>
        <v>0</v>
      </c>
      <c r="AP28" s="60">
        <f t="shared" si="18"/>
        <v>0</v>
      </c>
      <c r="AQ28" s="60">
        <f t="shared" si="19"/>
        <v>0</v>
      </c>
      <c r="AR28" s="60">
        <f t="shared" si="20"/>
        <v>6</v>
      </c>
      <c r="AS28" s="60">
        <f t="shared" si="21"/>
        <v>6</v>
      </c>
      <c r="AT28" s="82"/>
      <c r="AU28" s="82"/>
    </row>
    <row r="29" ht="15.75" customHeight="1">
      <c r="A29" s="225" t="s">
        <v>33</v>
      </c>
      <c r="B29" s="116" t="s">
        <v>277</v>
      </c>
      <c r="C29" s="76">
        <v>2.67861E7</v>
      </c>
      <c r="D29" s="229" t="s">
        <v>278</v>
      </c>
      <c r="E29" s="144" t="s">
        <v>280</v>
      </c>
      <c r="F29" s="231"/>
      <c r="G29" s="231"/>
      <c r="H29" s="231"/>
      <c r="I29" s="231"/>
      <c r="J29" s="233"/>
      <c r="K29" s="233"/>
      <c r="L29" s="233"/>
      <c r="M29" s="231"/>
      <c r="N29" s="234"/>
      <c r="O29" s="234"/>
      <c r="P29" s="234"/>
      <c r="Q29" s="234"/>
      <c r="R29" s="234"/>
      <c r="S29" s="234"/>
      <c r="T29" s="234"/>
      <c r="U29" s="234"/>
      <c r="V29" s="233"/>
      <c r="W29" s="103" t="s">
        <v>27</v>
      </c>
      <c r="X29" s="44"/>
      <c r="Y29" s="45" t="s">
        <v>27</v>
      </c>
      <c r="Z29" s="45" t="s">
        <v>120</v>
      </c>
      <c r="AA29" s="70"/>
      <c r="AB29" s="44"/>
      <c r="AC29" s="44"/>
      <c r="AD29" s="70"/>
      <c r="AE29" s="45" t="s">
        <v>27</v>
      </c>
      <c r="AF29" s="45" t="s">
        <v>27</v>
      </c>
      <c r="AG29" s="45" t="s">
        <v>27</v>
      </c>
      <c r="AH29" s="44"/>
      <c r="AI29" s="44"/>
      <c r="AJ29" s="237"/>
      <c r="AL29" s="48"/>
      <c r="AM29" s="82"/>
      <c r="AN29" s="82"/>
      <c r="AO29" s="82"/>
      <c r="AP29" s="82"/>
      <c r="AQ29" s="82"/>
      <c r="AR29" s="82"/>
      <c r="AS29" s="82"/>
      <c r="AT29" s="82"/>
      <c r="AU29" s="82"/>
    </row>
    <row r="30" ht="15.75" customHeight="1">
      <c r="A30" s="239" t="s">
        <v>290</v>
      </c>
      <c r="B30" s="6"/>
      <c r="C30" s="6"/>
      <c r="D30" s="6"/>
      <c r="E30" s="11"/>
      <c r="F30" s="7">
        <v>1.0</v>
      </c>
      <c r="G30" s="7">
        <v>2.0</v>
      </c>
      <c r="H30" s="7">
        <v>3.0</v>
      </c>
      <c r="I30" s="7">
        <v>4.0</v>
      </c>
      <c r="J30" s="7">
        <v>5.0</v>
      </c>
      <c r="K30" s="7">
        <v>6.0</v>
      </c>
      <c r="L30" s="7">
        <v>7.0</v>
      </c>
      <c r="M30" s="7">
        <v>8.0</v>
      </c>
      <c r="N30" s="7">
        <v>9.0</v>
      </c>
      <c r="O30" s="7">
        <v>10.0</v>
      </c>
      <c r="P30" s="7">
        <v>11.0</v>
      </c>
      <c r="Q30" s="7">
        <v>12.0</v>
      </c>
      <c r="R30" s="7">
        <v>13.0</v>
      </c>
      <c r="S30" s="7">
        <v>14.0</v>
      </c>
      <c r="T30" s="7">
        <v>15.0</v>
      </c>
      <c r="U30" s="7">
        <v>16.0</v>
      </c>
      <c r="V30" s="7">
        <v>17.0</v>
      </c>
      <c r="W30" s="7">
        <v>18.0</v>
      </c>
      <c r="X30" s="7">
        <v>19.0</v>
      </c>
      <c r="Y30" s="7">
        <v>20.0</v>
      </c>
      <c r="Z30" s="7">
        <v>21.0</v>
      </c>
      <c r="AA30" s="7">
        <v>22.0</v>
      </c>
      <c r="AB30" s="7">
        <v>23.0</v>
      </c>
      <c r="AC30" s="10">
        <v>24.0</v>
      </c>
      <c r="AD30" s="7">
        <v>25.0</v>
      </c>
      <c r="AE30" s="7">
        <v>26.0</v>
      </c>
      <c r="AF30" s="7">
        <v>27.0</v>
      </c>
      <c r="AG30" s="7">
        <v>28.0</v>
      </c>
      <c r="AH30" s="7">
        <v>29.0</v>
      </c>
      <c r="AI30" s="7">
        <v>30.0</v>
      </c>
      <c r="AJ30" s="7">
        <v>31.0</v>
      </c>
      <c r="AK30" s="243"/>
      <c r="AL30" s="48"/>
      <c r="AM30" s="82"/>
      <c r="AN30" s="82"/>
      <c r="AO30" s="82"/>
      <c r="AP30" s="82"/>
      <c r="AQ30" s="82"/>
      <c r="AR30" s="82"/>
      <c r="AS30" s="82"/>
      <c r="AT30" s="82"/>
      <c r="AU30" s="82"/>
    </row>
    <row r="31" ht="15.75" customHeight="1">
      <c r="A31" s="245" t="s">
        <v>4</v>
      </c>
      <c r="B31" s="246" t="s">
        <v>5</v>
      </c>
      <c r="C31" s="245" t="s">
        <v>6</v>
      </c>
      <c r="D31" s="248" t="s">
        <v>7</v>
      </c>
      <c r="E31" s="245" t="s">
        <v>8</v>
      </c>
      <c r="F31" s="7" t="s">
        <v>9</v>
      </c>
      <c r="G31" s="7" t="s">
        <v>10</v>
      </c>
      <c r="H31" s="7" t="s">
        <v>11</v>
      </c>
      <c r="I31" s="7" t="s">
        <v>12</v>
      </c>
      <c r="J31" s="7" t="s">
        <v>12</v>
      </c>
      <c r="K31" s="7" t="s">
        <v>13</v>
      </c>
      <c r="L31" s="7" t="s">
        <v>15</v>
      </c>
      <c r="M31" s="7" t="s">
        <v>9</v>
      </c>
      <c r="N31" s="7" t="s">
        <v>10</v>
      </c>
      <c r="O31" s="7" t="s">
        <v>11</v>
      </c>
      <c r="P31" s="7" t="s">
        <v>12</v>
      </c>
      <c r="Q31" s="7" t="s">
        <v>12</v>
      </c>
      <c r="R31" s="7" t="s">
        <v>13</v>
      </c>
      <c r="S31" s="7" t="s">
        <v>15</v>
      </c>
      <c r="T31" s="7" t="s">
        <v>9</v>
      </c>
      <c r="U31" s="7" t="s">
        <v>10</v>
      </c>
      <c r="V31" s="7" t="s">
        <v>11</v>
      </c>
      <c r="W31" s="7" t="s">
        <v>12</v>
      </c>
      <c r="X31" s="7" t="s">
        <v>12</v>
      </c>
      <c r="Y31" s="7" t="s">
        <v>13</v>
      </c>
      <c r="Z31" s="7" t="s">
        <v>15</v>
      </c>
      <c r="AA31" s="7" t="s">
        <v>9</v>
      </c>
      <c r="AB31" s="7" t="s">
        <v>10</v>
      </c>
      <c r="AC31" s="10" t="s">
        <v>11</v>
      </c>
      <c r="AD31" s="7" t="s">
        <v>12</v>
      </c>
      <c r="AE31" s="7" t="s">
        <v>12</v>
      </c>
      <c r="AF31" s="7" t="s">
        <v>13</v>
      </c>
      <c r="AG31" s="27" t="s">
        <v>15</v>
      </c>
      <c r="AH31" s="7" t="s">
        <v>9</v>
      </c>
      <c r="AI31" s="7" t="s">
        <v>10</v>
      </c>
      <c r="AJ31" s="7" t="s">
        <v>11</v>
      </c>
      <c r="AK31" s="243"/>
      <c r="AL31" s="48"/>
      <c r="AM31" s="82"/>
      <c r="AN31" s="82"/>
      <c r="AO31" s="82"/>
      <c r="AP31" s="82"/>
      <c r="AQ31" s="82"/>
      <c r="AR31" s="82"/>
      <c r="AS31" s="82"/>
      <c r="AT31" s="82"/>
      <c r="AU31" s="82"/>
    </row>
    <row r="32" ht="15.75" customHeight="1">
      <c r="A32" s="38" t="s">
        <v>33</v>
      </c>
      <c r="B32" s="254" t="s">
        <v>304</v>
      </c>
      <c r="C32" s="40">
        <v>3.7181824E7</v>
      </c>
      <c r="D32" s="242" t="s">
        <v>307</v>
      </c>
      <c r="E32" s="38" t="s">
        <v>308</v>
      </c>
      <c r="F32" s="44"/>
      <c r="G32" s="44"/>
      <c r="H32" s="44"/>
      <c r="I32" s="45" t="s">
        <v>27</v>
      </c>
      <c r="J32" s="45" t="s">
        <v>27</v>
      </c>
      <c r="K32" s="45" t="s">
        <v>27</v>
      </c>
      <c r="L32" s="44"/>
      <c r="M32" s="44"/>
      <c r="N32" s="103" t="s">
        <v>27</v>
      </c>
      <c r="O32" s="45" t="s">
        <v>27</v>
      </c>
      <c r="P32" s="45" t="s">
        <v>27</v>
      </c>
      <c r="Q32" s="45" t="s">
        <v>27</v>
      </c>
      <c r="R32" s="44"/>
      <c r="S32" s="44"/>
      <c r="T32" s="44"/>
      <c r="U32" s="45" t="s">
        <v>27</v>
      </c>
      <c r="V32" s="45" t="s">
        <v>27</v>
      </c>
      <c r="W32" s="45" t="s">
        <v>27</v>
      </c>
      <c r="X32" s="44"/>
      <c r="Y32" s="44"/>
      <c r="Z32" s="103" t="s">
        <v>27</v>
      </c>
      <c r="AA32" s="45" t="s">
        <v>27</v>
      </c>
      <c r="AB32" s="45" t="s">
        <v>27</v>
      </c>
      <c r="AC32" s="45" t="s">
        <v>27</v>
      </c>
      <c r="AD32" s="44"/>
      <c r="AE32" s="44"/>
      <c r="AF32" s="44"/>
      <c r="AG32" s="45" t="s">
        <v>27</v>
      </c>
      <c r="AH32" s="70"/>
      <c r="AI32" s="45" t="s">
        <v>27</v>
      </c>
      <c r="AJ32" s="44"/>
      <c r="AK32" s="257"/>
      <c r="AL32" s="48"/>
      <c r="AM32" s="60" t="str">
        <f t="shared" ref="AM32:AM43" si="22">IFS(AN32&gt;3,"NO CORRESPONDE FRANCO",AS32&gt;0,"NO CORRESPONDE FRANCO",AS32=0,"")</f>
        <v/>
      </c>
      <c r="AN32" s="60">
        <f t="shared" ref="AN32:AN43" si="23">COUNTIF($F32:$AJ32,"LLT")</f>
        <v>0</v>
      </c>
      <c r="AO32" s="60">
        <f t="shared" ref="AO32:AO43" si="24">COUNTIF($F32:$AJ32,"LM")</f>
        <v>0</v>
      </c>
      <c r="AP32" s="60">
        <f t="shared" ref="AP32:AP43" si="25">COUNTIF($F32:$AJ32,"FaC")</f>
        <v>0</v>
      </c>
      <c r="AQ32" s="60">
        <f t="shared" ref="AQ32:AQ43" si="26">COUNTIF($F32:$AJ32,"LxE")</f>
        <v>0</v>
      </c>
      <c r="AR32" s="60">
        <f t="shared" ref="AR32:AR43" si="27">COUNTIF($F32:$AJ32,"LA")</f>
        <v>0</v>
      </c>
      <c r="AS32" s="60">
        <f t="shared" ref="AS32:AS43" si="28">SUM(AO32:AR32)</f>
        <v>0</v>
      </c>
      <c r="AT32" s="82"/>
      <c r="AU32" s="82"/>
    </row>
    <row r="33" ht="15.75" customHeight="1">
      <c r="A33" s="76" t="s">
        <v>33</v>
      </c>
      <c r="B33" s="269" t="s">
        <v>316</v>
      </c>
      <c r="C33" s="100">
        <v>2.2508743E7</v>
      </c>
      <c r="D33" s="269" t="s">
        <v>321</v>
      </c>
      <c r="E33" s="214" t="s">
        <v>323</v>
      </c>
      <c r="F33" s="44"/>
      <c r="G33" s="44"/>
      <c r="H33" s="44"/>
      <c r="I33" s="70"/>
      <c r="J33" s="91" t="s">
        <v>19</v>
      </c>
      <c r="K33" s="91" t="s">
        <v>19</v>
      </c>
      <c r="L33" s="91" t="s">
        <v>19</v>
      </c>
      <c r="M33" s="91" t="s">
        <v>19</v>
      </c>
      <c r="N33" s="91" t="s">
        <v>19</v>
      </c>
      <c r="O33" s="91" t="s">
        <v>19</v>
      </c>
      <c r="P33" s="91" t="s">
        <v>19</v>
      </c>
      <c r="Q33" s="106" t="s">
        <v>32</v>
      </c>
      <c r="R33" s="44"/>
      <c r="S33" s="44"/>
      <c r="T33" s="44"/>
      <c r="U33" s="45" t="s">
        <v>27</v>
      </c>
      <c r="V33" s="45" t="s">
        <v>120</v>
      </c>
      <c r="W33" s="45" t="s">
        <v>27</v>
      </c>
      <c r="X33" s="44"/>
      <c r="Y33" s="44"/>
      <c r="Z33" s="91" t="s">
        <v>19</v>
      </c>
      <c r="AA33" s="45" t="s">
        <v>18</v>
      </c>
      <c r="AB33" s="70"/>
      <c r="AC33" s="91" t="s">
        <v>19</v>
      </c>
      <c r="AD33" s="91" t="s">
        <v>19</v>
      </c>
      <c r="AE33" s="44"/>
      <c r="AF33" s="44"/>
      <c r="AG33" s="45" t="s">
        <v>27</v>
      </c>
      <c r="AH33" s="45" t="s">
        <v>27</v>
      </c>
      <c r="AI33" s="45" t="s">
        <v>27</v>
      </c>
      <c r="AJ33" s="44"/>
      <c r="AK33" s="271" t="s">
        <v>328</v>
      </c>
      <c r="AL33" s="48"/>
      <c r="AM33" s="60" t="str">
        <f t="shared" si="22"/>
        <v>NO CORRESPONDE FRANCO</v>
      </c>
      <c r="AN33" s="60">
        <f t="shared" si="23"/>
        <v>1</v>
      </c>
      <c r="AO33" s="60">
        <f t="shared" si="24"/>
        <v>10</v>
      </c>
      <c r="AP33" s="60">
        <f t="shared" si="25"/>
        <v>0</v>
      </c>
      <c r="AQ33" s="60">
        <f t="shared" si="26"/>
        <v>0</v>
      </c>
      <c r="AR33" s="60">
        <f t="shared" si="27"/>
        <v>0</v>
      </c>
      <c r="AS33" s="60">
        <f t="shared" si="28"/>
        <v>10</v>
      </c>
      <c r="AT33" s="82"/>
      <c r="AU33" s="82"/>
    </row>
    <row r="34" ht="15.75" customHeight="1">
      <c r="A34" s="76" t="s">
        <v>33</v>
      </c>
      <c r="B34" s="116" t="s">
        <v>333</v>
      </c>
      <c r="C34" s="76">
        <v>4.1898021E7</v>
      </c>
      <c r="D34" s="116" t="s">
        <v>334</v>
      </c>
      <c r="E34" s="76" t="s">
        <v>335</v>
      </c>
      <c r="F34" s="44"/>
      <c r="G34" s="44"/>
      <c r="H34" s="44"/>
      <c r="I34" s="45" t="s">
        <v>18</v>
      </c>
      <c r="J34" s="45" t="s">
        <v>18</v>
      </c>
      <c r="K34" s="45" t="s">
        <v>18</v>
      </c>
      <c r="L34" s="44"/>
      <c r="M34" s="44"/>
      <c r="N34" s="45" t="s">
        <v>27</v>
      </c>
      <c r="O34" s="134" t="s">
        <v>19</v>
      </c>
      <c r="P34" s="45" t="s">
        <v>18</v>
      </c>
      <c r="Q34" s="45" t="s">
        <v>18</v>
      </c>
      <c r="R34" s="44"/>
      <c r="S34" s="44"/>
      <c r="T34" s="44"/>
      <c r="U34" s="45" t="s">
        <v>27</v>
      </c>
      <c r="V34" s="45" t="s">
        <v>27</v>
      </c>
      <c r="W34" s="45" t="s">
        <v>27</v>
      </c>
      <c r="X34" s="44"/>
      <c r="Y34" s="44"/>
      <c r="Z34" s="45" t="s">
        <v>18</v>
      </c>
      <c r="AA34" s="103" t="s">
        <v>18</v>
      </c>
      <c r="AB34" s="45" t="s">
        <v>18</v>
      </c>
      <c r="AC34" s="91" t="s">
        <v>19</v>
      </c>
      <c r="AD34" s="44"/>
      <c r="AE34" s="44"/>
      <c r="AF34" s="44"/>
      <c r="AG34" s="45" t="s">
        <v>128</v>
      </c>
      <c r="AH34" s="45" t="s">
        <v>18</v>
      </c>
      <c r="AI34" s="45" t="s">
        <v>27</v>
      </c>
      <c r="AJ34" s="44"/>
      <c r="AK34" s="257"/>
      <c r="AL34" s="48"/>
      <c r="AM34" s="60" t="str">
        <f t="shared" si="22"/>
        <v>NO CORRESPONDE FRANCO</v>
      </c>
      <c r="AN34" s="60">
        <f t="shared" si="23"/>
        <v>9</v>
      </c>
      <c r="AO34" s="60">
        <f t="shared" si="24"/>
        <v>2</v>
      </c>
      <c r="AP34" s="60">
        <f t="shared" si="25"/>
        <v>0</v>
      </c>
      <c r="AQ34" s="60">
        <f t="shared" si="26"/>
        <v>0</v>
      </c>
      <c r="AR34" s="60">
        <f t="shared" si="27"/>
        <v>0</v>
      </c>
      <c r="AS34" s="60">
        <f t="shared" si="28"/>
        <v>2</v>
      </c>
      <c r="AT34" s="82"/>
      <c r="AU34" s="82"/>
    </row>
    <row r="35" ht="15.75" customHeight="1">
      <c r="A35" s="66" t="s">
        <v>33</v>
      </c>
      <c r="B35" s="67" t="s">
        <v>339</v>
      </c>
      <c r="C35" s="66">
        <v>4.2157414E7</v>
      </c>
      <c r="D35" s="68" t="s">
        <v>340</v>
      </c>
      <c r="E35" s="66" t="s">
        <v>341</v>
      </c>
      <c r="F35" s="44"/>
      <c r="G35" s="44"/>
      <c r="H35" s="44"/>
      <c r="I35" s="45" t="s">
        <v>27</v>
      </c>
      <c r="J35" s="45" t="s">
        <v>27</v>
      </c>
      <c r="K35" s="45" t="s">
        <v>27</v>
      </c>
      <c r="L35" s="44"/>
      <c r="M35" s="45" t="s">
        <v>27</v>
      </c>
      <c r="N35" s="45" t="s">
        <v>27</v>
      </c>
      <c r="O35" s="45" t="s">
        <v>27</v>
      </c>
      <c r="P35" s="45" t="s">
        <v>27</v>
      </c>
      <c r="Q35" s="274" t="s">
        <v>79</v>
      </c>
      <c r="R35" s="44"/>
      <c r="S35" s="44"/>
      <c r="T35" s="44"/>
      <c r="U35" s="45" t="s">
        <v>27</v>
      </c>
      <c r="V35" s="45" t="s">
        <v>27</v>
      </c>
      <c r="W35" s="45" t="s">
        <v>27</v>
      </c>
      <c r="X35" s="44"/>
      <c r="Y35" s="44"/>
      <c r="Z35" s="45" t="s">
        <v>27</v>
      </c>
      <c r="AA35" s="45" t="s">
        <v>27</v>
      </c>
      <c r="AB35" s="45" t="s">
        <v>18</v>
      </c>
      <c r="AC35" s="45" t="s">
        <v>27</v>
      </c>
      <c r="AD35" s="44"/>
      <c r="AE35" s="44"/>
      <c r="AF35" s="44"/>
      <c r="AG35" s="45" t="s">
        <v>27</v>
      </c>
      <c r="AH35" s="45" t="s">
        <v>27</v>
      </c>
      <c r="AI35" s="45" t="s">
        <v>18</v>
      </c>
      <c r="AJ35" s="44"/>
      <c r="AK35" s="257"/>
      <c r="AL35" s="48"/>
      <c r="AM35" s="60" t="str">
        <f t="shared" si="22"/>
        <v/>
      </c>
      <c r="AN35" s="60">
        <f t="shared" si="23"/>
        <v>2</v>
      </c>
      <c r="AO35" s="60">
        <f t="shared" si="24"/>
        <v>0</v>
      </c>
      <c r="AP35" s="60">
        <f t="shared" si="25"/>
        <v>0</v>
      </c>
      <c r="AQ35" s="60">
        <f t="shared" si="26"/>
        <v>0</v>
      </c>
      <c r="AR35" s="60">
        <f t="shared" si="27"/>
        <v>0</v>
      </c>
      <c r="AS35" s="60">
        <f t="shared" si="28"/>
        <v>0</v>
      </c>
      <c r="AT35" s="82"/>
      <c r="AU35" s="82"/>
    </row>
    <row r="36" ht="15.75" customHeight="1">
      <c r="A36" s="66" t="s">
        <v>33</v>
      </c>
      <c r="B36" s="67" t="s">
        <v>346</v>
      </c>
      <c r="C36" s="76">
        <v>3.0081588E7</v>
      </c>
      <c r="D36" s="67" t="s">
        <v>348</v>
      </c>
      <c r="E36" s="66" t="s">
        <v>349</v>
      </c>
      <c r="F36" s="44"/>
      <c r="G36" s="44"/>
      <c r="H36" s="44"/>
      <c r="I36" s="124" t="s">
        <v>22</v>
      </c>
      <c r="J36" s="124" t="s">
        <v>22</v>
      </c>
      <c r="K36" s="124" t="s">
        <v>22</v>
      </c>
      <c r="L36" s="124" t="s">
        <v>22</v>
      </c>
      <c r="M36" s="124" t="s">
        <v>22</v>
      </c>
      <c r="N36" s="124" t="s">
        <v>22</v>
      </c>
      <c r="O36" s="45" t="s">
        <v>27</v>
      </c>
      <c r="P36" s="45" t="s">
        <v>27</v>
      </c>
      <c r="Q36" s="45" t="s">
        <v>27</v>
      </c>
      <c r="R36" s="44"/>
      <c r="S36" s="44"/>
      <c r="T36" s="44"/>
      <c r="U36" s="45" t="s">
        <v>27</v>
      </c>
      <c r="V36" s="45" t="s">
        <v>27</v>
      </c>
      <c r="W36" s="45" t="s">
        <v>27</v>
      </c>
      <c r="X36" s="44"/>
      <c r="Y36" s="44"/>
      <c r="Z36" s="45" t="s">
        <v>27</v>
      </c>
      <c r="AA36" s="45" t="s">
        <v>27</v>
      </c>
      <c r="AB36" s="45" t="s">
        <v>18</v>
      </c>
      <c r="AC36" s="45" t="s">
        <v>27</v>
      </c>
      <c r="AD36" s="44"/>
      <c r="AE36" s="44"/>
      <c r="AF36" s="44"/>
      <c r="AG36" s="45" t="s">
        <v>27</v>
      </c>
      <c r="AH36" s="45" t="s">
        <v>27</v>
      </c>
      <c r="AI36" s="106" t="s">
        <v>32</v>
      </c>
      <c r="AJ36" s="44"/>
      <c r="AK36" s="257"/>
      <c r="AL36" s="48"/>
      <c r="AM36" s="60" t="str">
        <f t="shared" si="22"/>
        <v>NO CORRESPONDE FRANCO</v>
      </c>
      <c r="AN36" s="60">
        <f t="shared" si="23"/>
        <v>1</v>
      </c>
      <c r="AO36" s="60">
        <f t="shared" si="24"/>
        <v>0</v>
      </c>
      <c r="AP36" s="60">
        <f t="shared" si="25"/>
        <v>0</v>
      </c>
      <c r="AQ36" s="60">
        <f t="shared" si="26"/>
        <v>0</v>
      </c>
      <c r="AR36" s="60">
        <f t="shared" si="27"/>
        <v>6</v>
      </c>
      <c r="AS36" s="60">
        <f t="shared" si="28"/>
        <v>6</v>
      </c>
      <c r="AT36" s="82"/>
      <c r="AU36" s="82"/>
    </row>
    <row r="37" ht="15.75" customHeight="1">
      <c r="A37" s="66" t="s">
        <v>33</v>
      </c>
      <c r="B37" s="67" t="s">
        <v>356</v>
      </c>
      <c r="C37" s="66">
        <v>2.1764781E7</v>
      </c>
      <c r="D37" s="68" t="s">
        <v>357</v>
      </c>
      <c r="E37" s="66" t="s">
        <v>358</v>
      </c>
      <c r="F37" s="44"/>
      <c r="G37" s="44"/>
      <c r="H37" s="44"/>
      <c r="I37" s="124" t="s">
        <v>22</v>
      </c>
      <c r="J37" s="124" t="s">
        <v>22</v>
      </c>
      <c r="K37" s="124" t="s">
        <v>22</v>
      </c>
      <c r="L37" s="124" t="s">
        <v>22</v>
      </c>
      <c r="M37" s="124" t="s">
        <v>22</v>
      </c>
      <c r="N37" s="124" t="s">
        <v>22</v>
      </c>
      <c r="O37" s="124" t="s">
        <v>22</v>
      </c>
      <c r="P37" s="70"/>
      <c r="Q37" s="45" t="s">
        <v>27</v>
      </c>
      <c r="R37" s="44"/>
      <c r="S37" s="44"/>
      <c r="T37" s="44"/>
      <c r="U37" s="45" t="s">
        <v>27</v>
      </c>
      <c r="V37" s="45" t="s">
        <v>27</v>
      </c>
      <c r="W37" s="45" t="s">
        <v>27</v>
      </c>
      <c r="X37" s="44"/>
      <c r="Y37" s="44"/>
      <c r="Z37" s="45" t="s">
        <v>27</v>
      </c>
      <c r="AA37" s="45" t="s">
        <v>27</v>
      </c>
      <c r="AB37" s="45" t="s">
        <v>27</v>
      </c>
      <c r="AC37" s="45" t="s">
        <v>27</v>
      </c>
      <c r="AD37" s="44"/>
      <c r="AE37" s="44"/>
      <c r="AF37" s="44"/>
      <c r="AG37" s="45" t="s">
        <v>27</v>
      </c>
      <c r="AH37" s="45" t="s">
        <v>27</v>
      </c>
      <c r="AI37" s="106" t="s">
        <v>32</v>
      </c>
      <c r="AJ37" s="44"/>
      <c r="AK37" s="257"/>
      <c r="AL37" s="48"/>
      <c r="AM37" s="60" t="str">
        <f t="shared" si="22"/>
        <v>NO CORRESPONDE FRANCO</v>
      </c>
      <c r="AN37" s="60">
        <f t="shared" si="23"/>
        <v>0</v>
      </c>
      <c r="AO37" s="60">
        <f t="shared" si="24"/>
        <v>0</v>
      </c>
      <c r="AP37" s="60">
        <f t="shared" si="25"/>
        <v>0</v>
      </c>
      <c r="AQ37" s="60">
        <f t="shared" si="26"/>
        <v>0</v>
      </c>
      <c r="AR37" s="60">
        <f t="shared" si="27"/>
        <v>7</v>
      </c>
      <c r="AS37" s="60">
        <f t="shared" si="28"/>
        <v>7</v>
      </c>
      <c r="AT37" s="82"/>
      <c r="AU37" s="82"/>
    </row>
    <row r="38" ht="15.75" customHeight="1">
      <c r="A38" s="76" t="s">
        <v>33</v>
      </c>
      <c r="B38" s="116" t="s">
        <v>367</v>
      </c>
      <c r="C38" s="76">
        <v>4.0258358E7</v>
      </c>
      <c r="D38" s="97" t="s">
        <v>368</v>
      </c>
      <c r="E38" s="76" t="s">
        <v>369</v>
      </c>
      <c r="F38" s="44"/>
      <c r="G38" s="44"/>
      <c r="H38" s="44"/>
      <c r="I38" s="45" t="s">
        <v>18</v>
      </c>
      <c r="J38" s="45" t="s">
        <v>27</v>
      </c>
      <c r="K38" s="45" t="s">
        <v>18</v>
      </c>
      <c r="L38" s="44"/>
      <c r="M38" s="44"/>
      <c r="N38" s="45" t="s">
        <v>18</v>
      </c>
      <c r="O38" s="45" t="s">
        <v>27</v>
      </c>
      <c r="P38" s="45" t="s">
        <v>18</v>
      </c>
      <c r="Q38" s="45" t="s">
        <v>27</v>
      </c>
      <c r="R38" s="44"/>
      <c r="S38" s="44"/>
      <c r="T38" s="44"/>
      <c r="U38" s="91" t="s">
        <v>19</v>
      </c>
      <c r="V38" s="45" t="s">
        <v>27</v>
      </c>
      <c r="W38" s="45" t="s">
        <v>27</v>
      </c>
      <c r="X38" s="44"/>
      <c r="Y38" s="44"/>
      <c r="Z38" s="45" t="s">
        <v>27</v>
      </c>
      <c r="AA38" s="45" t="s">
        <v>18</v>
      </c>
      <c r="AB38" s="45" t="s">
        <v>27</v>
      </c>
      <c r="AC38" s="45" t="s">
        <v>18</v>
      </c>
      <c r="AD38" s="44"/>
      <c r="AE38" s="44"/>
      <c r="AF38" s="44"/>
      <c r="AG38" s="45" t="s">
        <v>27</v>
      </c>
      <c r="AH38" s="91" t="s">
        <v>19</v>
      </c>
      <c r="AI38" s="45" t="s">
        <v>18</v>
      </c>
      <c r="AJ38" s="44"/>
      <c r="AK38" s="257"/>
      <c r="AL38" s="48"/>
      <c r="AM38" s="60" t="str">
        <f t="shared" si="22"/>
        <v>NO CORRESPONDE FRANCO</v>
      </c>
      <c r="AN38" s="60">
        <f t="shared" si="23"/>
        <v>7</v>
      </c>
      <c r="AO38" s="60">
        <f t="shared" si="24"/>
        <v>2</v>
      </c>
      <c r="AP38" s="60">
        <f t="shared" si="25"/>
        <v>0</v>
      </c>
      <c r="AQ38" s="60">
        <f t="shared" si="26"/>
        <v>0</v>
      </c>
      <c r="AR38" s="60">
        <f t="shared" si="27"/>
        <v>0</v>
      </c>
      <c r="AS38" s="60">
        <f t="shared" si="28"/>
        <v>2</v>
      </c>
      <c r="AT38" s="82"/>
      <c r="AU38" s="82"/>
    </row>
    <row r="39" ht="15.75" customHeight="1">
      <c r="A39" s="76" t="s">
        <v>33</v>
      </c>
      <c r="B39" s="67" t="s">
        <v>376</v>
      </c>
      <c r="C39" s="76">
        <v>4.7202075E7</v>
      </c>
      <c r="D39" s="67" t="s">
        <v>377</v>
      </c>
      <c r="E39" s="66" t="s">
        <v>379</v>
      </c>
      <c r="F39" s="44"/>
      <c r="G39" s="44"/>
      <c r="H39" s="44"/>
      <c r="I39" s="45" t="s">
        <v>27</v>
      </c>
      <c r="J39" s="45" t="s">
        <v>27</v>
      </c>
      <c r="K39" s="45" t="s">
        <v>27</v>
      </c>
      <c r="L39" s="44"/>
      <c r="M39" s="44"/>
      <c r="N39" s="45" t="s">
        <v>27</v>
      </c>
      <c r="O39" s="106" t="s">
        <v>32</v>
      </c>
      <c r="P39" s="45" t="s">
        <v>27</v>
      </c>
      <c r="Q39" s="45" t="s">
        <v>18</v>
      </c>
      <c r="R39" s="44"/>
      <c r="S39" s="44"/>
      <c r="T39" s="44"/>
      <c r="U39" s="45" t="s">
        <v>27</v>
      </c>
      <c r="V39" s="45" t="s">
        <v>27</v>
      </c>
      <c r="W39" s="96" t="s">
        <v>22</v>
      </c>
      <c r="X39" s="96" t="s">
        <v>22</v>
      </c>
      <c r="Y39" s="96" t="s">
        <v>22</v>
      </c>
      <c r="Z39" s="96" t="s">
        <v>22</v>
      </c>
      <c r="AA39" s="96" t="s">
        <v>22</v>
      </c>
      <c r="AB39" s="96" t="s">
        <v>22</v>
      </c>
      <c r="AC39" s="96"/>
      <c r="AD39" s="44"/>
      <c r="AE39" s="44"/>
      <c r="AF39" s="44"/>
      <c r="AG39" s="45" t="s">
        <v>27</v>
      </c>
      <c r="AH39" s="45" t="s">
        <v>27</v>
      </c>
      <c r="AI39" s="274" t="s">
        <v>79</v>
      </c>
      <c r="AJ39" s="44"/>
      <c r="AK39" s="257"/>
      <c r="AL39" s="48"/>
      <c r="AM39" s="60" t="str">
        <f t="shared" si="22"/>
        <v>NO CORRESPONDE FRANCO</v>
      </c>
      <c r="AN39" s="60">
        <f t="shared" si="23"/>
        <v>1</v>
      </c>
      <c r="AO39" s="60">
        <f t="shared" si="24"/>
        <v>0</v>
      </c>
      <c r="AP39" s="60">
        <f t="shared" si="25"/>
        <v>0</v>
      </c>
      <c r="AQ39" s="60">
        <f t="shared" si="26"/>
        <v>0</v>
      </c>
      <c r="AR39" s="60">
        <f t="shared" si="27"/>
        <v>6</v>
      </c>
      <c r="AS39" s="60">
        <f t="shared" si="28"/>
        <v>6</v>
      </c>
      <c r="AT39" s="82"/>
      <c r="AU39" s="82"/>
    </row>
    <row r="40" ht="15.75" customHeight="1">
      <c r="A40" s="76" t="s">
        <v>33</v>
      </c>
      <c r="B40" s="67" t="s">
        <v>389</v>
      </c>
      <c r="C40" s="76">
        <v>4.6936229E7</v>
      </c>
      <c r="D40" s="67" t="s">
        <v>390</v>
      </c>
      <c r="E40" s="283" t="s">
        <v>392</v>
      </c>
      <c r="F40" s="124" t="s">
        <v>22</v>
      </c>
      <c r="G40" s="124" t="s">
        <v>22</v>
      </c>
      <c r="H40" s="124" t="s">
        <v>22</v>
      </c>
      <c r="I40" s="124" t="s">
        <v>22</v>
      </c>
      <c r="J40" s="124" t="s">
        <v>22</v>
      </c>
      <c r="K40" s="274" t="s">
        <v>79</v>
      </c>
      <c r="L40" s="44"/>
      <c r="M40" s="44"/>
      <c r="N40" s="45" t="s">
        <v>18</v>
      </c>
      <c r="O40" s="45" t="s">
        <v>18</v>
      </c>
      <c r="P40" s="45" t="s">
        <v>18</v>
      </c>
      <c r="Q40" s="45" t="s">
        <v>27</v>
      </c>
      <c r="R40" s="44"/>
      <c r="S40" s="44"/>
      <c r="T40" s="44"/>
      <c r="U40" s="91" t="s">
        <v>19</v>
      </c>
      <c r="V40" s="91" t="s">
        <v>19</v>
      </c>
      <c r="W40" s="285" t="s">
        <v>18</v>
      </c>
      <c r="X40" s="44"/>
      <c r="Y40" s="44"/>
      <c r="Z40" s="285" t="s">
        <v>18</v>
      </c>
      <c r="AA40" s="285" t="s">
        <v>27</v>
      </c>
      <c r="AB40" s="285" t="s">
        <v>18</v>
      </c>
      <c r="AC40" s="285" t="s">
        <v>18</v>
      </c>
      <c r="AD40" s="44"/>
      <c r="AE40" s="121" t="s">
        <v>393</v>
      </c>
      <c r="AF40" s="287"/>
      <c r="AG40" s="287"/>
      <c r="AH40" s="287"/>
      <c r="AI40" s="287"/>
      <c r="AJ40" s="288"/>
      <c r="AK40" s="289"/>
      <c r="AL40" s="48"/>
      <c r="AM40" s="60" t="str">
        <f t="shared" si="22"/>
        <v>NO CORRESPONDE FRANCO</v>
      </c>
      <c r="AN40" s="60">
        <f t="shared" si="23"/>
        <v>7</v>
      </c>
      <c r="AO40" s="60">
        <f t="shared" si="24"/>
        <v>2</v>
      </c>
      <c r="AP40" s="60">
        <f t="shared" si="25"/>
        <v>0</v>
      </c>
      <c r="AQ40" s="60">
        <f t="shared" si="26"/>
        <v>0</v>
      </c>
      <c r="AR40" s="60">
        <f t="shared" si="27"/>
        <v>5</v>
      </c>
      <c r="AS40" s="60">
        <f t="shared" si="28"/>
        <v>7</v>
      </c>
      <c r="AT40" s="82"/>
      <c r="AU40" s="82"/>
    </row>
    <row r="41" ht="15.75" customHeight="1">
      <c r="A41" s="76" t="s">
        <v>33</v>
      </c>
      <c r="B41" s="67" t="s">
        <v>400</v>
      </c>
      <c r="C41" s="66">
        <v>1.8880507E7</v>
      </c>
      <c r="D41" s="67" t="s">
        <v>401</v>
      </c>
      <c r="E41" s="66" t="s">
        <v>402</v>
      </c>
      <c r="F41" s="44"/>
      <c r="G41" s="44"/>
      <c r="H41" s="44"/>
      <c r="I41" s="45" t="s">
        <v>27</v>
      </c>
      <c r="J41" s="45" t="s">
        <v>27</v>
      </c>
      <c r="K41" s="45" t="s">
        <v>27</v>
      </c>
      <c r="L41" s="44"/>
      <c r="M41" s="44"/>
      <c r="N41" s="45" t="s">
        <v>27</v>
      </c>
      <c r="O41" s="45" t="s">
        <v>27</v>
      </c>
      <c r="P41" s="291">
        <v>3.650104E7</v>
      </c>
      <c r="Q41" s="45" t="s">
        <v>27</v>
      </c>
      <c r="R41" s="44"/>
      <c r="S41" s="44"/>
      <c r="T41" s="44"/>
      <c r="U41" s="45" t="s">
        <v>27</v>
      </c>
      <c r="V41" s="103" t="s">
        <v>27</v>
      </c>
      <c r="W41" s="103" t="s">
        <v>27</v>
      </c>
      <c r="X41" s="44"/>
      <c r="Y41" s="44"/>
      <c r="Z41" s="103" t="s">
        <v>27</v>
      </c>
      <c r="AA41" s="103" t="s">
        <v>27</v>
      </c>
      <c r="AB41" s="103" t="s">
        <v>27</v>
      </c>
      <c r="AC41" s="103" t="s">
        <v>27</v>
      </c>
      <c r="AD41" s="44"/>
      <c r="AE41" s="44"/>
      <c r="AF41" s="44"/>
      <c r="AG41" s="103" t="s">
        <v>27</v>
      </c>
      <c r="AH41" s="103" t="s">
        <v>27</v>
      </c>
      <c r="AI41" s="103" t="s">
        <v>27</v>
      </c>
      <c r="AJ41" s="44"/>
      <c r="AK41" s="294"/>
      <c r="AL41" s="48"/>
      <c r="AM41" s="60" t="str">
        <f t="shared" si="22"/>
        <v/>
      </c>
      <c r="AN41" s="60">
        <f t="shared" si="23"/>
        <v>0</v>
      </c>
      <c r="AO41" s="60">
        <f t="shared" si="24"/>
        <v>0</v>
      </c>
      <c r="AP41" s="60">
        <f t="shared" si="25"/>
        <v>0</v>
      </c>
      <c r="AQ41" s="60">
        <f t="shared" si="26"/>
        <v>0</v>
      </c>
      <c r="AR41" s="60">
        <f t="shared" si="27"/>
        <v>0</v>
      </c>
      <c r="AS41" s="60">
        <f t="shared" si="28"/>
        <v>0</v>
      </c>
      <c r="AT41" s="82"/>
      <c r="AU41" s="82"/>
    </row>
    <row r="42" ht="15.75" customHeight="1">
      <c r="A42" s="66" t="s">
        <v>33</v>
      </c>
      <c r="B42" s="67" t="s">
        <v>413</v>
      </c>
      <c r="C42" s="297">
        <v>4.1704091E7</v>
      </c>
      <c r="D42" s="67" t="s">
        <v>416</v>
      </c>
      <c r="E42" s="299" t="s">
        <v>417</v>
      </c>
      <c r="F42" s="44"/>
      <c r="G42" s="44"/>
      <c r="H42" s="44"/>
      <c r="I42" s="301" t="s">
        <v>27</v>
      </c>
      <c r="J42" s="301" t="s">
        <v>27</v>
      </c>
      <c r="K42" s="301" t="s">
        <v>18</v>
      </c>
      <c r="L42" s="44"/>
      <c r="M42" s="44"/>
      <c r="N42" s="301" t="s">
        <v>18</v>
      </c>
      <c r="O42" s="301" t="s">
        <v>27</v>
      </c>
      <c r="P42" s="301" t="s">
        <v>27</v>
      </c>
      <c r="Q42" s="301" t="s">
        <v>18</v>
      </c>
      <c r="R42" s="44"/>
      <c r="S42" s="44"/>
      <c r="T42" s="44"/>
      <c r="U42" s="301" t="s">
        <v>27</v>
      </c>
      <c r="V42" s="301" t="s">
        <v>27</v>
      </c>
      <c r="W42" s="301" t="s">
        <v>27</v>
      </c>
      <c r="X42" s="44"/>
      <c r="Y42" s="44"/>
      <c r="Z42" s="291" t="s">
        <v>27</v>
      </c>
      <c r="AA42" s="301" t="s">
        <v>27</v>
      </c>
      <c r="AB42" s="301" t="s">
        <v>27</v>
      </c>
      <c r="AC42" s="301" t="s">
        <v>27</v>
      </c>
      <c r="AD42" s="44"/>
      <c r="AE42" s="44"/>
      <c r="AF42" s="44"/>
      <c r="AG42" s="301" t="s">
        <v>27</v>
      </c>
      <c r="AH42" s="45" t="s">
        <v>27</v>
      </c>
      <c r="AI42" s="301" t="s">
        <v>27</v>
      </c>
      <c r="AJ42" s="44"/>
      <c r="AK42" s="257"/>
      <c r="AL42" s="48"/>
      <c r="AM42" s="60" t="str">
        <f t="shared" si="22"/>
        <v/>
      </c>
      <c r="AN42" s="60">
        <f t="shared" si="23"/>
        <v>3</v>
      </c>
      <c r="AO42" s="60">
        <f t="shared" si="24"/>
        <v>0</v>
      </c>
      <c r="AP42" s="60">
        <f t="shared" si="25"/>
        <v>0</v>
      </c>
      <c r="AQ42" s="60">
        <f t="shared" si="26"/>
        <v>0</v>
      </c>
      <c r="AR42" s="60">
        <f t="shared" si="27"/>
        <v>0</v>
      </c>
      <c r="AS42" s="60">
        <f t="shared" si="28"/>
        <v>0</v>
      </c>
      <c r="AT42" s="82"/>
      <c r="AU42" s="82"/>
    </row>
    <row r="43" ht="15.75" customHeight="1">
      <c r="A43" s="66" t="s">
        <v>33</v>
      </c>
      <c r="B43" s="67" t="s">
        <v>423</v>
      </c>
      <c r="C43" s="76">
        <v>4.6294287E7</v>
      </c>
      <c r="D43" s="67" t="s">
        <v>425</v>
      </c>
      <c r="E43" s="299" t="s">
        <v>426</v>
      </c>
      <c r="F43" s="44"/>
      <c r="G43" s="44"/>
      <c r="H43" s="44"/>
      <c r="I43" s="308" t="s">
        <v>18</v>
      </c>
      <c r="J43" s="308" t="s">
        <v>27</v>
      </c>
      <c r="K43" s="308" t="s">
        <v>27</v>
      </c>
      <c r="L43" s="44"/>
      <c r="M43" s="44"/>
      <c r="N43" s="308" t="s">
        <v>27</v>
      </c>
      <c r="O43" s="308" t="s">
        <v>27</v>
      </c>
      <c r="P43" s="308" t="s">
        <v>27</v>
      </c>
      <c r="Q43" s="308" t="s">
        <v>27</v>
      </c>
      <c r="R43" s="44"/>
      <c r="S43" s="44"/>
      <c r="T43" s="44"/>
      <c r="U43" s="308" t="s">
        <v>27</v>
      </c>
      <c r="V43" s="308" t="s">
        <v>27</v>
      </c>
      <c r="W43" s="308" t="s">
        <v>27</v>
      </c>
      <c r="X43" s="44"/>
      <c r="Y43" s="44"/>
      <c r="Z43" s="308" t="s">
        <v>27</v>
      </c>
      <c r="AA43" s="308" t="s">
        <v>27</v>
      </c>
      <c r="AB43" s="308" t="s">
        <v>27</v>
      </c>
      <c r="AC43" s="308" t="s">
        <v>27</v>
      </c>
      <c r="AD43" s="45" t="s">
        <v>27</v>
      </c>
      <c r="AE43" s="44"/>
      <c r="AF43" s="44"/>
      <c r="AG43" s="308" t="s">
        <v>27</v>
      </c>
      <c r="AH43" s="274" t="s">
        <v>79</v>
      </c>
      <c r="AI43" s="308" t="s">
        <v>18</v>
      </c>
      <c r="AJ43" s="44"/>
      <c r="AK43" s="257"/>
      <c r="AL43" s="48"/>
      <c r="AM43" s="60" t="str">
        <f t="shared" si="22"/>
        <v/>
      </c>
      <c r="AN43" s="60">
        <f t="shared" si="23"/>
        <v>2</v>
      </c>
      <c r="AO43" s="60">
        <f t="shared" si="24"/>
        <v>0</v>
      </c>
      <c r="AP43" s="60">
        <f t="shared" si="25"/>
        <v>0</v>
      </c>
      <c r="AQ43" s="60">
        <f t="shared" si="26"/>
        <v>0</v>
      </c>
      <c r="AR43" s="60">
        <f t="shared" si="27"/>
        <v>0</v>
      </c>
      <c r="AS43" s="60">
        <f t="shared" si="28"/>
        <v>0</v>
      </c>
      <c r="AT43" s="82"/>
      <c r="AU43" s="82"/>
    </row>
    <row r="44" ht="15.75" customHeight="1">
      <c r="A44" s="312"/>
      <c r="B44" s="312"/>
      <c r="C44" s="312"/>
      <c r="D44" s="312"/>
      <c r="E44" s="312"/>
      <c r="F44" s="24"/>
      <c r="G44" s="24"/>
      <c r="H44" s="24"/>
      <c r="I44" s="24"/>
      <c r="J44" s="24"/>
      <c r="K44" s="24"/>
      <c r="L44" s="24"/>
      <c r="M44" s="24"/>
      <c r="N44" s="24"/>
      <c r="O44" s="24"/>
      <c r="P44" s="24"/>
      <c r="Q44" s="24"/>
      <c r="R44" s="24"/>
      <c r="S44" s="24"/>
      <c r="T44" s="24"/>
      <c r="U44" s="24"/>
      <c r="V44" s="24"/>
      <c r="W44" s="24"/>
      <c r="X44" s="24"/>
      <c r="Y44" s="24"/>
      <c r="Z44" s="24"/>
      <c r="AA44" s="24"/>
      <c r="AB44" s="24"/>
      <c r="AC44" s="24"/>
      <c r="AD44" s="24"/>
      <c r="AE44" s="24"/>
      <c r="AF44" s="24"/>
      <c r="AG44" s="24"/>
      <c r="AH44" s="24"/>
      <c r="AI44" s="24"/>
      <c r="AJ44" s="24"/>
      <c r="AL44" s="48"/>
      <c r="AM44" s="82"/>
      <c r="AN44" s="82"/>
      <c r="AO44" s="82"/>
      <c r="AP44" s="82"/>
      <c r="AQ44" s="82"/>
      <c r="AR44" s="82"/>
      <c r="AS44" s="82"/>
      <c r="AT44" s="82"/>
      <c r="AU44" s="82"/>
    </row>
    <row r="45" ht="15.75" customHeight="1">
      <c r="A45" s="315" t="s">
        <v>431</v>
      </c>
      <c r="B45" s="2"/>
      <c r="C45" s="2"/>
      <c r="D45" s="2"/>
      <c r="E45" s="3"/>
      <c r="F45" s="316">
        <v>1.0</v>
      </c>
      <c r="G45" s="316">
        <v>2.0</v>
      </c>
      <c r="H45" s="316">
        <v>3.0</v>
      </c>
      <c r="I45" s="316">
        <v>4.0</v>
      </c>
      <c r="J45" s="316">
        <v>5.0</v>
      </c>
      <c r="K45" s="316">
        <v>6.0</v>
      </c>
      <c r="L45" s="316">
        <v>7.0</v>
      </c>
      <c r="M45" s="316">
        <v>8.0</v>
      </c>
      <c r="N45" s="316">
        <v>9.0</v>
      </c>
      <c r="O45" s="316">
        <v>10.0</v>
      </c>
      <c r="P45" s="316">
        <v>11.0</v>
      </c>
      <c r="Q45" s="316">
        <v>12.0</v>
      </c>
      <c r="R45" s="316">
        <v>13.0</v>
      </c>
      <c r="S45" s="316">
        <v>14.0</v>
      </c>
      <c r="T45" s="316">
        <v>15.0</v>
      </c>
      <c r="U45" s="316">
        <v>16.0</v>
      </c>
      <c r="V45" s="316">
        <v>17.0</v>
      </c>
      <c r="W45" s="316">
        <v>18.0</v>
      </c>
      <c r="X45" s="316">
        <v>19.0</v>
      </c>
      <c r="Y45" s="316">
        <v>20.0</v>
      </c>
      <c r="Z45" s="316">
        <v>21.0</v>
      </c>
      <c r="AA45" s="316">
        <v>22.0</v>
      </c>
      <c r="AB45" s="316">
        <v>23.0</v>
      </c>
      <c r="AC45" s="319">
        <v>24.0</v>
      </c>
      <c r="AD45" s="316">
        <v>25.0</v>
      </c>
      <c r="AE45" s="316">
        <v>26.0</v>
      </c>
      <c r="AF45" s="316">
        <v>27.0</v>
      </c>
      <c r="AG45" s="316">
        <v>28.0</v>
      </c>
      <c r="AH45" s="316">
        <v>29.0</v>
      </c>
      <c r="AI45" s="316">
        <v>30.0</v>
      </c>
      <c r="AJ45" s="316">
        <v>31.0</v>
      </c>
      <c r="AL45" s="48"/>
      <c r="AM45" s="82"/>
      <c r="AN45" s="82"/>
      <c r="AO45" s="82"/>
      <c r="AP45" s="82"/>
      <c r="AQ45" s="82"/>
      <c r="AR45" s="82"/>
      <c r="AS45" s="82"/>
      <c r="AT45" s="82"/>
      <c r="AU45" s="82"/>
    </row>
    <row r="46" ht="15.75" customHeight="1">
      <c r="A46" s="321" t="s">
        <v>4</v>
      </c>
      <c r="B46" s="323" t="s">
        <v>5</v>
      </c>
      <c r="C46" s="325" t="s">
        <v>6</v>
      </c>
      <c r="D46" s="326" t="s">
        <v>7</v>
      </c>
      <c r="E46" s="325" t="s">
        <v>8</v>
      </c>
      <c r="F46" s="316" t="s">
        <v>9</v>
      </c>
      <c r="G46" s="316" t="s">
        <v>10</v>
      </c>
      <c r="H46" s="316" t="s">
        <v>11</v>
      </c>
      <c r="I46" s="316" t="s">
        <v>12</v>
      </c>
      <c r="J46" s="316" t="s">
        <v>12</v>
      </c>
      <c r="K46" s="316" t="s">
        <v>13</v>
      </c>
      <c r="L46" s="316" t="s">
        <v>15</v>
      </c>
      <c r="M46" s="316" t="s">
        <v>9</v>
      </c>
      <c r="N46" s="316" t="s">
        <v>10</v>
      </c>
      <c r="O46" s="316" t="s">
        <v>11</v>
      </c>
      <c r="P46" s="316" t="s">
        <v>12</v>
      </c>
      <c r="Q46" s="316" t="s">
        <v>12</v>
      </c>
      <c r="R46" s="316" t="s">
        <v>13</v>
      </c>
      <c r="S46" s="316" t="s">
        <v>15</v>
      </c>
      <c r="T46" s="316" t="s">
        <v>9</v>
      </c>
      <c r="U46" s="316" t="s">
        <v>10</v>
      </c>
      <c r="V46" s="316" t="s">
        <v>11</v>
      </c>
      <c r="W46" s="316" t="s">
        <v>12</v>
      </c>
      <c r="X46" s="316" t="s">
        <v>12</v>
      </c>
      <c r="Y46" s="316" t="s">
        <v>13</v>
      </c>
      <c r="Z46" s="316" t="s">
        <v>15</v>
      </c>
      <c r="AA46" s="316" t="s">
        <v>9</v>
      </c>
      <c r="AB46" s="316" t="s">
        <v>10</v>
      </c>
      <c r="AC46" s="319" t="s">
        <v>11</v>
      </c>
      <c r="AD46" s="316" t="s">
        <v>12</v>
      </c>
      <c r="AE46" s="316" t="s">
        <v>12</v>
      </c>
      <c r="AF46" s="316" t="s">
        <v>13</v>
      </c>
      <c r="AG46" s="330" t="s">
        <v>15</v>
      </c>
      <c r="AH46" s="316" t="s">
        <v>9</v>
      </c>
      <c r="AI46" s="316" t="s">
        <v>10</v>
      </c>
      <c r="AJ46" s="316" t="s">
        <v>11</v>
      </c>
      <c r="AL46" s="48"/>
      <c r="AM46" s="82"/>
      <c r="AN46" s="82"/>
      <c r="AO46" s="82"/>
      <c r="AP46" s="82"/>
      <c r="AQ46" s="82"/>
      <c r="AR46" s="82"/>
      <c r="AS46" s="82"/>
      <c r="AT46" s="82"/>
      <c r="AU46" s="82"/>
    </row>
    <row r="47" ht="15.75" customHeight="1">
      <c r="A47" s="115" t="s">
        <v>23</v>
      </c>
      <c r="B47" s="63" t="s">
        <v>438</v>
      </c>
      <c r="C47" s="88">
        <v>11677.0</v>
      </c>
      <c r="D47" s="63" t="s">
        <v>439</v>
      </c>
      <c r="E47" s="88" t="s">
        <v>440</v>
      </c>
      <c r="F47" s="44"/>
      <c r="G47" s="44"/>
      <c r="H47" s="103" t="s">
        <v>27</v>
      </c>
      <c r="I47" s="45" t="s">
        <v>27</v>
      </c>
      <c r="J47" s="45" t="s">
        <v>27</v>
      </c>
      <c r="K47" s="44"/>
      <c r="L47" s="44"/>
      <c r="M47" s="44"/>
      <c r="N47" s="45" t="s">
        <v>27</v>
      </c>
      <c r="O47" s="45" t="s">
        <v>27</v>
      </c>
      <c r="P47" s="45" t="s">
        <v>27</v>
      </c>
      <c r="Q47" s="45" t="s">
        <v>27</v>
      </c>
      <c r="R47" s="44"/>
      <c r="S47" s="44"/>
      <c r="T47" s="103" t="s">
        <v>27</v>
      </c>
      <c r="U47" s="45" t="s">
        <v>27</v>
      </c>
      <c r="V47" s="45" t="s">
        <v>120</v>
      </c>
      <c r="W47" s="44"/>
      <c r="X47" s="44"/>
      <c r="Y47" s="44"/>
      <c r="Z47" s="45" t="s">
        <v>27</v>
      </c>
      <c r="AA47" s="45" t="s">
        <v>27</v>
      </c>
      <c r="AB47" s="45" t="s">
        <v>27</v>
      </c>
      <c r="AC47" s="45" t="s">
        <v>27</v>
      </c>
      <c r="AD47" s="44"/>
      <c r="AE47" s="44"/>
      <c r="AF47" s="45" t="s">
        <v>27</v>
      </c>
      <c r="AG47" s="45" t="s">
        <v>27</v>
      </c>
      <c r="AH47" s="45" t="s">
        <v>27</v>
      </c>
      <c r="AI47" s="44"/>
      <c r="AJ47" s="44"/>
      <c r="AL47" s="48"/>
      <c r="AM47" s="60" t="str">
        <f t="shared" ref="AM47:AM58" si="29">IFS(AN47&gt;3,"NO CORRESPONDE FRANCO",AS47&gt;0,"NO CORRESPONDE FRANCO",AS47=0,"")</f>
        <v/>
      </c>
      <c r="AN47" s="60">
        <f t="shared" ref="AN47:AN58" si="30">COUNTIF($F47:$AJ47,"LLT")</f>
        <v>0</v>
      </c>
      <c r="AO47" s="60">
        <f t="shared" ref="AO47:AO58" si="31">COUNTIF($F47:$AJ47,"LM")</f>
        <v>0</v>
      </c>
      <c r="AP47" s="60">
        <f t="shared" ref="AP47:AP58" si="32">COUNTIF($F47:$AJ47,"FaC")</f>
        <v>0</v>
      </c>
      <c r="AQ47" s="60">
        <f t="shared" ref="AQ47:AQ58" si="33">COUNTIF($F47:$AJ47,"LxE")</f>
        <v>0</v>
      </c>
      <c r="AR47" s="60">
        <f t="shared" ref="AR47:AR58" si="34">COUNTIF($F47:$AJ47,"LA")</f>
        <v>0</v>
      </c>
      <c r="AS47" s="60">
        <f t="shared" ref="AS47:AS58" si="35">SUM(AO47:AR47)</f>
        <v>0</v>
      </c>
      <c r="AT47" s="82"/>
      <c r="AU47" s="82"/>
    </row>
    <row r="48" ht="16.5" customHeight="1">
      <c r="A48" s="66" t="s">
        <v>23</v>
      </c>
      <c r="B48" s="63" t="s">
        <v>451</v>
      </c>
      <c r="C48" s="66">
        <v>17212.0</v>
      </c>
      <c r="D48" s="63" t="s">
        <v>452</v>
      </c>
      <c r="E48" s="66" t="s">
        <v>453</v>
      </c>
      <c r="F48" s="44"/>
      <c r="G48" s="44"/>
      <c r="H48" s="45" t="s">
        <v>27</v>
      </c>
      <c r="I48" s="70"/>
      <c r="J48" s="70"/>
      <c r="K48" s="44"/>
      <c r="L48" s="44"/>
      <c r="M48" s="44"/>
      <c r="N48" s="45" t="s">
        <v>27</v>
      </c>
      <c r="O48" s="45" t="s">
        <v>27</v>
      </c>
      <c r="P48" s="45" t="s">
        <v>27</v>
      </c>
      <c r="Q48" s="45" t="s">
        <v>18</v>
      </c>
      <c r="R48" s="44"/>
      <c r="S48" s="44"/>
      <c r="T48" s="45" t="s">
        <v>27</v>
      </c>
      <c r="U48" s="106" t="s">
        <v>32</v>
      </c>
      <c r="V48" s="106" t="s">
        <v>32</v>
      </c>
      <c r="W48" s="44"/>
      <c r="X48" s="44"/>
      <c r="Y48" s="44"/>
      <c r="Z48" s="45" t="s">
        <v>27</v>
      </c>
      <c r="AA48" s="45" t="s">
        <v>27</v>
      </c>
      <c r="AB48" s="45" t="s">
        <v>27</v>
      </c>
      <c r="AC48" s="45" t="s">
        <v>27</v>
      </c>
      <c r="AD48" s="44"/>
      <c r="AE48" s="44"/>
      <c r="AF48" s="45" t="s">
        <v>27</v>
      </c>
      <c r="AG48" s="103" t="s">
        <v>27</v>
      </c>
      <c r="AH48" s="45" t="s">
        <v>27</v>
      </c>
      <c r="AI48" s="44"/>
      <c r="AJ48" s="44"/>
      <c r="AL48" s="48"/>
      <c r="AM48" s="60" t="str">
        <f t="shared" si="29"/>
        <v/>
      </c>
      <c r="AN48" s="60">
        <f t="shared" si="30"/>
        <v>1</v>
      </c>
      <c r="AO48" s="60">
        <f t="shared" si="31"/>
        <v>0</v>
      </c>
      <c r="AP48" s="60">
        <f t="shared" si="32"/>
        <v>0</v>
      </c>
      <c r="AQ48" s="60">
        <f t="shared" si="33"/>
        <v>0</v>
      </c>
      <c r="AR48" s="60">
        <f t="shared" si="34"/>
        <v>0</v>
      </c>
      <c r="AS48" s="60">
        <f t="shared" si="35"/>
        <v>0</v>
      </c>
      <c r="AT48" s="82"/>
      <c r="AU48" s="82"/>
    </row>
    <row r="49" ht="15.75" customHeight="1">
      <c r="A49" s="66" t="s">
        <v>33</v>
      </c>
      <c r="B49" s="67" t="s">
        <v>455</v>
      </c>
      <c r="C49" s="66">
        <v>4.6647706E7</v>
      </c>
      <c r="D49" s="67" t="s">
        <v>456</v>
      </c>
      <c r="E49" s="66" t="s">
        <v>457</v>
      </c>
      <c r="F49" s="44"/>
      <c r="G49" s="103" t="s">
        <v>18</v>
      </c>
      <c r="H49" s="45" t="s">
        <v>18</v>
      </c>
      <c r="I49" s="45" t="s">
        <v>18</v>
      </c>
      <c r="J49" s="274" t="s">
        <v>79</v>
      </c>
      <c r="K49" s="44"/>
      <c r="L49" s="44"/>
      <c r="M49" s="44"/>
      <c r="N49" s="45" t="s">
        <v>18</v>
      </c>
      <c r="O49" s="45" t="s">
        <v>18</v>
      </c>
      <c r="P49" s="45" t="s">
        <v>18</v>
      </c>
      <c r="Q49" s="45" t="s">
        <v>18</v>
      </c>
      <c r="R49" s="44"/>
      <c r="S49" s="44"/>
      <c r="T49" s="45" t="s">
        <v>18</v>
      </c>
      <c r="U49" s="45" t="s">
        <v>18</v>
      </c>
      <c r="V49" s="45" t="s">
        <v>27</v>
      </c>
      <c r="W49" s="44"/>
      <c r="X49" s="44"/>
      <c r="Y49" s="44"/>
      <c r="Z49" s="45" t="s">
        <v>18</v>
      </c>
      <c r="AA49" s="103" t="s">
        <v>18</v>
      </c>
      <c r="AB49" s="45" t="s">
        <v>18</v>
      </c>
      <c r="AC49" s="45" t="s">
        <v>18</v>
      </c>
      <c r="AD49" s="44"/>
      <c r="AE49" s="44"/>
      <c r="AF49" s="45" t="s">
        <v>18</v>
      </c>
      <c r="AG49" s="45" t="s">
        <v>18</v>
      </c>
      <c r="AH49" s="45" t="s">
        <v>18</v>
      </c>
      <c r="AI49" s="44"/>
      <c r="AJ49" s="44"/>
      <c r="AL49" s="48"/>
      <c r="AM49" s="60" t="str">
        <f t="shared" si="29"/>
        <v>NO CORRESPONDE FRANCO</v>
      </c>
      <c r="AN49" s="60">
        <f t="shared" si="30"/>
        <v>16</v>
      </c>
      <c r="AO49" s="60">
        <f t="shared" si="31"/>
        <v>0</v>
      </c>
      <c r="AP49" s="60">
        <f t="shared" si="32"/>
        <v>0</v>
      </c>
      <c r="AQ49" s="60">
        <f t="shared" si="33"/>
        <v>0</v>
      </c>
      <c r="AR49" s="60">
        <f t="shared" si="34"/>
        <v>0</v>
      </c>
      <c r="AS49" s="60">
        <f t="shared" si="35"/>
        <v>0</v>
      </c>
      <c r="AT49" s="82"/>
      <c r="AU49" s="82"/>
    </row>
    <row r="50" ht="15.75" customHeight="1">
      <c r="A50" s="76" t="s">
        <v>33</v>
      </c>
      <c r="B50" s="116" t="s">
        <v>459</v>
      </c>
      <c r="C50" s="66">
        <v>3.9149791E7</v>
      </c>
      <c r="D50" s="116" t="s">
        <v>460</v>
      </c>
      <c r="E50" s="66" t="s">
        <v>462</v>
      </c>
      <c r="F50" s="45" t="s">
        <v>27</v>
      </c>
      <c r="G50" s="106"/>
      <c r="H50" s="45" t="s">
        <v>27</v>
      </c>
      <c r="I50" s="45" t="s">
        <v>27</v>
      </c>
      <c r="J50" s="45" t="s">
        <v>27</v>
      </c>
      <c r="K50" s="44"/>
      <c r="L50" s="44"/>
      <c r="M50" s="45" t="s">
        <v>27</v>
      </c>
      <c r="N50" s="45" t="s">
        <v>27</v>
      </c>
      <c r="O50" s="45" t="s">
        <v>27</v>
      </c>
      <c r="P50" s="45" t="s">
        <v>27</v>
      </c>
      <c r="Q50" s="106" t="s">
        <v>32</v>
      </c>
      <c r="R50" s="44"/>
      <c r="S50" s="44"/>
      <c r="T50" s="119" t="s">
        <v>79</v>
      </c>
      <c r="U50" s="45" t="s">
        <v>27</v>
      </c>
      <c r="V50" s="119" t="s">
        <v>79</v>
      </c>
      <c r="W50" s="44"/>
      <c r="X50" s="44"/>
      <c r="Y50" s="44"/>
      <c r="Z50" s="45" t="s">
        <v>27</v>
      </c>
      <c r="AA50" s="45" t="s">
        <v>27</v>
      </c>
      <c r="AB50" s="45" t="s">
        <v>27</v>
      </c>
      <c r="AC50" s="45" t="s">
        <v>27</v>
      </c>
      <c r="AD50" s="44"/>
      <c r="AE50" s="44"/>
      <c r="AF50" s="45" t="s">
        <v>27</v>
      </c>
      <c r="AG50" s="45" t="s">
        <v>27</v>
      </c>
      <c r="AH50" s="106" t="s">
        <v>32</v>
      </c>
      <c r="AI50" s="44"/>
      <c r="AJ50" s="45" t="s">
        <v>27</v>
      </c>
      <c r="AK50" s="271" t="s">
        <v>328</v>
      </c>
      <c r="AL50" s="48"/>
      <c r="AM50" s="60" t="str">
        <f t="shared" si="29"/>
        <v/>
      </c>
      <c r="AN50" s="60">
        <f t="shared" si="30"/>
        <v>0</v>
      </c>
      <c r="AO50" s="60">
        <f t="shared" si="31"/>
        <v>0</v>
      </c>
      <c r="AP50" s="60">
        <f t="shared" si="32"/>
        <v>0</v>
      </c>
      <c r="AQ50" s="60">
        <f t="shared" si="33"/>
        <v>0</v>
      </c>
      <c r="AR50" s="60">
        <f t="shared" si="34"/>
        <v>0</v>
      </c>
      <c r="AS50" s="60">
        <f t="shared" si="35"/>
        <v>0</v>
      </c>
      <c r="AT50" s="82"/>
      <c r="AU50" s="82"/>
    </row>
    <row r="51" ht="15.75" customHeight="1">
      <c r="A51" s="76" t="s">
        <v>33</v>
      </c>
      <c r="B51" s="116" t="s">
        <v>469</v>
      </c>
      <c r="C51" s="76">
        <v>3.9849206E7</v>
      </c>
      <c r="D51" s="354" t="s">
        <v>473</v>
      </c>
      <c r="E51" s="355" t="s">
        <v>474</v>
      </c>
      <c r="F51" s="103" t="s">
        <v>27</v>
      </c>
      <c r="G51" s="44"/>
      <c r="H51" s="45" t="s">
        <v>27</v>
      </c>
      <c r="I51" s="45" t="s">
        <v>27</v>
      </c>
      <c r="J51" s="45" t="s">
        <v>27</v>
      </c>
      <c r="K51" s="44"/>
      <c r="L51" s="44"/>
      <c r="M51" s="44"/>
      <c r="N51" s="119" t="s">
        <v>79</v>
      </c>
      <c r="O51" s="45" t="s">
        <v>27</v>
      </c>
      <c r="P51" s="45" t="s">
        <v>27</v>
      </c>
      <c r="Q51" s="45" t="s">
        <v>27</v>
      </c>
      <c r="R51" s="45" t="s">
        <v>27</v>
      </c>
      <c r="S51" s="44"/>
      <c r="T51" s="106" t="s">
        <v>32</v>
      </c>
      <c r="U51" s="45" t="s">
        <v>27</v>
      </c>
      <c r="V51" s="45" t="s">
        <v>27</v>
      </c>
      <c r="W51" s="44"/>
      <c r="X51" s="44"/>
      <c r="Y51" s="44"/>
      <c r="Z51" s="109" t="s">
        <v>79</v>
      </c>
      <c r="AA51" s="45" t="s">
        <v>27</v>
      </c>
      <c r="AB51" s="45" t="s">
        <v>27</v>
      </c>
      <c r="AC51" s="45" t="s">
        <v>27</v>
      </c>
      <c r="AD51" s="44"/>
      <c r="AE51" s="44"/>
      <c r="AF51" s="45" t="s">
        <v>27</v>
      </c>
      <c r="AG51" s="45" t="s">
        <v>27</v>
      </c>
      <c r="AH51" s="45" t="s">
        <v>27</v>
      </c>
      <c r="AI51" s="44"/>
      <c r="AJ51" s="44"/>
      <c r="AL51" s="48"/>
      <c r="AM51" s="60" t="str">
        <f t="shared" si="29"/>
        <v/>
      </c>
      <c r="AN51" s="60">
        <f t="shared" si="30"/>
        <v>0</v>
      </c>
      <c r="AO51" s="60">
        <f t="shared" si="31"/>
        <v>0</v>
      </c>
      <c r="AP51" s="60">
        <f t="shared" si="32"/>
        <v>0</v>
      </c>
      <c r="AQ51" s="60">
        <f t="shared" si="33"/>
        <v>0</v>
      </c>
      <c r="AR51" s="60">
        <f t="shared" si="34"/>
        <v>0</v>
      </c>
      <c r="AS51" s="60">
        <f t="shared" si="35"/>
        <v>0</v>
      </c>
      <c r="AT51" s="82"/>
      <c r="AU51" s="82"/>
    </row>
    <row r="52" ht="15.75" customHeight="1">
      <c r="A52" s="76" t="s">
        <v>33</v>
      </c>
      <c r="B52" s="116" t="s">
        <v>481</v>
      </c>
      <c r="C52" s="76">
        <v>3.9310688E7</v>
      </c>
      <c r="D52" s="116" t="s">
        <v>483</v>
      </c>
      <c r="E52" s="361" t="s">
        <v>484</v>
      </c>
      <c r="F52" s="44"/>
      <c r="G52" s="44"/>
      <c r="H52" s="352" t="s">
        <v>78</v>
      </c>
      <c r="I52" s="45" t="s">
        <v>27</v>
      </c>
      <c r="J52" s="45" t="s">
        <v>27</v>
      </c>
      <c r="K52" s="44"/>
      <c r="L52" s="44"/>
      <c r="M52" s="44"/>
      <c r="N52" s="45" t="s">
        <v>27</v>
      </c>
      <c r="O52" s="45" t="s">
        <v>27</v>
      </c>
      <c r="P52" s="45" t="s">
        <v>27</v>
      </c>
      <c r="Q52" s="45" t="s">
        <v>27</v>
      </c>
      <c r="R52" s="44"/>
      <c r="S52" s="44"/>
      <c r="T52" s="106" t="s">
        <v>32</v>
      </c>
      <c r="U52" s="45" t="s">
        <v>27</v>
      </c>
      <c r="V52" s="45" t="s">
        <v>27</v>
      </c>
      <c r="W52" s="44"/>
      <c r="X52" s="44"/>
      <c r="Y52" s="44"/>
      <c r="Z52" s="45" t="s">
        <v>27</v>
      </c>
      <c r="AA52" s="45" t="s">
        <v>27</v>
      </c>
      <c r="AB52" s="45" t="s">
        <v>27</v>
      </c>
      <c r="AC52" s="45" t="s">
        <v>27</v>
      </c>
      <c r="AD52" s="44"/>
      <c r="AE52" s="44"/>
      <c r="AF52" s="106" t="s">
        <v>32</v>
      </c>
      <c r="AG52" s="45" t="s">
        <v>27</v>
      </c>
      <c r="AH52" s="45" t="s">
        <v>27</v>
      </c>
      <c r="AI52" s="44"/>
      <c r="AJ52" s="44"/>
      <c r="AL52" s="48"/>
      <c r="AM52" s="60" t="str">
        <f t="shared" si="29"/>
        <v/>
      </c>
      <c r="AN52" s="60">
        <f t="shared" si="30"/>
        <v>0</v>
      </c>
      <c r="AO52" s="60">
        <f t="shared" si="31"/>
        <v>0</v>
      </c>
      <c r="AP52" s="60">
        <f t="shared" si="32"/>
        <v>0</v>
      </c>
      <c r="AQ52" s="60">
        <f t="shared" si="33"/>
        <v>0</v>
      </c>
      <c r="AR52" s="60">
        <f t="shared" si="34"/>
        <v>0</v>
      </c>
      <c r="AS52" s="60">
        <f t="shared" si="35"/>
        <v>0</v>
      </c>
      <c r="AT52" s="82"/>
      <c r="AU52" s="82"/>
    </row>
    <row r="53" ht="15.75" customHeight="1">
      <c r="A53" s="76" t="s">
        <v>33</v>
      </c>
      <c r="B53" s="67" t="s">
        <v>488</v>
      </c>
      <c r="C53" s="66">
        <v>1.8057238E7</v>
      </c>
      <c r="D53" s="365" t="s">
        <v>489</v>
      </c>
      <c r="E53" s="66" t="s">
        <v>493</v>
      </c>
      <c r="F53" s="44"/>
      <c r="G53" s="44"/>
      <c r="H53" s="45" t="s">
        <v>27</v>
      </c>
      <c r="I53" s="45" t="s">
        <v>27</v>
      </c>
      <c r="J53" s="45" t="s">
        <v>27</v>
      </c>
      <c r="K53" s="44"/>
      <c r="L53" s="44"/>
      <c r="M53" s="44"/>
      <c r="N53" s="45" t="s">
        <v>27</v>
      </c>
      <c r="O53" s="45" t="s">
        <v>27</v>
      </c>
      <c r="P53" s="45" t="s">
        <v>27</v>
      </c>
      <c r="Q53" s="45" t="s">
        <v>27</v>
      </c>
      <c r="R53" s="44"/>
      <c r="S53" s="44"/>
      <c r="T53" s="45" t="s">
        <v>27</v>
      </c>
      <c r="U53" s="45" t="s">
        <v>27</v>
      </c>
      <c r="V53" s="45" t="s">
        <v>27</v>
      </c>
      <c r="W53" s="44"/>
      <c r="X53" s="44"/>
      <c r="Y53" s="44"/>
      <c r="Z53" s="45" t="s">
        <v>27</v>
      </c>
      <c r="AA53" s="45" t="s">
        <v>27</v>
      </c>
      <c r="AB53" s="106" t="s">
        <v>32</v>
      </c>
      <c r="AC53" s="124"/>
      <c r="AD53" s="124" t="s">
        <v>22</v>
      </c>
      <c r="AE53" s="124" t="s">
        <v>22</v>
      </c>
      <c r="AF53" s="124" t="s">
        <v>22</v>
      </c>
      <c r="AG53" s="124" t="s">
        <v>22</v>
      </c>
      <c r="AH53" s="124" t="s">
        <v>22</v>
      </c>
      <c r="AI53" s="124" t="s">
        <v>22</v>
      </c>
      <c r="AJ53" s="44"/>
      <c r="AL53" s="48"/>
      <c r="AM53" s="60" t="str">
        <f t="shared" si="29"/>
        <v>NO CORRESPONDE FRANCO</v>
      </c>
      <c r="AN53" s="60">
        <f t="shared" si="30"/>
        <v>0</v>
      </c>
      <c r="AO53" s="60">
        <f t="shared" si="31"/>
        <v>0</v>
      </c>
      <c r="AP53" s="60">
        <f t="shared" si="32"/>
        <v>0</v>
      </c>
      <c r="AQ53" s="60">
        <f t="shared" si="33"/>
        <v>0</v>
      </c>
      <c r="AR53" s="60">
        <f t="shared" si="34"/>
        <v>6</v>
      </c>
      <c r="AS53" s="60">
        <f t="shared" si="35"/>
        <v>6</v>
      </c>
      <c r="AT53" s="82"/>
      <c r="AU53" s="82"/>
    </row>
    <row r="54" ht="15.75" customHeight="1">
      <c r="A54" s="76" t="s">
        <v>33</v>
      </c>
      <c r="B54" s="116" t="s">
        <v>496</v>
      </c>
      <c r="C54" s="76">
        <v>3.2762527E7</v>
      </c>
      <c r="D54" s="97" t="s">
        <v>497</v>
      </c>
      <c r="E54" s="76" t="s">
        <v>498</v>
      </c>
      <c r="F54" s="44"/>
      <c r="G54" s="44"/>
      <c r="H54" s="45" t="s">
        <v>27</v>
      </c>
      <c r="I54" s="45" t="s">
        <v>27</v>
      </c>
      <c r="J54" s="45" t="s">
        <v>18</v>
      </c>
      <c r="K54" s="44"/>
      <c r="L54" s="44"/>
      <c r="M54" s="44"/>
      <c r="N54" s="45" t="s">
        <v>18</v>
      </c>
      <c r="O54" s="45" t="s">
        <v>18</v>
      </c>
      <c r="P54" s="45" t="s">
        <v>18</v>
      </c>
      <c r="Q54" s="45" t="s">
        <v>18</v>
      </c>
      <c r="R54" s="44"/>
      <c r="S54" s="44"/>
      <c r="T54" s="45" t="s">
        <v>18</v>
      </c>
      <c r="U54" s="45" t="s">
        <v>27</v>
      </c>
      <c r="V54" s="106" t="s">
        <v>32</v>
      </c>
      <c r="W54" s="44"/>
      <c r="X54" s="44"/>
      <c r="Y54" s="44"/>
      <c r="Z54" s="124" t="s">
        <v>22</v>
      </c>
      <c r="AA54" s="124" t="s">
        <v>22</v>
      </c>
      <c r="AB54" s="124" t="s">
        <v>22</v>
      </c>
      <c r="AC54" s="124"/>
      <c r="AD54" s="124" t="s">
        <v>22</v>
      </c>
      <c r="AE54" s="124" t="s">
        <v>22</v>
      </c>
      <c r="AF54" s="124" t="s">
        <v>22</v>
      </c>
      <c r="AG54" s="45" t="s">
        <v>18</v>
      </c>
      <c r="AH54" s="45" t="s">
        <v>18</v>
      </c>
      <c r="AI54" s="44"/>
      <c r="AJ54" s="44"/>
      <c r="AL54" s="48"/>
      <c r="AM54" s="60" t="str">
        <f t="shared" si="29"/>
        <v>NO CORRESPONDE FRANCO</v>
      </c>
      <c r="AN54" s="60">
        <f t="shared" si="30"/>
        <v>8</v>
      </c>
      <c r="AO54" s="60">
        <f t="shared" si="31"/>
        <v>0</v>
      </c>
      <c r="AP54" s="60">
        <f t="shared" si="32"/>
        <v>0</v>
      </c>
      <c r="AQ54" s="60">
        <f t="shared" si="33"/>
        <v>0</v>
      </c>
      <c r="AR54" s="60">
        <f t="shared" si="34"/>
        <v>6</v>
      </c>
      <c r="AS54" s="60">
        <f t="shared" si="35"/>
        <v>6</v>
      </c>
      <c r="AT54" s="82"/>
      <c r="AU54" s="82"/>
    </row>
    <row r="55" ht="15.75" customHeight="1">
      <c r="A55" s="66" t="s">
        <v>33</v>
      </c>
      <c r="B55" s="116" t="s">
        <v>502</v>
      </c>
      <c r="C55" s="76">
        <v>4.2409809E7</v>
      </c>
      <c r="D55" s="97" t="s">
        <v>503</v>
      </c>
      <c r="E55" s="76" t="s">
        <v>504</v>
      </c>
      <c r="F55" s="44"/>
      <c r="G55" s="44"/>
      <c r="H55" s="45" t="s">
        <v>27</v>
      </c>
      <c r="I55" s="45" t="s">
        <v>27</v>
      </c>
      <c r="J55" s="45" t="s">
        <v>18</v>
      </c>
      <c r="K55" s="44"/>
      <c r="L55" s="44"/>
      <c r="M55" s="44"/>
      <c r="N55" s="45" t="s">
        <v>27</v>
      </c>
      <c r="O55" s="45" t="s">
        <v>27</v>
      </c>
      <c r="P55" s="45" t="s">
        <v>27</v>
      </c>
      <c r="Q55" s="45" t="s">
        <v>18</v>
      </c>
      <c r="R55" s="44"/>
      <c r="S55" s="44"/>
      <c r="T55" s="45" t="s">
        <v>27</v>
      </c>
      <c r="U55" s="45" t="s">
        <v>27</v>
      </c>
      <c r="V55" s="103" t="s">
        <v>198</v>
      </c>
      <c r="W55" s="44"/>
      <c r="X55" s="44"/>
      <c r="Y55" s="44"/>
      <c r="Z55" s="45" t="s">
        <v>27</v>
      </c>
      <c r="AA55" s="103" t="s">
        <v>18</v>
      </c>
      <c r="AB55" s="45" t="s">
        <v>18</v>
      </c>
      <c r="AC55" s="45" t="s">
        <v>27</v>
      </c>
      <c r="AD55" s="44"/>
      <c r="AE55" s="44"/>
      <c r="AF55" s="45" t="s">
        <v>27</v>
      </c>
      <c r="AG55" s="45" t="s">
        <v>18</v>
      </c>
      <c r="AH55" s="45" t="s">
        <v>18</v>
      </c>
      <c r="AI55" s="44"/>
      <c r="AJ55" s="44"/>
      <c r="AL55" s="48"/>
      <c r="AM55" s="60" t="str">
        <f t="shared" si="29"/>
        <v>NO CORRESPONDE FRANCO</v>
      </c>
      <c r="AN55" s="60">
        <f t="shared" si="30"/>
        <v>6</v>
      </c>
      <c r="AO55" s="60">
        <f t="shared" si="31"/>
        <v>0</v>
      </c>
      <c r="AP55" s="60">
        <f t="shared" si="32"/>
        <v>0</v>
      </c>
      <c r="AQ55" s="60">
        <f t="shared" si="33"/>
        <v>0</v>
      </c>
      <c r="AR55" s="60">
        <f t="shared" si="34"/>
        <v>0</v>
      </c>
      <c r="AS55" s="60">
        <f t="shared" si="35"/>
        <v>0</v>
      </c>
      <c r="AT55" s="82"/>
      <c r="AU55" s="82"/>
    </row>
    <row r="56" ht="15.75" customHeight="1">
      <c r="A56" s="66" t="s">
        <v>33</v>
      </c>
      <c r="B56" s="116" t="s">
        <v>511</v>
      </c>
      <c r="C56" s="76">
        <v>4.3170624E7</v>
      </c>
      <c r="D56" s="229" t="s">
        <v>513</v>
      </c>
      <c r="E56" s="76" t="s">
        <v>515</v>
      </c>
      <c r="F56" s="44"/>
      <c r="G56" s="44"/>
      <c r="H56" s="45" t="s">
        <v>27</v>
      </c>
      <c r="I56" s="45" t="s">
        <v>27</v>
      </c>
      <c r="J56" s="45" t="s">
        <v>27</v>
      </c>
      <c r="K56" s="44"/>
      <c r="L56" s="44"/>
      <c r="M56" s="44"/>
      <c r="N56" s="45" t="s">
        <v>27</v>
      </c>
      <c r="O56" s="45" t="s">
        <v>27</v>
      </c>
      <c r="P56" s="45" t="s">
        <v>27</v>
      </c>
      <c r="Q56" s="45" t="s">
        <v>18</v>
      </c>
      <c r="R56" s="44"/>
      <c r="S56" s="44"/>
      <c r="T56" s="45" t="s">
        <v>27</v>
      </c>
      <c r="U56" s="45" t="s">
        <v>27</v>
      </c>
      <c r="V56" s="45" t="s">
        <v>27</v>
      </c>
      <c r="W56" s="44"/>
      <c r="X56" s="44"/>
      <c r="Y56" s="44"/>
      <c r="Z56" s="45" t="s">
        <v>27</v>
      </c>
      <c r="AA56" s="45" t="s">
        <v>18</v>
      </c>
      <c r="AB56" s="45" t="s">
        <v>27</v>
      </c>
      <c r="AC56" s="45" t="s">
        <v>27</v>
      </c>
      <c r="AD56" s="44"/>
      <c r="AE56" s="44"/>
      <c r="AF56" s="45" t="s">
        <v>27</v>
      </c>
      <c r="AG56" s="45" t="s">
        <v>27</v>
      </c>
      <c r="AH56" s="45" t="s">
        <v>27</v>
      </c>
      <c r="AI56" s="44"/>
      <c r="AJ56" s="44"/>
      <c r="AL56" s="48"/>
      <c r="AM56" s="60" t="str">
        <f t="shared" si="29"/>
        <v/>
      </c>
      <c r="AN56" s="60">
        <f t="shared" si="30"/>
        <v>2</v>
      </c>
      <c r="AO56" s="60">
        <f t="shared" si="31"/>
        <v>0</v>
      </c>
      <c r="AP56" s="60">
        <f t="shared" si="32"/>
        <v>0</v>
      </c>
      <c r="AQ56" s="60">
        <f t="shared" si="33"/>
        <v>0</v>
      </c>
      <c r="AR56" s="60">
        <f t="shared" si="34"/>
        <v>0</v>
      </c>
      <c r="AS56" s="60">
        <f t="shared" si="35"/>
        <v>0</v>
      </c>
      <c r="AT56" s="82"/>
      <c r="AU56" s="82"/>
    </row>
    <row r="57" ht="15.75" customHeight="1">
      <c r="A57" s="66" t="s">
        <v>33</v>
      </c>
      <c r="B57" s="116" t="s">
        <v>520</v>
      </c>
      <c r="C57" s="76">
        <v>2.3782468E7</v>
      </c>
      <c r="D57" s="97" t="s">
        <v>521</v>
      </c>
      <c r="E57" s="76" t="s">
        <v>522</v>
      </c>
      <c r="F57" s="44"/>
      <c r="G57" s="44"/>
      <c r="H57" s="45" t="s">
        <v>27</v>
      </c>
      <c r="I57" s="45" t="s">
        <v>27</v>
      </c>
      <c r="J57" s="45" t="s">
        <v>27</v>
      </c>
      <c r="K57" s="44"/>
      <c r="L57" s="44"/>
      <c r="M57" s="44"/>
      <c r="N57" s="45" t="s">
        <v>27</v>
      </c>
      <c r="O57" s="45" t="s">
        <v>27</v>
      </c>
      <c r="P57" s="45" t="s">
        <v>27</v>
      </c>
      <c r="Q57" s="45" t="s">
        <v>27</v>
      </c>
      <c r="R57" s="44"/>
      <c r="S57" s="44"/>
      <c r="T57" s="45" t="s">
        <v>27</v>
      </c>
      <c r="U57" s="45" t="s">
        <v>27</v>
      </c>
      <c r="V57" s="45" t="s">
        <v>27</v>
      </c>
      <c r="W57" s="44"/>
      <c r="X57" s="44"/>
      <c r="Y57" s="44"/>
      <c r="Z57" s="45" t="s">
        <v>27</v>
      </c>
      <c r="AA57" s="103" t="s">
        <v>27</v>
      </c>
      <c r="AB57" s="45" t="s">
        <v>27</v>
      </c>
      <c r="AC57" s="45" t="s">
        <v>27</v>
      </c>
      <c r="AD57" s="44"/>
      <c r="AE57" s="44"/>
      <c r="AF57" s="45" t="s">
        <v>27</v>
      </c>
      <c r="AG57" s="45" t="s">
        <v>27</v>
      </c>
      <c r="AH57" s="45" t="s">
        <v>27</v>
      </c>
      <c r="AI57" s="44"/>
      <c r="AJ57" s="44"/>
      <c r="AL57" s="48"/>
      <c r="AM57" s="60" t="str">
        <f t="shared" si="29"/>
        <v/>
      </c>
      <c r="AN57" s="60">
        <f t="shared" si="30"/>
        <v>0</v>
      </c>
      <c r="AO57" s="60">
        <f t="shared" si="31"/>
        <v>0</v>
      </c>
      <c r="AP57" s="60">
        <f t="shared" si="32"/>
        <v>0</v>
      </c>
      <c r="AQ57" s="60">
        <f t="shared" si="33"/>
        <v>0</v>
      </c>
      <c r="AR57" s="60">
        <f t="shared" si="34"/>
        <v>0</v>
      </c>
      <c r="AS57" s="60">
        <f t="shared" si="35"/>
        <v>0</v>
      </c>
      <c r="AT57" s="82"/>
      <c r="AU57" s="82"/>
    </row>
    <row r="58" ht="15.75" customHeight="1">
      <c r="A58" s="66" t="s">
        <v>33</v>
      </c>
      <c r="B58" s="116" t="s">
        <v>529</v>
      </c>
      <c r="C58" s="76">
        <v>4.2090094E7</v>
      </c>
      <c r="D58" s="97" t="s">
        <v>530</v>
      </c>
      <c r="E58" s="76" t="s">
        <v>531</v>
      </c>
      <c r="F58" s="44"/>
      <c r="G58" s="44"/>
      <c r="H58" s="45" t="s">
        <v>27</v>
      </c>
      <c r="I58" s="45" t="s">
        <v>27</v>
      </c>
      <c r="J58" s="45" t="s">
        <v>27</v>
      </c>
      <c r="K58" s="44"/>
      <c r="L58" s="44"/>
      <c r="M58" s="44"/>
      <c r="N58" s="45" t="s">
        <v>27</v>
      </c>
      <c r="O58" s="45" t="s">
        <v>27</v>
      </c>
      <c r="P58" s="45" t="s">
        <v>27</v>
      </c>
      <c r="Q58" s="45" t="s">
        <v>27</v>
      </c>
      <c r="R58" s="44"/>
      <c r="S58" s="44"/>
      <c r="T58" s="45" t="s">
        <v>27</v>
      </c>
      <c r="U58" s="45" t="s">
        <v>27</v>
      </c>
      <c r="V58" s="45" t="s">
        <v>27</v>
      </c>
      <c r="W58" s="44"/>
      <c r="X58" s="44"/>
      <c r="Y58" s="44"/>
      <c r="Z58" s="45" t="s">
        <v>27</v>
      </c>
      <c r="AA58" s="45" t="s">
        <v>27</v>
      </c>
      <c r="AB58" s="45" t="s">
        <v>27</v>
      </c>
      <c r="AC58" s="45" t="s">
        <v>27</v>
      </c>
      <c r="AD58" s="44"/>
      <c r="AE58" s="44"/>
      <c r="AF58" s="45" t="s">
        <v>27</v>
      </c>
      <c r="AG58" s="45" t="s">
        <v>27</v>
      </c>
      <c r="AH58" s="45" t="s">
        <v>27</v>
      </c>
      <c r="AI58" s="44"/>
      <c r="AJ58" s="44"/>
      <c r="AL58" s="48"/>
      <c r="AM58" s="60" t="str">
        <f t="shared" si="29"/>
        <v/>
      </c>
      <c r="AN58" s="60">
        <f t="shared" si="30"/>
        <v>0</v>
      </c>
      <c r="AO58" s="60">
        <f t="shared" si="31"/>
        <v>0</v>
      </c>
      <c r="AP58" s="60">
        <f t="shared" si="32"/>
        <v>0</v>
      </c>
      <c r="AQ58" s="60">
        <f t="shared" si="33"/>
        <v>0</v>
      </c>
      <c r="AR58" s="60">
        <f t="shared" si="34"/>
        <v>0</v>
      </c>
      <c r="AS58" s="60">
        <f t="shared" si="35"/>
        <v>0</v>
      </c>
      <c r="AT58" s="82"/>
      <c r="AU58" s="82"/>
    </row>
    <row r="59" ht="15.75" customHeight="1">
      <c r="A59" s="164"/>
      <c r="B59" s="164"/>
      <c r="C59" s="164"/>
      <c r="D59" s="164"/>
      <c r="E59" s="377"/>
      <c r="F59" s="24"/>
      <c r="G59" s="24"/>
      <c r="H59" s="24"/>
      <c r="I59" s="24"/>
      <c r="J59" s="24"/>
      <c r="K59" s="24"/>
      <c r="L59" s="24"/>
      <c r="M59" s="24"/>
      <c r="N59" s="24"/>
      <c r="O59" s="24"/>
      <c r="P59" s="24"/>
      <c r="Q59" s="24"/>
      <c r="R59" s="24"/>
      <c r="S59" s="24"/>
      <c r="T59" s="24"/>
      <c r="U59" s="24"/>
      <c r="V59" s="24"/>
      <c r="W59" s="24"/>
      <c r="X59" s="24"/>
      <c r="Y59" s="24"/>
      <c r="Z59" s="24"/>
      <c r="AA59" s="24"/>
      <c r="AB59" s="24"/>
      <c r="AC59" s="24"/>
      <c r="AD59" s="24"/>
      <c r="AE59" s="24"/>
      <c r="AF59" s="24"/>
      <c r="AG59" s="24"/>
      <c r="AH59" s="24"/>
      <c r="AI59" s="24"/>
      <c r="AJ59" s="24"/>
      <c r="AL59" s="48"/>
      <c r="AM59" s="82"/>
      <c r="AN59" s="82"/>
      <c r="AO59" s="82"/>
      <c r="AP59" s="82"/>
      <c r="AQ59" s="82"/>
      <c r="AR59" s="82"/>
      <c r="AS59" s="82"/>
      <c r="AT59" s="82"/>
      <c r="AU59" s="82"/>
    </row>
    <row r="60" ht="15.75" customHeight="1">
      <c r="A60" s="34" t="s">
        <v>542</v>
      </c>
      <c r="B60" s="6"/>
      <c r="C60" s="6"/>
      <c r="D60" s="6"/>
      <c r="E60" s="11"/>
      <c r="F60" s="7">
        <v>1.0</v>
      </c>
      <c r="G60" s="7">
        <v>2.0</v>
      </c>
      <c r="H60" s="7">
        <v>3.0</v>
      </c>
      <c r="I60" s="7">
        <v>4.0</v>
      </c>
      <c r="J60" s="7">
        <v>5.0</v>
      </c>
      <c r="K60" s="7">
        <v>6.0</v>
      </c>
      <c r="L60" s="7">
        <v>7.0</v>
      </c>
      <c r="M60" s="7">
        <v>8.0</v>
      </c>
      <c r="N60" s="7">
        <v>9.0</v>
      </c>
      <c r="O60" s="7">
        <v>10.0</v>
      </c>
      <c r="P60" s="7">
        <v>11.0</v>
      </c>
      <c r="Q60" s="7">
        <v>12.0</v>
      </c>
      <c r="R60" s="7">
        <v>13.0</v>
      </c>
      <c r="S60" s="7">
        <v>14.0</v>
      </c>
      <c r="T60" s="7">
        <v>15.0</v>
      </c>
      <c r="U60" s="7">
        <v>16.0</v>
      </c>
      <c r="V60" s="7">
        <v>17.0</v>
      </c>
      <c r="W60" s="7">
        <v>18.0</v>
      </c>
      <c r="X60" s="7">
        <v>19.0</v>
      </c>
      <c r="Y60" s="7">
        <v>20.0</v>
      </c>
      <c r="Z60" s="7">
        <v>21.0</v>
      </c>
      <c r="AA60" s="7">
        <v>22.0</v>
      </c>
      <c r="AB60" s="7">
        <v>23.0</v>
      </c>
      <c r="AC60" s="10">
        <v>24.0</v>
      </c>
      <c r="AD60" s="7">
        <v>25.0</v>
      </c>
      <c r="AE60" s="7">
        <v>26.0</v>
      </c>
      <c r="AF60" s="7">
        <v>27.0</v>
      </c>
      <c r="AG60" s="7">
        <v>28.0</v>
      </c>
      <c r="AH60" s="7">
        <v>29.0</v>
      </c>
      <c r="AI60" s="7">
        <v>30.0</v>
      </c>
      <c r="AJ60" s="7">
        <v>31.0</v>
      </c>
      <c r="AL60" s="48"/>
      <c r="AM60" s="82"/>
      <c r="AN60" s="82"/>
      <c r="AO60" s="82"/>
      <c r="AP60" s="82"/>
      <c r="AQ60" s="82"/>
      <c r="AR60" s="82"/>
      <c r="AS60" s="82"/>
      <c r="AT60" s="82"/>
      <c r="AU60" s="82"/>
    </row>
    <row r="61" ht="15.75" customHeight="1">
      <c r="A61" s="17" t="s">
        <v>4</v>
      </c>
      <c r="B61" s="18" t="s">
        <v>5</v>
      </c>
      <c r="C61" s="20" t="s">
        <v>6</v>
      </c>
      <c r="D61" s="381" t="s">
        <v>7</v>
      </c>
      <c r="E61" s="20" t="s">
        <v>8</v>
      </c>
      <c r="F61" s="7" t="s">
        <v>9</v>
      </c>
      <c r="G61" s="7" t="s">
        <v>10</v>
      </c>
      <c r="H61" s="7" t="s">
        <v>11</v>
      </c>
      <c r="I61" s="7" t="s">
        <v>12</v>
      </c>
      <c r="J61" s="7" t="s">
        <v>12</v>
      </c>
      <c r="K61" s="7" t="s">
        <v>13</v>
      </c>
      <c r="L61" s="7" t="s">
        <v>15</v>
      </c>
      <c r="M61" s="7" t="s">
        <v>9</v>
      </c>
      <c r="N61" s="7" t="s">
        <v>10</v>
      </c>
      <c r="O61" s="7" t="s">
        <v>11</v>
      </c>
      <c r="P61" s="7" t="s">
        <v>12</v>
      </c>
      <c r="Q61" s="7" t="s">
        <v>12</v>
      </c>
      <c r="R61" s="7" t="s">
        <v>13</v>
      </c>
      <c r="S61" s="7" t="s">
        <v>15</v>
      </c>
      <c r="T61" s="7" t="s">
        <v>9</v>
      </c>
      <c r="U61" s="7" t="s">
        <v>10</v>
      </c>
      <c r="V61" s="7" t="s">
        <v>11</v>
      </c>
      <c r="W61" s="7" t="s">
        <v>12</v>
      </c>
      <c r="X61" s="7" t="s">
        <v>12</v>
      </c>
      <c r="Y61" s="7" t="s">
        <v>13</v>
      </c>
      <c r="Z61" s="7" t="s">
        <v>15</v>
      </c>
      <c r="AA61" s="7" t="s">
        <v>9</v>
      </c>
      <c r="AB61" s="7" t="s">
        <v>10</v>
      </c>
      <c r="AC61" s="10" t="s">
        <v>11</v>
      </c>
      <c r="AD61" s="7" t="s">
        <v>12</v>
      </c>
      <c r="AE61" s="7" t="s">
        <v>12</v>
      </c>
      <c r="AF61" s="7" t="s">
        <v>13</v>
      </c>
      <c r="AG61" s="27" t="s">
        <v>15</v>
      </c>
      <c r="AH61" s="7" t="s">
        <v>9</v>
      </c>
      <c r="AI61" s="7" t="s">
        <v>10</v>
      </c>
      <c r="AJ61" s="7" t="s">
        <v>11</v>
      </c>
      <c r="AL61" s="48"/>
      <c r="AM61" s="82"/>
      <c r="AN61" s="82"/>
      <c r="AO61" s="82"/>
      <c r="AP61" s="82"/>
      <c r="AQ61" s="82"/>
      <c r="AR61" s="82"/>
      <c r="AS61" s="82"/>
      <c r="AT61" s="82"/>
      <c r="AU61" s="82"/>
    </row>
    <row r="62" ht="15.75" customHeight="1">
      <c r="A62" s="115" t="s">
        <v>33</v>
      </c>
      <c r="B62" s="63" t="s">
        <v>557</v>
      </c>
      <c r="C62" s="88">
        <v>1.7500576E7</v>
      </c>
      <c r="D62" s="116" t="s">
        <v>558</v>
      </c>
      <c r="E62" s="40" t="s">
        <v>559</v>
      </c>
      <c r="F62" s="45" t="s">
        <v>27</v>
      </c>
      <c r="G62" s="44"/>
      <c r="H62" s="44"/>
      <c r="I62" s="44"/>
      <c r="J62" s="45" t="s">
        <v>18</v>
      </c>
      <c r="K62" s="45" t="s">
        <v>18</v>
      </c>
      <c r="L62" s="45" t="s">
        <v>27</v>
      </c>
      <c r="M62" s="119" t="s">
        <v>79</v>
      </c>
      <c r="N62" s="44"/>
      <c r="O62" s="44"/>
      <c r="P62" s="45" t="s">
        <v>27</v>
      </c>
      <c r="Q62" s="45" t="s">
        <v>27</v>
      </c>
      <c r="R62" s="70"/>
      <c r="S62" s="44"/>
      <c r="T62" s="103" t="s">
        <v>27</v>
      </c>
      <c r="U62" s="44"/>
      <c r="V62" s="45" t="s">
        <v>27</v>
      </c>
      <c r="W62" s="96" t="s">
        <v>22</v>
      </c>
      <c r="X62" s="96" t="s">
        <v>22</v>
      </c>
      <c r="Y62" s="96" t="s">
        <v>22</v>
      </c>
      <c r="Z62" s="96" t="s">
        <v>22</v>
      </c>
      <c r="AA62" s="96" t="s">
        <v>22</v>
      </c>
      <c r="AB62" s="96" t="s">
        <v>22</v>
      </c>
      <c r="AC62" s="96"/>
      <c r="AD62" s="106" t="s">
        <v>32</v>
      </c>
      <c r="AE62" s="44"/>
      <c r="AF62" s="44"/>
      <c r="AG62" s="44"/>
      <c r="AH62" s="45" t="s">
        <v>27</v>
      </c>
      <c r="AI62" s="45" t="s">
        <v>27</v>
      </c>
      <c r="AJ62" s="45" t="s">
        <v>27</v>
      </c>
      <c r="AL62" s="48"/>
      <c r="AM62" s="60" t="str">
        <f t="shared" ref="AM62:AM70" si="36">IFS(AN62&gt;3,"NO CORRESPONDE FRANCO",AS62&gt;0,"NO CORRESPONDE FRANCO",AS62=0,"")</f>
        <v>NO CORRESPONDE FRANCO</v>
      </c>
      <c r="AN62" s="60">
        <f t="shared" ref="AN62:AN70" si="37">COUNTIF($F62:$AJ62,"LLT")</f>
        <v>2</v>
      </c>
      <c r="AO62" s="60">
        <f t="shared" ref="AO62:AO70" si="38">COUNTIF($F62:$AJ62,"LM")</f>
        <v>0</v>
      </c>
      <c r="AP62" s="60">
        <f t="shared" ref="AP62:AP70" si="39">COUNTIF($F62:$AJ62,"FaC")</f>
        <v>0</v>
      </c>
      <c r="AQ62" s="60">
        <f t="shared" ref="AQ62:AQ70" si="40">COUNTIF($F62:$AJ62,"LxE")</f>
        <v>0</v>
      </c>
      <c r="AR62" s="60">
        <f t="shared" ref="AR62:AR70" si="41">COUNTIF($F62:$AJ62,"LA")</f>
        <v>6</v>
      </c>
      <c r="AS62" s="60">
        <f t="shared" ref="AS62:AS70" si="42">SUM(AO62:AR62)</f>
        <v>6</v>
      </c>
      <c r="AT62" s="82"/>
      <c r="AU62" s="82"/>
    </row>
    <row r="63" ht="15.75" customHeight="1">
      <c r="A63" s="76" t="s">
        <v>33</v>
      </c>
      <c r="B63" s="63" t="s">
        <v>567</v>
      </c>
      <c r="C63" s="88">
        <v>3.9742979E7</v>
      </c>
      <c r="D63" s="387" t="s">
        <v>568</v>
      </c>
      <c r="E63" s="40" t="s">
        <v>575</v>
      </c>
      <c r="F63" s="45" t="s">
        <v>27</v>
      </c>
      <c r="G63" s="44"/>
      <c r="H63" s="44"/>
      <c r="I63" s="44"/>
      <c r="J63" s="45" t="s">
        <v>27</v>
      </c>
      <c r="K63" s="45" t="s">
        <v>27</v>
      </c>
      <c r="L63" s="45" t="s">
        <v>27</v>
      </c>
      <c r="M63" s="45" t="s">
        <v>27</v>
      </c>
      <c r="N63" s="45" t="s">
        <v>27</v>
      </c>
      <c r="O63" s="44"/>
      <c r="P63" s="45" t="s">
        <v>27</v>
      </c>
      <c r="Q63" s="45" t="s">
        <v>27</v>
      </c>
      <c r="R63" s="119" t="s">
        <v>79</v>
      </c>
      <c r="S63" s="44"/>
      <c r="T63" s="44"/>
      <c r="U63" s="44"/>
      <c r="V63" s="45" t="s">
        <v>27</v>
      </c>
      <c r="W63" s="45" t="s">
        <v>27</v>
      </c>
      <c r="X63" s="45" t="s">
        <v>27</v>
      </c>
      <c r="Y63" s="45" t="s">
        <v>27</v>
      </c>
      <c r="Z63" s="44"/>
      <c r="AA63" s="45" t="s">
        <v>27</v>
      </c>
      <c r="AB63" s="45" t="s">
        <v>27</v>
      </c>
      <c r="AC63" s="45" t="s">
        <v>27</v>
      </c>
      <c r="AD63" s="45" t="s">
        <v>27</v>
      </c>
      <c r="AE63" s="44"/>
      <c r="AF63" s="44"/>
      <c r="AG63" s="44"/>
      <c r="AH63" s="119" t="s">
        <v>79</v>
      </c>
      <c r="AI63" s="45" t="s">
        <v>27</v>
      </c>
      <c r="AJ63" s="45" t="s">
        <v>27</v>
      </c>
      <c r="AL63" s="48"/>
      <c r="AM63" s="60" t="str">
        <f t="shared" si="36"/>
        <v/>
      </c>
      <c r="AN63" s="60">
        <f t="shared" si="37"/>
        <v>0</v>
      </c>
      <c r="AO63" s="60">
        <f t="shared" si="38"/>
        <v>0</v>
      </c>
      <c r="AP63" s="60">
        <f t="shared" si="39"/>
        <v>0</v>
      </c>
      <c r="AQ63" s="60">
        <f t="shared" si="40"/>
        <v>0</v>
      </c>
      <c r="AR63" s="60">
        <f t="shared" si="41"/>
        <v>0</v>
      </c>
      <c r="AS63" s="60">
        <f t="shared" si="42"/>
        <v>0</v>
      </c>
      <c r="AT63" s="82"/>
      <c r="AU63" s="82"/>
    </row>
    <row r="64" ht="15.75" customHeight="1">
      <c r="A64" s="76" t="s">
        <v>33</v>
      </c>
      <c r="B64" s="116" t="s">
        <v>580</v>
      </c>
      <c r="C64" s="76">
        <v>4.7161746E7</v>
      </c>
      <c r="D64" s="116" t="s">
        <v>581</v>
      </c>
      <c r="E64" s="76" t="s">
        <v>582</v>
      </c>
      <c r="F64" s="45" t="s">
        <v>27</v>
      </c>
      <c r="G64" s="44"/>
      <c r="H64" s="44"/>
      <c r="I64" s="44"/>
      <c r="J64" s="45" t="s">
        <v>18</v>
      </c>
      <c r="K64" s="45" t="s">
        <v>18</v>
      </c>
      <c r="L64" s="45" t="s">
        <v>27</v>
      </c>
      <c r="M64" s="45" t="s">
        <v>18</v>
      </c>
      <c r="N64" s="44"/>
      <c r="O64" s="44"/>
      <c r="P64" s="45" t="s">
        <v>27</v>
      </c>
      <c r="Q64" s="45" t="s">
        <v>27</v>
      </c>
      <c r="R64" s="45" t="s">
        <v>18</v>
      </c>
      <c r="S64" s="44"/>
      <c r="T64" s="44"/>
      <c r="U64" s="44"/>
      <c r="V64" s="103" t="s">
        <v>18</v>
      </c>
      <c r="W64" s="45" t="s">
        <v>18</v>
      </c>
      <c r="X64" s="45" t="s">
        <v>18</v>
      </c>
      <c r="Y64" s="45" t="s">
        <v>27</v>
      </c>
      <c r="Z64" s="44"/>
      <c r="AA64" s="44"/>
      <c r="AB64" s="175" t="s">
        <v>18</v>
      </c>
      <c r="AC64" s="91" t="s">
        <v>19</v>
      </c>
      <c r="AD64" s="45" t="s">
        <v>18</v>
      </c>
      <c r="AE64" s="44"/>
      <c r="AF64" s="44"/>
      <c r="AG64" s="44"/>
      <c r="AH64" s="45" t="s">
        <v>18</v>
      </c>
      <c r="AI64" s="45" t="s">
        <v>27</v>
      </c>
      <c r="AJ64" s="45" t="s">
        <v>27</v>
      </c>
      <c r="AK64" s="257"/>
      <c r="AL64" s="48"/>
      <c r="AM64" s="60" t="str">
        <f t="shared" si="36"/>
        <v>NO CORRESPONDE FRANCO</v>
      </c>
      <c r="AN64" s="60">
        <f t="shared" si="37"/>
        <v>10</v>
      </c>
      <c r="AO64" s="60">
        <f t="shared" si="38"/>
        <v>1</v>
      </c>
      <c r="AP64" s="60">
        <f t="shared" si="39"/>
        <v>0</v>
      </c>
      <c r="AQ64" s="60">
        <f t="shared" si="40"/>
        <v>0</v>
      </c>
      <c r="AR64" s="60">
        <f t="shared" si="41"/>
        <v>0</v>
      </c>
      <c r="AS64" s="60">
        <f t="shared" si="42"/>
        <v>1</v>
      </c>
      <c r="AT64" s="82"/>
      <c r="AU64" s="82"/>
    </row>
    <row r="65" ht="17.25" customHeight="1">
      <c r="A65" s="76" t="s">
        <v>33</v>
      </c>
      <c r="B65" s="116" t="s">
        <v>586</v>
      </c>
      <c r="C65" s="76">
        <v>4.007339E7</v>
      </c>
      <c r="D65" s="116" t="s">
        <v>587</v>
      </c>
      <c r="E65" s="76" t="s">
        <v>588</v>
      </c>
      <c r="F65" s="45" t="s">
        <v>27</v>
      </c>
      <c r="G65" s="44"/>
      <c r="H65" s="44"/>
      <c r="I65" s="44"/>
      <c r="J65" s="45" t="s">
        <v>27</v>
      </c>
      <c r="K65" s="45" t="s">
        <v>27</v>
      </c>
      <c r="L65" s="45" t="s">
        <v>27</v>
      </c>
      <c r="M65" s="45" t="s">
        <v>27</v>
      </c>
      <c r="N65" s="44"/>
      <c r="O65" s="44"/>
      <c r="P65" s="45" t="s">
        <v>27</v>
      </c>
      <c r="Q65" s="45" t="s">
        <v>27</v>
      </c>
      <c r="R65" s="45" t="s">
        <v>27</v>
      </c>
      <c r="S65" s="44"/>
      <c r="T65" s="44"/>
      <c r="U65" s="44"/>
      <c r="V65" s="106" t="s">
        <v>32</v>
      </c>
      <c r="W65" s="70"/>
      <c r="X65" s="45" t="s">
        <v>27</v>
      </c>
      <c r="Y65" s="45" t="s">
        <v>27</v>
      </c>
      <c r="Z65" s="44"/>
      <c r="AA65" s="44"/>
      <c r="AB65" s="45" t="s">
        <v>27</v>
      </c>
      <c r="AC65" s="45" t="s">
        <v>27</v>
      </c>
      <c r="AD65" s="45" t="s">
        <v>27</v>
      </c>
      <c r="AE65" s="44"/>
      <c r="AF65" s="44"/>
      <c r="AG65" s="44"/>
      <c r="AH65" s="45" t="s">
        <v>27</v>
      </c>
      <c r="AI65" s="45" t="s">
        <v>27</v>
      </c>
      <c r="AJ65" s="45" t="s">
        <v>27</v>
      </c>
      <c r="AK65" s="393" t="s">
        <v>592</v>
      </c>
      <c r="AL65" s="48"/>
      <c r="AM65" s="60" t="str">
        <f t="shared" si="36"/>
        <v/>
      </c>
      <c r="AN65" s="60">
        <f t="shared" si="37"/>
        <v>0</v>
      </c>
      <c r="AO65" s="60">
        <f t="shared" si="38"/>
        <v>0</v>
      </c>
      <c r="AP65" s="60">
        <f t="shared" si="39"/>
        <v>0</v>
      </c>
      <c r="AQ65" s="60">
        <f t="shared" si="40"/>
        <v>0</v>
      </c>
      <c r="AR65" s="60">
        <f t="shared" si="41"/>
        <v>0</v>
      </c>
      <c r="AS65" s="60">
        <f t="shared" si="42"/>
        <v>0</v>
      </c>
      <c r="AT65" s="82"/>
      <c r="AU65" s="82"/>
    </row>
    <row r="66" ht="17.25" customHeight="1">
      <c r="A66" s="76" t="s">
        <v>33</v>
      </c>
      <c r="B66" s="67" t="s">
        <v>598</v>
      </c>
      <c r="C66" s="76">
        <v>4.3445489E7</v>
      </c>
      <c r="D66" s="116" t="s">
        <v>599</v>
      </c>
      <c r="E66" s="76">
        <v>1.168396444E9</v>
      </c>
      <c r="F66" s="45" t="s">
        <v>27</v>
      </c>
      <c r="G66" s="44"/>
      <c r="H66" s="121" t="s">
        <v>600</v>
      </c>
      <c r="I66" s="6"/>
      <c r="J66" s="6"/>
      <c r="K66" s="6"/>
      <c r="L66" s="6"/>
      <c r="M66" s="6"/>
      <c r="N66" s="6"/>
      <c r="O66" s="6"/>
      <c r="P66" s="6"/>
      <c r="Q66" s="6"/>
      <c r="R66" s="6"/>
      <c r="S66" s="6"/>
      <c r="T66" s="6"/>
      <c r="U66" s="6"/>
      <c r="V66" s="6"/>
      <c r="W66" s="6"/>
      <c r="X66" s="6"/>
      <c r="Y66" s="6"/>
      <c r="Z66" s="6"/>
      <c r="AA66" s="6"/>
      <c r="AB66" s="6"/>
      <c r="AC66" s="6"/>
      <c r="AD66" s="6"/>
      <c r="AE66" s="6"/>
      <c r="AF66" s="6"/>
      <c r="AG66" s="6"/>
      <c r="AH66" s="6"/>
      <c r="AI66" s="6"/>
      <c r="AJ66" s="11"/>
      <c r="AK66" s="257"/>
      <c r="AL66" s="48"/>
      <c r="AM66" s="60" t="str">
        <f t="shared" si="36"/>
        <v/>
      </c>
      <c r="AN66" s="60">
        <f t="shared" si="37"/>
        <v>0</v>
      </c>
      <c r="AO66" s="60">
        <f t="shared" si="38"/>
        <v>0</v>
      </c>
      <c r="AP66" s="60">
        <f t="shared" si="39"/>
        <v>0</v>
      </c>
      <c r="AQ66" s="60">
        <f t="shared" si="40"/>
        <v>0</v>
      </c>
      <c r="AR66" s="60">
        <f t="shared" si="41"/>
        <v>0</v>
      </c>
      <c r="AS66" s="60">
        <f t="shared" si="42"/>
        <v>0</v>
      </c>
      <c r="AT66" s="82"/>
      <c r="AU66" s="82"/>
    </row>
    <row r="67" ht="15.75" customHeight="1">
      <c r="A67" s="66" t="s">
        <v>33</v>
      </c>
      <c r="B67" s="116" t="s">
        <v>605</v>
      </c>
      <c r="C67" s="76">
        <v>4.778799E7</v>
      </c>
      <c r="D67" s="116" t="s">
        <v>606</v>
      </c>
      <c r="E67" s="76" t="s">
        <v>608</v>
      </c>
      <c r="F67" s="45" t="s">
        <v>27</v>
      </c>
      <c r="G67" s="44"/>
      <c r="H67" s="44"/>
      <c r="I67" s="44"/>
      <c r="J67" s="45" t="s">
        <v>27</v>
      </c>
      <c r="K67" s="45" t="s">
        <v>27</v>
      </c>
      <c r="L67" s="45" t="s">
        <v>27</v>
      </c>
      <c r="M67" s="45" t="s">
        <v>27</v>
      </c>
      <c r="N67" s="44"/>
      <c r="O67" s="44"/>
      <c r="P67" s="124" t="s">
        <v>22</v>
      </c>
      <c r="Q67" s="124" t="s">
        <v>22</v>
      </c>
      <c r="R67" s="124" t="s">
        <v>22</v>
      </c>
      <c r="S67" s="124" t="s">
        <v>22</v>
      </c>
      <c r="T67" s="124" t="s">
        <v>22</v>
      </c>
      <c r="U67" s="124" t="s">
        <v>22</v>
      </c>
      <c r="V67" s="124" t="s">
        <v>22</v>
      </c>
      <c r="W67" s="124" t="s">
        <v>22</v>
      </c>
      <c r="X67" s="124" t="s">
        <v>22</v>
      </c>
      <c r="Y67" s="124" t="s">
        <v>22</v>
      </c>
      <c r="Z67" s="124" t="s">
        <v>22</v>
      </c>
      <c r="AA67" s="124" t="s">
        <v>22</v>
      </c>
      <c r="AB67" s="124" t="s">
        <v>22</v>
      </c>
      <c r="AC67" s="124"/>
      <c r="AD67" s="106" t="s">
        <v>32</v>
      </c>
      <c r="AE67" s="44"/>
      <c r="AF67" s="44"/>
      <c r="AG67" s="44"/>
      <c r="AH67" s="106" t="s">
        <v>32</v>
      </c>
      <c r="AI67" s="45" t="s">
        <v>27</v>
      </c>
      <c r="AJ67" s="45" t="s">
        <v>27</v>
      </c>
      <c r="AK67" s="257"/>
      <c r="AL67" s="48"/>
      <c r="AM67" s="60" t="str">
        <f t="shared" si="36"/>
        <v>NO CORRESPONDE FRANCO</v>
      </c>
      <c r="AN67" s="60">
        <f t="shared" si="37"/>
        <v>0</v>
      </c>
      <c r="AO67" s="60">
        <f t="shared" si="38"/>
        <v>0</v>
      </c>
      <c r="AP67" s="60">
        <f t="shared" si="39"/>
        <v>0</v>
      </c>
      <c r="AQ67" s="60">
        <f t="shared" si="40"/>
        <v>0</v>
      </c>
      <c r="AR67" s="60">
        <f t="shared" si="41"/>
        <v>13</v>
      </c>
      <c r="AS67" s="60">
        <f t="shared" si="42"/>
        <v>13</v>
      </c>
      <c r="AT67" s="82"/>
      <c r="AU67" s="82"/>
    </row>
    <row r="68" ht="15.75" customHeight="1">
      <c r="A68" s="76" t="s">
        <v>33</v>
      </c>
      <c r="B68" s="116" t="s">
        <v>615</v>
      </c>
      <c r="C68" s="76">
        <v>3.6404018E7</v>
      </c>
      <c r="D68" s="405" t="s">
        <v>616</v>
      </c>
      <c r="E68" s="76" t="s">
        <v>617</v>
      </c>
      <c r="F68" s="45" t="s">
        <v>27</v>
      </c>
      <c r="G68" s="44"/>
      <c r="H68" s="44"/>
      <c r="I68" s="44"/>
      <c r="J68" s="91" t="s">
        <v>19</v>
      </c>
      <c r="K68" s="91" t="s">
        <v>19</v>
      </c>
      <c r="L68" s="352" t="s">
        <v>78</v>
      </c>
      <c r="M68" s="45" t="s">
        <v>27</v>
      </c>
      <c r="N68" s="44"/>
      <c r="O68" s="44"/>
      <c r="P68" s="106" t="s">
        <v>32</v>
      </c>
      <c r="Q68" s="45" t="s">
        <v>27</v>
      </c>
      <c r="R68" s="45" t="s">
        <v>27</v>
      </c>
      <c r="S68" s="44"/>
      <c r="T68" s="44"/>
      <c r="U68" s="44"/>
      <c r="V68" s="96" t="s">
        <v>22</v>
      </c>
      <c r="W68" s="96" t="s">
        <v>22</v>
      </c>
      <c r="X68" s="96" t="s">
        <v>22</v>
      </c>
      <c r="Y68" s="96" t="s">
        <v>22</v>
      </c>
      <c r="Z68" s="96" t="s">
        <v>22</v>
      </c>
      <c r="AA68" s="96" t="s">
        <v>22</v>
      </c>
      <c r="AB68" s="96" t="s">
        <v>22</v>
      </c>
      <c r="AC68" s="352" t="s">
        <v>78</v>
      </c>
      <c r="AD68" s="45" t="s">
        <v>27</v>
      </c>
      <c r="AE68" s="44"/>
      <c r="AF68" s="44"/>
      <c r="AG68" s="44"/>
      <c r="AH68" s="106" t="s">
        <v>32</v>
      </c>
      <c r="AI68" s="106" t="s">
        <v>32</v>
      </c>
      <c r="AJ68" s="352" t="s">
        <v>78</v>
      </c>
      <c r="AK68" s="257"/>
      <c r="AL68" s="48"/>
      <c r="AM68" s="60" t="str">
        <f t="shared" si="36"/>
        <v>NO CORRESPONDE FRANCO</v>
      </c>
      <c r="AN68" s="60">
        <f t="shared" si="37"/>
        <v>0</v>
      </c>
      <c r="AO68" s="60">
        <f t="shared" si="38"/>
        <v>2</v>
      </c>
      <c r="AP68" s="60">
        <f t="shared" si="39"/>
        <v>0</v>
      </c>
      <c r="AQ68" s="60">
        <f t="shared" si="40"/>
        <v>0</v>
      </c>
      <c r="AR68" s="60">
        <f t="shared" si="41"/>
        <v>7</v>
      </c>
      <c r="AS68" s="60">
        <f t="shared" si="42"/>
        <v>9</v>
      </c>
      <c r="AT68" s="82"/>
      <c r="AU68" s="82"/>
    </row>
    <row r="69" ht="15.75" customHeight="1">
      <c r="A69" s="76" t="s">
        <v>33</v>
      </c>
      <c r="B69" s="67" t="s">
        <v>621</v>
      </c>
      <c r="C69" s="66">
        <v>4.3238729E7</v>
      </c>
      <c r="D69" s="67" t="s">
        <v>624</v>
      </c>
      <c r="E69" s="66" t="s">
        <v>626</v>
      </c>
      <c r="F69" s="45" t="s">
        <v>27</v>
      </c>
      <c r="G69" s="44"/>
      <c r="H69" s="44"/>
      <c r="I69" s="44"/>
      <c r="J69" s="45" t="s">
        <v>27</v>
      </c>
      <c r="K69" s="45" t="s">
        <v>27</v>
      </c>
      <c r="L69" s="45" t="s">
        <v>18</v>
      </c>
      <c r="M69" s="45" t="s">
        <v>18</v>
      </c>
      <c r="N69" s="44"/>
      <c r="O69" s="44"/>
      <c r="P69" s="45" t="s">
        <v>27</v>
      </c>
      <c r="Q69" s="45" t="s">
        <v>27</v>
      </c>
      <c r="R69" s="45" t="s">
        <v>27</v>
      </c>
      <c r="S69" s="44"/>
      <c r="T69" s="44"/>
      <c r="U69" s="44"/>
      <c r="V69" s="45" t="s">
        <v>27</v>
      </c>
      <c r="W69" s="45" t="s">
        <v>18</v>
      </c>
      <c r="X69" s="45" t="s">
        <v>27</v>
      </c>
      <c r="Y69" s="45" t="s">
        <v>27</v>
      </c>
      <c r="Z69" s="44"/>
      <c r="AA69" s="44"/>
      <c r="AB69" s="119" t="s">
        <v>79</v>
      </c>
      <c r="AC69" s="45" t="s">
        <v>27</v>
      </c>
      <c r="AD69" s="45" t="s">
        <v>27</v>
      </c>
      <c r="AE69" s="44"/>
      <c r="AF69" s="44"/>
      <c r="AG69" s="45" t="s">
        <v>27</v>
      </c>
      <c r="AH69" s="45" t="s">
        <v>27</v>
      </c>
      <c r="AI69" s="45" t="s">
        <v>27</v>
      </c>
      <c r="AJ69" s="45" t="s">
        <v>27</v>
      </c>
      <c r="AK69" s="257"/>
      <c r="AL69" s="48"/>
      <c r="AM69" s="60" t="str">
        <f t="shared" si="36"/>
        <v/>
      </c>
      <c r="AN69" s="60">
        <f t="shared" si="37"/>
        <v>3</v>
      </c>
      <c r="AO69" s="60">
        <f t="shared" si="38"/>
        <v>0</v>
      </c>
      <c r="AP69" s="60">
        <f t="shared" si="39"/>
        <v>0</v>
      </c>
      <c r="AQ69" s="60">
        <f t="shared" si="40"/>
        <v>0</v>
      </c>
      <c r="AR69" s="60">
        <f t="shared" si="41"/>
        <v>0</v>
      </c>
      <c r="AS69" s="60">
        <f t="shared" si="42"/>
        <v>0</v>
      </c>
      <c r="AT69" s="82"/>
      <c r="AU69" s="82"/>
    </row>
    <row r="70" ht="15.75" customHeight="1">
      <c r="A70" s="130" t="s">
        <v>33</v>
      </c>
      <c r="B70" s="132" t="s">
        <v>636</v>
      </c>
      <c r="C70" s="130">
        <v>3.6160913E7</v>
      </c>
      <c r="D70" s="116" t="s">
        <v>637</v>
      </c>
      <c r="E70" s="76" t="s">
        <v>638</v>
      </c>
      <c r="F70" s="45" t="s">
        <v>27</v>
      </c>
      <c r="G70" s="44"/>
      <c r="H70" s="44"/>
      <c r="I70" s="44"/>
      <c r="J70" s="45" t="s">
        <v>27</v>
      </c>
      <c r="K70" s="45" t="s">
        <v>27</v>
      </c>
      <c r="L70" s="45" t="s">
        <v>27</v>
      </c>
      <c r="M70" s="138" t="s">
        <v>19</v>
      </c>
      <c r="N70" s="44"/>
      <c r="O70" s="44"/>
      <c r="P70" s="45" t="s">
        <v>27</v>
      </c>
      <c r="Q70" s="45" t="s">
        <v>161</v>
      </c>
      <c r="R70" s="45" t="s">
        <v>27</v>
      </c>
      <c r="S70" s="44"/>
      <c r="T70" s="44"/>
      <c r="U70" s="44"/>
      <c r="V70" s="416"/>
      <c r="W70" s="45" t="s">
        <v>27</v>
      </c>
      <c r="X70" s="45" t="s">
        <v>18</v>
      </c>
      <c r="Y70" s="45" t="s">
        <v>27</v>
      </c>
      <c r="Z70" s="44"/>
      <c r="AA70" s="44"/>
      <c r="AB70" s="91" t="s">
        <v>19</v>
      </c>
      <c r="AC70" s="91" t="s">
        <v>19</v>
      </c>
      <c r="AD70" s="91" t="s">
        <v>19</v>
      </c>
      <c r="AE70" s="91" t="s">
        <v>19</v>
      </c>
      <c r="AF70" s="44"/>
      <c r="AG70" s="44"/>
      <c r="AH70" s="45" t="s">
        <v>27</v>
      </c>
      <c r="AI70" s="45" t="s">
        <v>18</v>
      </c>
      <c r="AJ70" s="45" t="s">
        <v>18</v>
      </c>
      <c r="AK70" s="257"/>
      <c r="AL70" s="48"/>
      <c r="AM70" s="60" t="str">
        <f t="shared" si="36"/>
        <v>NO CORRESPONDE FRANCO</v>
      </c>
      <c r="AN70" s="60">
        <f t="shared" si="37"/>
        <v>3</v>
      </c>
      <c r="AO70" s="60">
        <f t="shared" si="38"/>
        <v>5</v>
      </c>
      <c r="AP70" s="60">
        <f t="shared" si="39"/>
        <v>0</v>
      </c>
      <c r="AQ70" s="60">
        <f t="shared" si="40"/>
        <v>0</v>
      </c>
      <c r="AR70" s="60">
        <f t="shared" si="41"/>
        <v>0</v>
      </c>
      <c r="AS70" s="60">
        <f t="shared" si="42"/>
        <v>5</v>
      </c>
      <c r="AT70" s="82"/>
      <c r="AU70" s="82"/>
    </row>
    <row r="71" ht="15.75" customHeight="1">
      <c r="A71" s="320" t="s">
        <v>33</v>
      </c>
      <c r="B71" s="419" t="s">
        <v>647</v>
      </c>
      <c r="C71" s="320">
        <v>3.719797E7</v>
      </c>
      <c r="D71" s="419" t="s">
        <v>649</v>
      </c>
      <c r="E71" s="320" t="s">
        <v>650</v>
      </c>
      <c r="F71" s="162"/>
      <c r="G71" s="414"/>
      <c r="H71" s="414"/>
      <c r="I71" s="414"/>
      <c r="J71" s="162"/>
      <c r="K71" s="138" t="s">
        <v>19</v>
      </c>
      <c r="L71" s="138" t="s">
        <v>19</v>
      </c>
      <c r="M71" s="138" t="s">
        <v>19</v>
      </c>
      <c r="N71" s="138" t="s">
        <v>19</v>
      </c>
      <c r="O71" s="138" t="s">
        <v>19</v>
      </c>
      <c r="P71" s="138" t="s">
        <v>19</v>
      </c>
      <c r="Q71" s="138" t="s">
        <v>19</v>
      </c>
      <c r="R71" s="138" t="s">
        <v>19</v>
      </c>
      <c r="S71" s="138" t="s">
        <v>19</v>
      </c>
      <c r="T71" s="138" t="s">
        <v>19</v>
      </c>
      <c r="U71" s="138" t="s">
        <v>19</v>
      </c>
      <c r="V71" s="138" t="s">
        <v>19</v>
      </c>
      <c r="W71" s="138" t="s">
        <v>19</v>
      </c>
      <c r="X71" s="138" t="s">
        <v>19</v>
      </c>
      <c r="Y71" s="138" t="s">
        <v>19</v>
      </c>
      <c r="Z71" s="138" t="s">
        <v>19</v>
      </c>
      <c r="AA71" s="138" t="s">
        <v>19</v>
      </c>
      <c r="AB71" s="138" t="s">
        <v>19</v>
      </c>
      <c r="AC71" s="138" t="s">
        <v>19</v>
      </c>
      <c r="AD71" s="138" t="s">
        <v>19</v>
      </c>
      <c r="AE71" s="138" t="s">
        <v>19</v>
      </c>
      <c r="AF71" s="138" t="s">
        <v>19</v>
      </c>
      <c r="AG71" s="138" t="s">
        <v>19</v>
      </c>
      <c r="AH71" s="138" t="s">
        <v>19</v>
      </c>
      <c r="AI71" s="138" t="s">
        <v>19</v>
      </c>
      <c r="AJ71" s="138" t="s">
        <v>19</v>
      </c>
      <c r="AK71" s="138" t="s">
        <v>19</v>
      </c>
      <c r="AL71" s="290"/>
      <c r="AM71" s="60"/>
      <c r="AN71" s="60"/>
      <c r="AO71" s="60"/>
      <c r="AP71" s="60"/>
      <c r="AQ71" s="60"/>
      <c r="AR71" s="60"/>
      <c r="AS71" s="60"/>
      <c r="AT71" s="82"/>
      <c r="AU71" s="82"/>
    </row>
    <row r="72" ht="15.75" customHeight="1">
      <c r="A72" s="130" t="s">
        <v>33</v>
      </c>
      <c r="B72" s="424" t="s">
        <v>655</v>
      </c>
      <c r="C72" s="130">
        <v>2.8640821E7</v>
      </c>
      <c r="D72" s="116" t="s">
        <v>658</v>
      </c>
      <c r="E72" s="76" t="s">
        <v>659</v>
      </c>
      <c r="F72" s="45" t="s">
        <v>27</v>
      </c>
      <c r="G72" s="44"/>
      <c r="H72" s="44"/>
      <c r="I72" s="44"/>
      <c r="J72" s="45" t="s">
        <v>27</v>
      </c>
      <c r="K72" s="45" t="s">
        <v>27</v>
      </c>
      <c r="L72" s="45" t="s">
        <v>18</v>
      </c>
      <c r="M72" s="45" t="s">
        <v>18</v>
      </c>
      <c r="N72" s="44"/>
      <c r="O72" s="44"/>
      <c r="P72" s="45" t="s">
        <v>27</v>
      </c>
      <c r="Q72" s="45" t="s">
        <v>27</v>
      </c>
      <c r="R72" s="45" t="s">
        <v>27</v>
      </c>
      <c r="S72" s="44"/>
      <c r="T72" s="44"/>
      <c r="U72" s="44"/>
      <c r="V72" s="106" t="s">
        <v>32</v>
      </c>
      <c r="W72" s="45" t="s">
        <v>27</v>
      </c>
      <c r="X72" s="45" t="s">
        <v>27</v>
      </c>
      <c r="Y72" s="45" t="s">
        <v>27</v>
      </c>
      <c r="Z72" s="44"/>
      <c r="AA72" s="44"/>
      <c r="AB72" s="45" t="s">
        <v>27</v>
      </c>
      <c r="AC72" s="45" t="s">
        <v>27</v>
      </c>
      <c r="AD72" s="45" t="s">
        <v>27</v>
      </c>
      <c r="AE72" s="44"/>
      <c r="AF72" s="44"/>
      <c r="AG72" s="44"/>
      <c r="AH72" s="45" t="s">
        <v>27</v>
      </c>
      <c r="AI72" s="45" t="s">
        <v>27</v>
      </c>
      <c r="AJ72" s="45" t="s">
        <v>27</v>
      </c>
      <c r="AK72" s="257"/>
      <c r="AL72" s="48"/>
      <c r="AM72" s="60" t="str">
        <f t="shared" ref="AM72:AM74" si="43">IFS(AN72&gt;3,"NO CORRESPONDE FRANCO",AS72&gt;0,"NO CORRESPONDE FRANCO",AS72=0,"")</f>
        <v/>
      </c>
      <c r="AN72" s="60">
        <f t="shared" ref="AN72:AN74" si="44">COUNTIF($F72:$AJ72,"LLT")</f>
        <v>2</v>
      </c>
      <c r="AO72" s="60">
        <f t="shared" ref="AO72:AO74" si="45">COUNTIF($F72:$AJ72,"LM")</f>
        <v>0</v>
      </c>
      <c r="AP72" s="60">
        <f t="shared" ref="AP72:AP74" si="46">COUNTIF($F72:$AJ72,"FaC")</f>
        <v>0</v>
      </c>
      <c r="AQ72" s="60">
        <f t="shared" ref="AQ72:AQ74" si="47">COUNTIF($F72:$AJ72,"LxE")</f>
        <v>0</v>
      </c>
      <c r="AR72" s="60">
        <f t="shared" ref="AR72:AR74" si="48">COUNTIF($F72:$AJ72,"LA")</f>
        <v>0</v>
      </c>
      <c r="AS72" s="60">
        <f t="shared" ref="AS72:AS74" si="49">SUM(AO72:AR72)</f>
        <v>0</v>
      </c>
      <c r="AT72" s="82"/>
      <c r="AU72" s="82"/>
    </row>
    <row r="73" ht="15.75" customHeight="1">
      <c r="A73" s="205" t="s">
        <v>33</v>
      </c>
      <c r="B73" s="206" t="s">
        <v>674</v>
      </c>
      <c r="C73" s="205">
        <v>3.8837371E7</v>
      </c>
      <c r="D73" s="206" t="s">
        <v>677</v>
      </c>
      <c r="E73" s="205" t="s">
        <v>678</v>
      </c>
      <c r="F73" s="91" t="s">
        <v>19</v>
      </c>
      <c r="G73" s="91" t="s">
        <v>19</v>
      </c>
      <c r="H73" s="91" t="s">
        <v>19</v>
      </c>
      <c r="I73" s="91" t="s">
        <v>19</v>
      </c>
      <c r="J73" s="91" t="s">
        <v>19</v>
      </c>
      <c r="K73" s="91" t="s">
        <v>19</v>
      </c>
      <c r="L73" s="91" t="s">
        <v>19</v>
      </c>
      <c r="M73" s="91" t="s">
        <v>19</v>
      </c>
      <c r="N73" s="91" t="s">
        <v>19</v>
      </c>
      <c r="O73" s="91" t="s">
        <v>19</v>
      </c>
      <c r="P73" s="91" t="s">
        <v>19</v>
      </c>
      <c r="Q73" s="91" t="s">
        <v>19</v>
      </c>
      <c r="R73" s="91" t="s">
        <v>19</v>
      </c>
      <c r="S73" s="91" t="s">
        <v>19</v>
      </c>
      <c r="T73" s="91" t="s">
        <v>19</v>
      </c>
      <c r="U73" s="91" t="s">
        <v>19</v>
      </c>
      <c r="V73" s="91" t="s">
        <v>19</v>
      </c>
      <c r="W73" s="91" t="s">
        <v>19</v>
      </c>
      <c r="X73" s="91" t="s">
        <v>19</v>
      </c>
      <c r="Y73" s="91" t="s">
        <v>19</v>
      </c>
      <c r="Z73" s="91" t="s">
        <v>19</v>
      </c>
      <c r="AA73" s="91" t="s">
        <v>19</v>
      </c>
      <c r="AB73" s="91" t="s">
        <v>19</v>
      </c>
      <c r="AC73" s="91" t="s">
        <v>19</v>
      </c>
      <c r="AD73" s="91" t="s">
        <v>19</v>
      </c>
      <c r="AE73" s="91" t="s">
        <v>19</v>
      </c>
      <c r="AF73" s="91" t="s">
        <v>19</v>
      </c>
      <c r="AG73" s="91" t="s">
        <v>19</v>
      </c>
      <c r="AH73" s="91" t="s">
        <v>19</v>
      </c>
      <c r="AI73" s="91" t="s">
        <v>19</v>
      </c>
      <c r="AJ73" s="91" t="s">
        <v>19</v>
      </c>
      <c r="AK73" s="140"/>
      <c r="AL73" s="436" t="s">
        <v>19</v>
      </c>
      <c r="AM73" s="60" t="str">
        <f t="shared" si="43"/>
        <v>NO CORRESPONDE FRANCO</v>
      </c>
      <c r="AN73" s="60">
        <f t="shared" si="44"/>
        <v>0</v>
      </c>
      <c r="AO73" s="60">
        <f t="shared" si="45"/>
        <v>31</v>
      </c>
      <c r="AP73" s="60">
        <f t="shared" si="46"/>
        <v>0</v>
      </c>
      <c r="AQ73" s="60">
        <f t="shared" si="47"/>
        <v>0</v>
      </c>
      <c r="AR73" s="60">
        <f t="shared" si="48"/>
        <v>0</v>
      </c>
      <c r="AS73" s="60">
        <f t="shared" si="49"/>
        <v>31</v>
      </c>
      <c r="AT73" s="140"/>
      <c r="AU73" s="140"/>
    </row>
    <row r="74" ht="15.75" customHeight="1">
      <c r="A74" s="38" t="s">
        <v>33</v>
      </c>
      <c r="B74" s="439" t="s">
        <v>686</v>
      </c>
      <c r="C74" s="40">
        <v>3.650104E7</v>
      </c>
      <c r="D74" s="439" t="s">
        <v>689</v>
      </c>
      <c r="E74" s="40" t="s">
        <v>691</v>
      </c>
      <c r="F74" s="121" t="s">
        <v>692</v>
      </c>
      <c r="G74" s="11"/>
      <c r="H74" s="44"/>
      <c r="I74" s="44"/>
      <c r="J74" s="45" t="s">
        <v>27</v>
      </c>
      <c r="K74" s="45" t="s">
        <v>18</v>
      </c>
      <c r="L74" s="45" t="s">
        <v>27</v>
      </c>
      <c r="M74" s="45" t="s">
        <v>27</v>
      </c>
      <c r="N74" s="44"/>
      <c r="O74" s="44"/>
      <c r="P74" s="45" t="s">
        <v>18</v>
      </c>
      <c r="Q74" s="45" t="s">
        <v>27</v>
      </c>
      <c r="R74" s="45" t="s">
        <v>18</v>
      </c>
      <c r="S74" s="44"/>
      <c r="T74" s="44"/>
      <c r="U74" s="44"/>
      <c r="V74" s="45" t="s">
        <v>693</v>
      </c>
      <c r="W74" s="45" t="s">
        <v>27</v>
      </c>
      <c r="X74" s="45" t="s">
        <v>18</v>
      </c>
      <c r="Y74" s="45" t="s">
        <v>27</v>
      </c>
      <c r="Z74" s="44"/>
      <c r="AA74" s="44"/>
      <c r="AB74" s="45" t="s">
        <v>27</v>
      </c>
      <c r="AC74" s="45" t="s">
        <v>27</v>
      </c>
      <c r="AD74" s="45" t="s">
        <v>27</v>
      </c>
      <c r="AE74" s="44"/>
      <c r="AF74" s="44"/>
      <c r="AG74" s="44"/>
      <c r="AH74" s="45" t="s">
        <v>27</v>
      </c>
      <c r="AI74" s="45" t="s">
        <v>27</v>
      </c>
      <c r="AJ74" s="45" t="s">
        <v>27</v>
      </c>
      <c r="AK74" s="257"/>
      <c r="AL74" s="436"/>
      <c r="AM74" s="60" t="str">
        <f t="shared" si="43"/>
        <v>NO CORRESPONDE FRANCO</v>
      </c>
      <c r="AN74" s="60">
        <f t="shared" si="44"/>
        <v>4</v>
      </c>
      <c r="AO74" s="60">
        <f t="shared" si="45"/>
        <v>0</v>
      </c>
      <c r="AP74" s="60">
        <f t="shared" si="46"/>
        <v>0</v>
      </c>
      <c r="AQ74" s="60">
        <f t="shared" si="47"/>
        <v>0</v>
      </c>
      <c r="AR74" s="60">
        <f t="shared" si="48"/>
        <v>0</v>
      </c>
      <c r="AS74" s="60">
        <f t="shared" si="49"/>
        <v>0</v>
      </c>
      <c r="AT74" s="140"/>
      <c r="AU74" s="140"/>
    </row>
    <row r="75" ht="15.75" customHeight="1">
      <c r="A75" s="312"/>
      <c r="B75" s="312"/>
      <c r="C75" s="312"/>
      <c r="D75" s="312"/>
      <c r="E75" s="312"/>
      <c r="F75" s="24"/>
      <c r="G75" s="24"/>
      <c r="H75" s="24"/>
      <c r="I75" s="24"/>
      <c r="J75" s="24"/>
      <c r="K75" s="24"/>
      <c r="L75" s="24"/>
      <c r="M75" s="24"/>
      <c r="N75" s="24"/>
      <c r="O75" s="24"/>
      <c r="P75" s="24"/>
      <c r="Q75" s="24"/>
      <c r="R75" s="24"/>
      <c r="S75" s="24"/>
      <c r="T75" s="24"/>
      <c r="U75" s="24"/>
      <c r="V75" s="24"/>
      <c r="W75" s="24"/>
      <c r="X75" s="24"/>
      <c r="Y75" s="24"/>
      <c r="Z75" s="24"/>
      <c r="AA75" s="24"/>
      <c r="AB75" s="24"/>
      <c r="AC75" s="24"/>
      <c r="AD75" s="24"/>
      <c r="AE75" s="24"/>
      <c r="AF75" s="24"/>
      <c r="AG75" s="24"/>
      <c r="AH75" s="24"/>
      <c r="AI75" s="24"/>
      <c r="AJ75" s="24"/>
      <c r="AL75" s="442"/>
      <c r="AM75" s="82"/>
      <c r="AN75" s="82"/>
      <c r="AO75" s="82"/>
      <c r="AP75" s="82"/>
      <c r="AQ75" s="82"/>
      <c r="AR75" s="82"/>
      <c r="AS75" s="82"/>
      <c r="AT75" s="82"/>
      <c r="AU75" s="82"/>
    </row>
    <row r="76" ht="15.75" customHeight="1">
      <c r="A76" s="443" t="s">
        <v>697</v>
      </c>
      <c r="B76" s="2"/>
      <c r="C76" s="2"/>
      <c r="D76" s="2"/>
      <c r="E76" s="3"/>
      <c r="F76" s="7">
        <v>1.0</v>
      </c>
      <c r="G76" s="7">
        <v>2.0</v>
      </c>
      <c r="H76" s="7">
        <v>3.0</v>
      </c>
      <c r="I76" s="7">
        <v>4.0</v>
      </c>
      <c r="J76" s="7">
        <v>5.0</v>
      </c>
      <c r="K76" s="7">
        <v>6.0</v>
      </c>
      <c r="L76" s="7">
        <v>7.0</v>
      </c>
      <c r="M76" s="7">
        <v>8.0</v>
      </c>
      <c r="N76" s="7">
        <v>9.0</v>
      </c>
      <c r="O76" s="7">
        <v>10.0</v>
      </c>
      <c r="P76" s="7">
        <v>11.0</v>
      </c>
      <c r="Q76" s="7">
        <v>12.0</v>
      </c>
      <c r="R76" s="7">
        <v>13.0</v>
      </c>
      <c r="S76" s="7">
        <v>14.0</v>
      </c>
      <c r="T76" s="7">
        <v>15.0</v>
      </c>
      <c r="U76" s="7">
        <v>16.0</v>
      </c>
      <c r="V76" s="7">
        <v>17.0</v>
      </c>
      <c r="W76" s="7">
        <v>18.0</v>
      </c>
      <c r="X76" s="7">
        <v>19.0</v>
      </c>
      <c r="Y76" s="7">
        <v>20.0</v>
      </c>
      <c r="Z76" s="7">
        <v>21.0</v>
      </c>
      <c r="AA76" s="7">
        <v>22.0</v>
      </c>
      <c r="AB76" s="7">
        <v>23.0</v>
      </c>
      <c r="AC76" s="10">
        <v>24.0</v>
      </c>
      <c r="AD76" s="7">
        <v>25.0</v>
      </c>
      <c r="AE76" s="7">
        <v>26.0</v>
      </c>
      <c r="AF76" s="7">
        <v>27.0</v>
      </c>
      <c r="AG76" s="7">
        <v>28.0</v>
      </c>
      <c r="AH76" s="7">
        <v>29.0</v>
      </c>
      <c r="AI76" s="7">
        <v>30.0</v>
      </c>
      <c r="AJ76" s="7">
        <v>31.0</v>
      </c>
      <c r="AL76" s="48"/>
      <c r="AM76" s="82"/>
      <c r="AN76" s="82"/>
      <c r="AO76" s="82"/>
      <c r="AP76" s="82"/>
      <c r="AQ76" s="82"/>
      <c r="AR76" s="82"/>
      <c r="AS76" s="82"/>
      <c r="AT76" s="82"/>
      <c r="AU76" s="82"/>
    </row>
    <row r="77" ht="15.75" customHeight="1">
      <c r="A77" s="444" t="s">
        <v>4</v>
      </c>
      <c r="B77" s="449" t="s">
        <v>5</v>
      </c>
      <c r="C77" s="450" t="s">
        <v>6</v>
      </c>
      <c r="D77" s="452" t="s">
        <v>7</v>
      </c>
      <c r="E77" s="450" t="s">
        <v>8</v>
      </c>
      <c r="F77" s="7" t="s">
        <v>9</v>
      </c>
      <c r="G77" s="7" t="s">
        <v>10</v>
      </c>
      <c r="H77" s="7" t="s">
        <v>11</v>
      </c>
      <c r="I77" s="7" t="s">
        <v>12</v>
      </c>
      <c r="J77" s="7" t="s">
        <v>12</v>
      </c>
      <c r="K77" s="7" t="s">
        <v>13</v>
      </c>
      <c r="L77" s="7" t="s">
        <v>15</v>
      </c>
      <c r="M77" s="7" t="s">
        <v>9</v>
      </c>
      <c r="N77" s="7" t="s">
        <v>10</v>
      </c>
      <c r="O77" s="7" t="s">
        <v>11</v>
      </c>
      <c r="P77" s="7" t="s">
        <v>12</v>
      </c>
      <c r="Q77" s="7" t="s">
        <v>12</v>
      </c>
      <c r="R77" s="7" t="s">
        <v>13</v>
      </c>
      <c r="S77" s="7" t="s">
        <v>15</v>
      </c>
      <c r="T77" s="7" t="s">
        <v>9</v>
      </c>
      <c r="U77" s="7" t="s">
        <v>10</v>
      </c>
      <c r="V77" s="7" t="s">
        <v>11</v>
      </c>
      <c r="W77" s="7" t="s">
        <v>12</v>
      </c>
      <c r="X77" s="7" t="s">
        <v>12</v>
      </c>
      <c r="Y77" s="7" t="s">
        <v>13</v>
      </c>
      <c r="Z77" s="7" t="s">
        <v>15</v>
      </c>
      <c r="AA77" s="7" t="s">
        <v>9</v>
      </c>
      <c r="AB77" s="7" t="s">
        <v>10</v>
      </c>
      <c r="AC77" s="10" t="s">
        <v>11</v>
      </c>
      <c r="AD77" s="7" t="s">
        <v>12</v>
      </c>
      <c r="AE77" s="7" t="s">
        <v>12</v>
      </c>
      <c r="AF77" s="7" t="s">
        <v>13</v>
      </c>
      <c r="AG77" s="27" t="s">
        <v>15</v>
      </c>
      <c r="AH77" s="7" t="s">
        <v>9</v>
      </c>
      <c r="AI77" s="7" t="s">
        <v>10</v>
      </c>
      <c r="AJ77" s="7" t="s">
        <v>11</v>
      </c>
      <c r="AL77" s="48"/>
      <c r="AM77" s="82"/>
      <c r="AN77" s="82"/>
      <c r="AO77" s="82"/>
      <c r="AP77" s="82"/>
      <c r="AQ77" s="82"/>
      <c r="AR77" s="82"/>
      <c r="AS77" s="82"/>
      <c r="AT77" s="82"/>
      <c r="AU77" s="82"/>
    </row>
    <row r="78" ht="15.75" customHeight="1">
      <c r="A78" s="38" t="s">
        <v>33</v>
      </c>
      <c r="B78" s="63" t="s">
        <v>716</v>
      </c>
      <c r="C78" s="40">
        <v>4.3259387E7</v>
      </c>
      <c r="D78" s="39" t="s">
        <v>718</v>
      </c>
      <c r="E78" s="40" t="s">
        <v>719</v>
      </c>
      <c r="F78" s="103" t="s">
        <v>18</v>
      </c>
      <c r="G78" s="45" t="s">
        <v>18</v>
      </c>
      <c r="H78" s="121" t="s">
        <v>721</v>
      </c>
      <c r="I78" s="6"/>
      <c r="J78" s="6"/>
      <c r="K78" s="6"/>
      <c r="L78" s="6"/>
      <c r="M78" s="6"/>
      <c r="N78" s="6"/>
      <c r="O78" s="6"/>
      <c r="P78" s="6"/>
      <c r="Q78" s="6"/>
      <c r="R78" s="6"/>
      <c r="S78" s="6"/>
      <c r="T78" s="6"/>
      <c r="U78" s="6"/>
      <c r="V78" s="6"/>
      <c r="W78" s="6"/>
      <c r="X78" s="6"/>
      <c r="Y78" s="6"/>
      <c r="Z78" s="6"/>
      <c r="AA78" s="6"/>
      <c r="AB78" s="6"/>
      <c r="AC78" s="6"/>
      <c r="AD78" s="6"/>
      <c r="AE78" s="6"/>
      <c r="AF78" s="6"/>
      <c r="AG78" s="6"/>
      <c r="AH78" s="6"/>
      <c r="AI78" s="6"/>
      <c r="AJ78" s="11"/>
      <c r="AL78" s="48"/>
      <c r="AM78" s="60" t="str">
        <f t="shared" ref="AM78:AM89" si="50">IFS(AN78&gt;3,"NO CORRESPONDE FRANCO",AS78&gt;0,"NO CORRESPONDE FRANCO",AS78=0,"")</f>
        <v/>
      </c>
      <c r="AN78" s="60">
        <f t="shared" ref="AN78:AN89" si="51">COUNTIF($F78:$AJ78,"LLT")</f>
        <v>2</v>
      </c>
      <c r="AO78" s="60">
        <f t="shared" ref="AO78:AO89" si="52">COUNTIF($F78:$AJ78,"LM")</f>
        <v>0</v>
      </c>
      <c r="AP78" s="60">
        <f t="shared" ref="AP78:AP89" si="53">COUNTIF($F78:$AJ78,"FaC")</f>
        <v>0</v>
      </c>
      <c r="AQ78" s="60">
        <f t="shared" ref="AQ78:AQ89" si="54">COUNTIF($F78:$AJ78,"LxE")</f>
        <v>0</v>
      </c>
      <c r="AR78" s="60">
        <f t="shared" ref="AR78:AR89" si="55">COUNTIF($F78:$AJ78,"LA")</f>
        <v>0</v>
      </c>
      <c r="AS78" s="60">
        <f t="shared" ref="AS78:AS89" si="56">SUM(AO78:AR78)</f>
        <v>0</v>
      </c>
      <c r="AT78" s="82"/>
      <c r="AU78" s="82"/>
    </row>
    <row r="79" ht="15.75" customHeight="1">
      <c r="A79" s="38" t="s">
        <v>33</v>
      </c>
      <c r="B79" s="63" t="s">
        <v>734</v>
      </c>
      <c r="C79" s="40">
        <v>4.303914E7</v>
      </c>
      <c r="D79" s="39" t="s">
        <v>735</v>
      </c>
      <c r="E79" s="40" t="s">
        <v>736</v>
      </c>
      <c r="F79" s="45" t="s">
        <v>27</v>
      </c>
      <c r="G79" s="274" t="s">
        <v>79</v>
      </c>
      <c r="H79" s="44"/>
      <c r="I79" s="44"/>
      <c r="J79" s="103" t="s">
        <v>27</v>
      </c>
      <c r="K79" s="45" t="s">
        <v>27</v>
      </c>
      <c r="L79" s="45" t="s">
        <v>27</v>
      </c>
      <c r="M79" s="45" t="s">
        <v>27</v>
      </c>
      <c r="N79" s="44"/>
      <c r="O79" s="44"/>
      <c r="P79" s="45" t="s">
        <v>27</v>
      </c>
      <c r="Q79" s="45" t="s">
        <v>27</v>
      </c>
      <c r="R79" s="45" t="s">
        <v>27</v>
      </c>
      <c r="S79" s="45" t="s">
        <v>27</v>
      </c>
      <c r="T79" s="44"/>
      <c r="U79" s="44"/>
      <c r="V79" s="44"/>
      <c r="W79" s="45" t="s">
        <v>27</v>
      </c>
      <c r="X79" s="45" t="s">
        <v>27</v>
      </c>
      <c r="Y79" s="45" t="s">
        <v>27</v>
      </c>
      <c r="Z79" s="44"/>
      <c r="AA79" s="44"/>
      <c r="AB79" s="106" t="s">
        <v>32</v>
      </c>
      <c r="AC79" s="91" t="s">
        <v>19</v>
      </c>
      <c r="AD79" s="45" t="s">
        <v>27</v>
      </c>
      <c r="AE79" s="45" t="s">
        <v>27</v>
      </c>
      <c r="AF79" s="44"/>
      <c r="AG79" s="44"/>
      <c r="AH79" s="44"/>
      <c r="AI79" s="45" t="s">
        <v>18</v>
      </c>
      <c r="AJ79" s="45" t="s">
        <v>27</v>
      </c>
      <c r="AK79" s="467" t="s">
        <v>741</v>
      </c>
      <c r="AL79" s="48"/>
      <c r="AM79" s="60" t="str">
        <f t="shared" si="50"/>
        <v>NO CORRESPONDE FRANCO</v>
      </c>
      <c r="AN79" s="60">
        <f t="shared" si="51"/>
        <v>1</v>
      </c>
      <c r="AO79" s="60">
        <f t="shared" si="52"/>
        <v>1</v>
      </c>
      <c r="AP79" s="60">
        <f t="shared" si="53"/>
        <v>0</v>
      </c>
      <c r="AQ79" s="60">
        <f t="shared" si="54"/>
        <v>0</v>
      </c>
      <c r="AR79" s="60">
        <f t="shared" si="55"/>
        <v>0</v>
      </c>
      <c r="AS79" s="60">
        <f t="shared" si="56"/>
        <v>1</v>
      </c>
      <c r="AT79" s="82"/>
      <c r="AU79" s="82"/>
    </row>
    <row r="80" ht="15.75" customHeight="1">
      <c r="A80" s="38" t="s">
        <v>33</v>
      </c>
      <c r="B80" s="116" t="s">
        <v>744</v>
      </c>
      <c r="C80" s="76">
        <v>3.6895794E7</v>
      </c>
      <c r="D80" s="116" t="s">
        <v>745</v>
      </c>
      <c r="E80" s="66" t="s">
        <v>747</v>
      </c>
      <c r="F80" s="45" t="s">
        <v>18</v>
      </c>
      <c r="G80" s="45" t="s">
        <v>27</v>
      </c>
      <c r="H80" s="44"/>
      <c r="I80" s="44"/>
      <c r="J80" s="44"/>
      <c r="K80" s="45" t="s">
        <v>27</v>
      </c>
      <c r="L80" s="45" t="s">
        <v>27</v>
      </c>
      <c r="M80" s="45" t="s">
        <v>27</v>
      </c>
      <c r="N80" s="44"/>
      <c r="O80" s="44"/>
      <c r="P80" s="45" t="s">
        <v>27</v>
      </c>
      <c r="Q80" s="45" t="s">
        <v>27</v>
      </c>
      <c r="R80" s="45" t="s">
        <v>27</v>
      </c>
      <c r="S80" s="45" t="s">
        <v>27</v>
      </c>
      <c r="T80" s="44"/>
      <c r="U80" s="44"/>
      <c r="V80" s="44"/>
      <c r="W80" s="45" t="s">
        <v>27</v>
      </c>
      <c r="X80" s="45" t="s">
        <v>27</v>
      </c>
      <c r="Y80" s="45" t="s">
        <v>27</v>
      </c>
      <c r="Z80" s="44"/>
      <c r="AA80" s="44"/>
      <c r="AB80" s="45" t="s">
        <v>27</v>
      </c>
      <c r="AC80" s="45" t="s">
        <v>27</v>
      </c>
      <c r="AD80" s="45" t="s">
        <v>27</v>
      </c>
      <c r="AE80" s="45" t="s">
        <v>27</v>
      </c>
      <c r="AF80" s="44"/>
      <c r="AG80" s="44"/>
      <c r="AH80" s="44"/>
      <c r="AI80" s="45" t="s">
        <v>27</v>
      </c>
      <c r="AJ80" s="45" t="s">
        <v>27</v>
      </c>
      <c r="AL80" s="48"/>
      <c r="AM80" s="60" t="str">
        <f t="shared" si="50"/>
        <v/>
      </c>
      <c r="AN80" s="60">
        <f t="shared" si="51"/>
        <v>1</v>
      </c>
      <c r="AO80" s="60">
        <f t="shared" si="52"/>
        <v>0</v>
      </c>
      <c r="AP80" s="60">
        <f t="shared" si="53"/>
        <v>0</v>
      </c>
      <c r="AQ80" s="60">
        <f t="shared" si="54"/>
        <v>0</v>
      </c>
      <c r="AR80" s="60">
        <f t="shared" si="55"/>
        <v>0</v>
      </c>
      <c r="AS80" s="60">
        <f t="shared" si="56"/>
        <v>0</v>
      </c>
      <c r="AT80" s="82"/>
      <c r="AU80" s="82"/>
    </row>
    <row r="81" ht="15.75" customHeight="1">
      <c r="A81" s="76" t="s">
        <v>33</v>
      </c>
      <c r="B81" s="116" t="s">
        <v>753</v>
      </c>
      <c r="C81" s="76">
        <v>4.592648E7</v>
      </c>
      <c r="D81" s="116" t="s">
        <v>755</v>
      </c>
      <c r="E81" s="66" t="s">
        <v>756</v>
      </c>
      <c r="F81" s="274" t="s">
        <v>79</v>
      </c>
      <c r="G81" s="45" t="s">
        <v>27</v>
      </c>
      <c r="H81" s="44"/>
      <c r="I81" s="44"/>
      <c r="J81" s="44"/>
      <c r="K81" s="470" t="s">
        <v>757</v>
      </c>
      <c r="L81" s="6"/>
      <c r="M81" s="6"/>
      <c r="N81" s="6"/>
      <c r="O81" s="6"/>
      <c r="P81" s="6"/>
      <c r="Q81" s="6"/>
      <c r="R81" s="6"/>
      <c r="S81" s="6"/>
      <c r="T81" s="6"/>
      <c r="U81" s="6"/>
      <c r="V81" s="6"/>
      <c r="W81" s="6"/>
      <c r="X81" s="6"/>
      <c r="Y81" s="6"/>
      <c r="Z81" s="6"/>
      <c r="AA81" s="6"/>
      <c r="AB81" s="6"/>
      <c r="AC81" s="6"/>
      <c r="AD81" s="6"/>
      <c r="AE81" s="6"/>
      <c r="AF81" s="6"/>
      <c r="AG81" s="6"/>
      <c r="AH81" s="6"/>
      <c r="AI81" s="6"/>
      <c r="AJ81" s="11"/>
      <c r="AL81" s="48"/>
      <c r="AM81" s="60" t="str">
        <f t="shared" si="50"/>
        <v/>
      </c>
      <c r="AN81" s="60">
        <f t="shared" si="51"/>
        <v>0</v>
      </c>
      <c r="AO81" s="60">
        <f t="shared" si="52"/>
        <v>0</v>
      </c>
      <c r="AP81" s="60">
        <f t="shared" si="53"/>
        <v>0</v>
      </c>
      <c r="AQ81" s="60">
        <f t="shared" si="54"/>
        <v>0</v>
      </c>
      <c r="AR81" s="60">
        <f t="shared" si="55"/>
        <v>0</v>
      </c>
      <c r="AS81" s="60">
        <f t="shared" si="56"/>
        <v>0</v>
      </c>
      <c r="AT81" s="82"/>
      <c r="AU81" s="82"/>
    </row>
    <row r="82" ht="15.75" customHeight="1">
      <c r="A82" s="76" t="s">
        <v>33</v>
      </c>
      <c r="B82" s="116" t="s">
        <v>765</v>
      </c>
      <c r="C82" s="76">
        <v>4.6702815E7</v>
      </c>
      <c r="D82" s="116" t="s">
        <v>766</v>
      </c>
      <c r="E82" s="76" t="s">
        <v>767</v>
      </c>
      <c r="F82" s="103" t="s">
        <v>18</v>
      </c>
      <c r="G82" s="70"/>
      <c r="H82" s="44"/>
      <c r="I82" s="44"/>
      <c r="J82" s="44"/>
      <c r="K82" s="70"/>
      <c r="L82" s="45" t="s">
        <v>18</v>
      </c>
      <c r="M82" s="476" t="s">
        <v>771</v>
      </c>
      <c r="N82" s="44"/>
      <c r="O82" s="44"/>
      <c r="P82" s="45" t="s">
        <v>27</v>
      </c>
      <c r="Q82" s="45" t="s">
        <v>18</v>
      </c>
      <c r="R82" s="45" t="s">
        <v>18</v>
      </c>
      <c r="S82" s="70"/>
      <c r="T82" s="45" t="s">
        <v>18</v>
      </c>
      <c r="U82" s="44"/>
      <c r="V82" s="44"/>
      <c r="W82" s="45" t="s">
        <v>18</v>
      </c>
      <c r="X82" s="45" t="s">
        <v>18</v>
      </c>
      <c r="Y82" s="45" t="s">
        <v>27</v>
      </c>
      <c r="Z82" s="44"/>
      <c r="AA82" s="44"/>
      <c r="AB82" s="106" t="s">
        <v>32</v>
      </c>
      <c r="AC82" s="70"/>
      <c r="AD82" s="45" t="s">
        <v>18</v>
      </c>
      <c r="AE82" s="45" t="s">
        <v>27</v>
      </c>
      <c r="AF82" s="44"/>
      <c r="AG82" s="44"/>
      <c r="AH82" s="44"/>
      <c r="AI82" s="45" t="s">
        <v>27</v>
      </c>
      <c r="AJ82" s="45" t="s">
        <v>27</v>
      </c>
      <c r="AL82" s="48"/>
      <c r="AM82" s="60" t="str">
        <f t="shared" si="50"/>
        <v>NO CORRESPONDE FRANCO</v>
      </c>
      <c r="AN82" s="60">
        <f t="shared" si="51"/>
        <v>8</v>
      </c>
      <c r="AO82" s="60">
        <f t="shared" si="52"/>
        <v>0</v>
      </c>
      <c r="AP82" s="60">
        <f t="shared" si="53"/>
        <v>0</v>
      </c>
      <c r="AQ82" s="60">
        <f t="shared" si="54"/>
        <v>1</v>
      </c>
      <c r="AR82" s="60">
        <f t="shared" si="55"/>
        <v>0</v>
      </c>
      <c r="AS82" s="60">
        <f t="shared" si="56"/>
        <v>1</v>
      </c>
      <c r="AT82" s="82"/>
      <c r="AU82" s="82"/>
    </row>
    <row r="83" ht="15.75" customHeight="1">
      <c r="A83" s="76" t="s">
        <v>33</v>
      </c>
      <c r="B83" s="116" t="s">
        <v>784</v>
      </c>
      <c r="C83" s="76">
        <v>2.9078556E7</v>
      </c>
      <c r="D83" s="116" t="s">
        <v>785</v>
      </c>
      <c r="E83" s="76" t="s">
        <v>786</v>
      </c>
      <c r="F83" s="103" t="s">
        <v>18</v>
      </c>
      <c r="G83" s="45" t="s">
        <v>18</v>
      </c>
      <c r="H83" s="44"/>
      <c r="I83" s="44"/>
      <c r="J83" s="44"/>
      <c r="K83" s="45" t="s">
        <v>18</v>
      </c>
      <c r="L83" s="45" t="s">
        <v>18</v>
      </c>
      <c r="M83" s="45" t="s">
        <v>18</v>
      </c>
      <c r="N83" s="44"/>
      <c r="O83" s="44"/>
      <c r="P83" s="124" t="s">
        <v>22</v>
      </c>
      <c r="Q83" s="124" t="s">
        <v>22</v>
      </c>
      <c r="R83" s="124" t="s">
        <v>22</v>
      </c>
      <c r="S83" s="124" t="s">
        <v>22</v>
      </c>
      <c r="T83" s="124" t="s">
        <v>22</v>
      </c>
      <c r="U83" s="124" t="s">
        <v>22</v>
      </c>
      <c r="V83" s="124" t="s">
        <v>22</v>
      </c>
      <c r="W83" s="45" t="s">
        <v>198</v>
      </c>
      <c r="X83" s="273" t="s">
        <v>18</v>
      </c>
      <c r="Y83" s="45"/>
      <c r="Z83" s="44"/>
      <c r="AA83" s="44"/>
      <c r="AB83" s="45" t="s">
        <v>18</v>
      </c>
      <c r="AC83" s="45" t="s">
        <v>128</v>
      </c>
      <c r="AD83" s="45" t="s">
        <v>18</v>
      </c>
      <c r="AE83" s="45" t="s">
        <v>18</v>
      </c>
      <c r="AF83" s="44"/>
      <c r="AG83" s="44"/>
      <c r="AH83" s="44"/>
      <c r="AI83" s="45" t="s">
        <v>18</v>
      </c>
      <c r="AJ83" s="45" t="s">
        <v>27</v>
      </c>
      <c r="AL83" s="48"/>
      <c r="AM83" s="60" t="str">
        <f t="shared" si="50"/>
        <v>NO CORRESPONDE FRANCO</v>
      </c>
      <c r="AN83" s="60">
        <f t="shared" si="51"/>
        <v>10</v>
      </c>
      <c r="AO83" s="60">
        <f t="shared" si="52"/>
        <v>0</v>
      </c>
      <c r="AP83" s="60">
        <f t="shared" si="53"/>
        <v>0</v>
      </c>
      <c r="AQ83" s="60">
        <f t="shared" si="54"/>
        <v>0</v>
      </c>
      <c r="AR83" s="60">
        <f t="shared" si="55"/>
        <v>7</v>
      </c>
      <c r="AS83" s="60">
        <f t="shared" si="56"/>
        <v>7</v>
      </c>
      <c r="AT83" s="82"/>
      <c r="AU83" s="82"/>
    </row>
    <row r="84" ht="15.75" customHeight="1">
      <c r="A84" s="76" t="s">
        <v>33</v>
      </c>
      <c r="B84" s="67" t="s">
        <v>793</v>
      </c>
      <c r="C84" s="76">
        <v>4.7700706E7</v>
      </c>
      <c r="D84" s="116" t="s">
        <v>794</v>
      </c>
      <c r="E84" s="76" t="s">
        <v>795</v>
      </c>
      <c r="F84" s="45" t="s">
        <v>27</v>
      </c>
      <c r="G84" s="45" t="s">
        <v>27</v>
      </c>
      <c r="H84" s="44"/>
      <c r="I84" s="44"/>
      <c r="J84" s="44"/>
      <c r="K84" s="45" t="s">
        <v>27</v>
      </c>
      <c r="L84" s="45" t="s">
        <v>27</v>
      </c>
      <c r="M84" s="45" t="s">
        <v>27</v>
      </c>
      <c r="N84" s="44"/>
      <c r="O84" s="44"/>
      <c r="P84" s="45" t="s">
        <v>27</v>
      </c>
      <c r="Q84" s="45" t="s">
        <v>18</v>
      </c>
      <c r="R84" s="45" t="s">
        <v>27</v>
      </c>
      <c r="S84" s="45" t="s">
        <v>27</v>
      </c>
      <c r="T84" s="44"/>
      <c r="U84" s="44"/>
      <c r="V84" s="44"/>
      <c r="W84" s="45" t="s">
        <v>18</v>
      </c>
      <c r="X84" s="45" t="s">
        <v>27</v>
      </c>
      <c r="Y84" s="45" t="s">
        <v>18</v>
      </c>
      <c r="Z84" s="44"/>
      <c r="AA84" s="44"/>
      <c r="AB84" s="45" t="s">
        <v>18</v>
      </c>
      <c r="AC84" s="45" t="s">
        <v>27</v>
      </c>
      <c r="AD84" s="45" t="s">
        <v>27</v>
      </c>
      <c r="AE84" s="45" t="s">
        <v>128</v>
      </c>
      <c r="AF84" s="44"/>
      <c r="AG84" s="44"/>
      <c r="AH84" s="44"/>
      <c r="AI84" s="106" t="s">
        <v>32</v>
      </c>
      <c r="AJ84" s="45" t="s">
        <v>27</v>
      </c>
      <c r="AL84" s="48"/>
      <c r="AM84" s="60" t="str">
        <f t="shared" si="50"/>
        <v>NO CORRESPONDE FRANCO</v>
      </c>
      <c r="AN84" s="60">
        <f t="shared" si="51"/>
        <v>4</v>
      </c>
      <c r="AO84" s="60">
        <f t="shared" si="52"/>
        <v>0</v>
      </c>
      <c r="AP84" s="60">
        <f t="shared" si="53"/>
        <v>0</v>
      </c>
      <c r="AQ84" s="60">
        <f t="shared" si="54"/>
        <v>0</v>
      </c>
      <c r="AR84" s="60">
        <f t="shared" si="55"/>
        <v>0</v>
      </c>
      <c r="AS84" s="60">
        <f t="shared" si="56"/>
        <v>0</v>
      </c>
      <c r="AT84" s="82"/>
      <c r="AU84" s="82"/>
    </row>
    <row r="85" ht="15.75" customHeight="1">
      <c r="A85" s="76" t="s">
        <v>33</v>
      </c>
      <c r="B85" s="116" t="s">
        <v>800</v>
      </c>
      <c r="C85" s="76">
        <v>3.7989596E7</v>
      </c>
      <c r="D85" s="116" t="s">
        <v>801</v>
      </c>
      <c r="E85" s="76" t="s">
        <v>802</v>
      </c>
      <c r="F85" s="45" t="s">
        <v>27</v>
      </c>
      <c r="G85" s="45" t="s">
        <v>27</v>
      </c>
      <c r="H85" s="44"/>
      <c r="I85" s="44"/>
      <c r="J85" s="44"/>
      <c r="K85" s="45" t="s">
        <v>27</v>
      </c>
      <c r="L85" s="45" t="s">
        <v>27</v>
      </c>
      <c r="M85" s="45" t="s">
        <v>27</v>
      </c>
      <c r="N85" s="44"/>
      <c r="O85" s="44"/>
      <c r="P85" s="45" t="s">
        <v>27</v>
      </c>
      <c r="Q85" s="45" t="s">
        <v>27</v>
      </c>
      <c r="R85" s="45" t="s">
        <v>27</v>
      </c>
      <c r="S85" s="45" t="s">
        <v>27</v>
      </c>
      <c r="T85" s="44"/>
      <c r="U85" s="44"/>
      <c r="V85" s="44"/>
      <c r="W85" s="45" t="s">
        <v>27</v>
      </c>
      <c r="X85" s="45" t="s">
        <v>27</v>
      </c>
      <c r="Y85" s="45" t="s">
        <v>27</v>
      </c>
      <c r="Z85" s="44"/>
      <c r="AA85" s="44"/>
      <c r="AB85" s="106" t="s">
        <v>32</v>
      </c>
      <c r="AC85" s="45" t="s">
        <v>27</v>
      </c>
      <c r="AD85" s="45" t="s">
        <v>27</v>
      </c>
      <c r="AE85" s="45" t="s">
        <v>27</v>
      </c>
      <c r="AF85" s="44"/>
      <c r="AG85" s="44"/>
      <c r="AH85" s="44"/>
      <c r="AI85" s="45" t="s">
        <v>27</v>
      </c>
      <c r="AJ85" s="45" t="s">
        <v>27</v>
      </c>
      <c r="AL85" s="48"/>
      <c r="AM85" s="60" t="str">
        <f t="shared" si="50"/>
        <v/>
      </c>
      <c r="AN85" s="60">
        <f t="shared" si="51"/>
        <v>0</v>
      </c>
      <c r="AO85" s="60">
        <f t="shared" si="52"/>
        <v>0</v>
      </c>
      <c r="AP85" s="60">
        <f t="shared" si="53"/>
        <v>0</v>
      </c>
      <c r="AQ85" s="60">
        <f t="shared" si="54"/>
        <v>0</v>
      </c>
      <c r="AR85" s="60">
        <f t="shared" si="55"/>
        <v>0</v>
      </c>
      <c r="AS85" s="60">
        <f t="shared" si="56"/>
        <v>0</v>
      </c>
      <c r="AT85" s="82"/>
      <c r="AU85" s="82"/>
    </row>
    <row r="86" ht="15.75" customHeight="1">
      <c r="A86" s="76" t="s">
        <v>168</v>
      </c>
      <c r="B86" s="116" t="s">
        <v>811</v>
      </c>
      <c r="C86" s="76">
        <v>3.9911382E7</v>
      </c>
      <c r="D86" s="116" t="s">
        <v>814</v>
      </c>
      <c r="E86" s="66" t="s">
        <v>815</v>
      </c>
      <c r="F86" s="45" t="s">
        <v>27</v>
      </c>
      <c r="G86" s="45" t="s">
        <v>27</v>
      </c>
      <c r="H86" s="44"/>
      <c r="I86" s="44"/>
      <c r="J86" s="44"/>
      <c r="K86" s="45" t="s">
        <v>27</v>
      </c>
      <c r="L86" s="109" t="s">
        <v>79</v>
      </c>
      <c r="M86" s="45" t="s">
        <v>27</v>
      </c>
      <c r="N86" s="44"/>
      <c r="O86" s="44"/>
      <c r="P86" s="45" t="s">
        <v>18</v>
      </c>
      <c r="Q86" s="45" t="s">
        <v>18</v>
      </c>
      <c r="R86" s="45" t="s">
        <v>27</v>
      </c>
      <c r="S86" s="45" t="s">
        <v>27</v>
      </c>
      <c r="T86" s="45" t="s">
        <v>27</v>
      </c>
      <c r="U86" s="44"/>
      <c r="V86" s="44"/>
      <c r="W86" s="91" t="s">
        <v>19</v>
      </c>
      <c r="X86" s="91" t="s">
        <v>19</v>
      </c>
      <c r="Y86" s="91" t="s">
        <v>19</v>
      </c>
      <c r="Z86" s="91" t="s">
        <v>19</v>
      </c>
      <c r="AA86" s="44"/>
      <c r="AB86" s="490"/>
      <c r="AC86" s="91" t="s">
        <v>19</v>
      </c>
      <c r="AD86" s="91" t="s">
        <v>19</v>
      </c>
      <c r="AE86" s="91" t="s">
        <v>19</v>
      </c>
      <c r="AF86" s="44"/>
      <c r="AG86" s="44"/>
      <c r="AH86" s="44"/>
      <c r="AI86" s="91" t="s">
        <v>19</v>
      </c>
      <c r="AJ86" s="175"/>
      <c r="AL86" s="48"/>
      <c r="AM86" s="60" t="str">
        <f t="shared" si="50"/>
        <v>NO CORRESPONDE FRANCO</v>
      </c>
      <c r="AN86" s="60">
        <f t="shared" si="51"/>
        <v>2</v>
      </c>
      <c r="AO86" s="60">
        <f t="shared" si="52"/>
        <v>8</v>
      </c>
      <c r="AP86" s="60">
        <f t="shared" si="53"/>
        <v>0</v>
      </c>
      <c r="AQ86" s="60">
        <f t="shared" si="54"/>
        <v>0</v>
      </c>
      <c r="AR86" s="60">
        <f t="shared" si="55"/>
        <v>0</v>
      </c>
      <c r="AS86" s="60">
        <f t="shared" si="56"/>
        <v>8</v>
      </c>
      <c r="AT86" s="82"/>
      <c r="AU86" s="82"/>
    </row>
    <row r="87" ht="15.75" customHeight="1">
      <c r="A87" s="76" t="s">
        <v>168</v>
      </c>
      <c r="B87" s="116" t="s">
        <v>822</v>
      </c>
      <c r="C87" s="76">
        <v>2.2986617E7</v>
      </c>
      <c r="D87" s="116" t="s">
        <v>823</v>
      </c>
      <c r="E87" s="66" t="s">
        <v>824</v>
      </c>
      <c r="F87" s="103" t="s">
        <v>18</v>
      </c>
      <c r="G87" s="45" t="s">
        <v>27</v>
      </c>
      <c r="H87" s="44"/>
      <c r="I87" s="44"/>
      <c r="J87" s="44"/>
      <c r="K87" s="45" t="s">
        <v>27</v>
      </c>
      <c r="L87" s="45" t="s">
        <v>18</v>
      </c>
      <c r="M87" s="45" t="s">
        <v>27</v>
      </c>
      <c r="N87" s="44"/>
      <c r="O87" s="44"/>
      <c r="P87" s="45" t="s">
        <v>27</v>
      </c>
      <c r="Q87" s="45" t="s">
        <v>27</v>
      </c>
      <c r="R87" s="45" t="s">
        <v>27</v>
      </c>
      <c r="S87" s="45" t="s">
        <v>18</v>
      </c>
      <c r="T87" s="44"/>
      <c r="U87" s="44"/>
      <c r="V87" s="44"/>
      <c r="W87" s="45" t="s">
        <v>18</v>
      </c>
      <c r="X87" s="45" t="s">
        <v>18</v>
      </c>
      <c r="Y87" s="91" t="s">
        <v>19</v>
      </c>
      <c r="Z87" s="44"/>
      <c r="AA87" s="44"/>
      <c r="AB87" s="91" t="s">
        <v>78</v>
      </c>
      <c r="AC87" s="91" t="s">
        <v>19</v>
      </c>
      <c r="AD87" s="70"/>
      <c r="AE87" s="45" t="s">
        <v>18</v>
      </c>
      <c r="AF87" s="44"/>
      <c r="AG87" s="44"/>
      <c r="AH87" s="44"/>
      <c r="AI87" s="45" t="s">
        <v>27</v>
      </c>
      <c r="AJ87" s="45" t="s">
        <v>27</v>
      </c>
      <c r="AL87" s="48"/>
      <c r="AM87" s="60" t="str">
        <f t="shared" si="50"/>
        <v>NO CORRESPONDE FRANCO</v>
      </c>
      <c r="AN87" s="60">
        <f t="shared" si="51"/>
        <v>6</v>
      </c>
      <c r="AO87" s="60">
        <f t="shared" si="52"/>
        <v>2</v>
      </c>
      <c r="AP87" s="60">
        <f t="shared" si="53"/>
        <v>0</v>
      </c>
      <c r="AQ87" s="60">
        <f t="shared" si="54"/>
        <v>0</v>
      </c>
      <c r="AR87" s="60">
        <f t="shared" si="55"/>
        <v>0</v>
      </c>
      <c r="AS87" s="60">
        <f t="shared" si="56"/>
        <v>2</v>
      </c>
      <c r="AT87" s="82"/>
      <c r="AU87" s="82"/>
    </row>
    <row r="88" ht="15.75" customHeight="1">
      <c r="A88" s="108" t="s">
        <v>33</v>
      </c>
      <c r="B88" s="385" t="s">
        <v>834</v>
      </c>
      <c r="C88" s="76">
        <v>4.5689445E7</v>
      </c>
      <c r="D88" s="385" t="s">
        <v>835</v>
      </c>
      <c r="E88" s="66" t="s">
        <v>836</v>
      </c>
      <c r="F88" s="45" t="s">
        <v>27</v>
      </c>
      <c r="G88" s="45" t="s">
        <v>27</v>
      </c>
      <c r="H88" s="44"/>
      <c r="I88" s="44"/>
      <c r="J88" s="44"/>
      <c r="K88" s="45" t="s">
        <v>27</v>
      </c>
      <c r="L88" s="45" t="s">
        <v>27</v>
      </c>
      <c r="M88" s="45" t="s">
        <v>27</v>
      </c>
      <c r="N88" s="44"/>
      <c r="O88" s="44"/>
      <c r="P88" s="45" t="s">
        <v>27</v>
      </c>
      <c r="Q88" s="45" t="s">
        <v>27</v>
      </c>
      <c r="R88" s="45" t="s">
        <v>27</v>
      </c>
      <c r="S88" s="45" t="s">
        <v>27</v>
      </c>
      <c r="T88" s="44"/>
      <c r="U88" s="44"/>
      <c r="V88" s="44"/>
      <c r="W88" s="45" t="s">
        <v>27</v>
      </c>
      <c r="X88" s="45" t="s">
        <v>27</v>
      </c>
      <c r="Y88" s="45" t="s">
        <v>27</v>
      </c>
      <c r="Z88" s="44"/>
      <c r="AA88" s="44"/>
      <c r="AB88" s="45" t="s">
        <v>18</v>
      </c>
      <c r="AC88" s="45" t="s">
        <v>27</v>
      </c>
      <c r="AD88" s="45" t="s">
        <v>27</v>
      </c>
      <c r="AE88" s="45" t="s">
        <v>27</v>
      </c>
      <c r="AF88" s="44"/>
      <c r="AG88" s="44"/>
      <c r="AH88" s="44"/>
      <c r="AI88" s="45" t="s">
        <v>27</v>
      </c>
      <c r="AJ88" s="45" t="s">
        <v>120</v>
      </c>
      <c r="AL88" s="48"/>
      <c r="AM88" s="60" t="str">
        <f t="shared" si="50"/>
        <v/>
      </c>
      <c r="AN88" s="60">
        <f t="shared" si="51"/>
        <v>1</v>
      </c>
      <c r="AO88" s="60">
        <f t="shared" si="52"/>
        <v>0</v>
      </c>
      <c r="AP88" s="60">
        <f t="shared" si="53"/>
        <v>0</v>
      </c>
      <c r="AQ88" s="60">
        <f t="shared" si="54"/>
        <v>0</v>
      </c>
      <c r="AR88" s="60">
        <f t="shared" si="55"/>
        <v>0</v>
      </c>
      <c r="AS88" s="60">
        <f t="shared" si="56"/>
        <v>0</v>
      </c>
      <c r="AT88" s="82"/>
      <c r="AU88" s="82"/>
    </row>
    <row r="89" ht="15.75" customHeight="1">
      <c r="A89" s="498" t="s">
        <v>33</v>
      </c>
      <c r="B89" s="49" t="s">
        <v>843</v>
      </c>
      <c r="C89" s="62">
        <v>4.7229174E7</v>
      </c>
      <c r="D89" s="49" t="s">
        <v>844</v>
      </c>
      <c r="E89" s="62" t="s">
        <v>845</v>
      </c>
      <c r="F89" s="103" t="s">
        <v>18</v>
      </c>
      <c r="G89" s="45" t="s">
        <v>27</v>
      </c>
      <c r="H89" s="44"/>
      <c r="I89" s="44"/>
      <c r="J89" s="44"/>
      <c r="K89" s="45" t="s">
        <v>27</v>
      </c>
      <c r="L89" s="45" t="s">
        <v>27</v>
      </c>
      <c r="M89" s="45" t="s">
        <v>18</v>
      </c>
      <c r="N89" s="44"/>
      <c r="O89" s="44"/>
      <c r="P89" s="45" t="s">
        <v>27</v>
      </c>
      <c r="Q89" s="45" t="s">
        <v>27</v>
      </c>
      <c r="R89" s="45" t="s">
        <v>18</v>
      </c>
      <c r="S89" s="45" t="s">
        <v>18</v>
      </c>
      <c r="T89" s="44"/>
      <c r="U89" s="44"/>
      <c r="V89" s="44"/>
      <c r="W89" s="45" t="s">
        <v>27</v>
      </c>
      <c r="X89" s="45" t="s">
        <v>18</v>
      </c>
      <c r="Y89" s="45" t="s">
        <v>27</v>
      </c>
      <c r="Z89" s="44"/>
      <c r="AA89" s="44"/>
      <c r="AB89" s="96" t="s">
        <v>22</v>
      </c>
      <c r="AC89" s="96"/>
      <c r="AD89" s="96" t="s">
        <v>22</v>
      </c>
      <c r="AE89" s="96" t="s">
        <v>22</v>
      </c>
      <c r="AF89" s="96" t="s">
        <v>22</v>
      </c>
      <c r="AG89" s="96" t="s">
        <v>22</v>
      </c>
      <c r="AH89" s="96" t="s">
        <v>22</v>
      </c>
      <c r="AI89" s="106" t="s">
        <v>32</v>
      </c>
      <c r="AJ89" s="45" t="s">
        <v>27</v>
      </c>
      <c r="AL89" s="48"/>
      <c r="AM89" s="60" t="str">
        <f t="shared" si="50"/>
        <v>NO CORRESPONDE FRANCO</v>
      </c>
      <c r="AN89" s="60">
        <f t="shared" si="51"/>
        <v>5</v>
      </c>
      <c r="AO89" s="60">
        <f t="shared" si="52"/>
        <v>0</v>
      </c>
      <c r="AP89" s="60">
        <f t="shared" si="53"/>
        <v>0</v>
      </c>
      <c r="AQ89" s="60">
        <f t="shared" si="54"/>
        <v>0</v>
      </c>
      <c r="AR89" s="60">
        <f t="shared" si="55"/>
        <v>6</v>
      </c>
      <c r="AS89" s="60">
        <f t="shared" si="56"/>
        <v>6</v>
      </c>
      <c r="AT89" s="82"/>
      <c r="AU89" s="82"/>
    </row>
    <row r="90" ht="15.75" customHeight="1">
      <c r="A90" s="66"/>
      <c r="B90" s="502"/>
      <c r="C90" s="503"/>
      <c r="D90" s="504"/>
      <c r="E90" s="506"/>
      <c r="F90" s="24"/>
      <c r="G90" s="24"/>
      <c r="H90" s="24"/>
      <c r="I90" s="24"/>
      <c r="J90" s="24"/>
      <c r="K90" s="24"/>
      <c r="L90" s="24"/>
      <c r="M90" s="24"/>
      <c r="N90" s="24"/>
      <c r="O90" s="24"/>
      <c r="P90" s="24"/>
      <c r="Q90" s="24"/>
      <c r="R90" s="24"/>
      <c r="S90" s="24"/>
      <c r="T90" s="24"/>
      <c r="U90" s="24"/>
      <c r="V90" s="24"/>
      <c r="W90" s="24"/>
      <c r="X90" s="24"/>
      <c r="Y90" s="24"/>
      <c r="Z90" s="24"/>
      <c r="AA90" s="24"/>
      <c r="AB90" s="24"/>
      <c r="AC90" s="24"/>
      <c r="AD90" s="24"/>
      <c r="AE90" s="24"/>
      <c r="AF90" s="24"/>
      <c r="AG90" s="24"/>
      <c r="AH90" s="24"/>
      <c r="AI90" s="24"/>
      <c r="AJ90" s="24"/>
      <c r="AL90" s="48"/>
      <c r="AM90" s="82"/>
      <c r="AN90" s="82"/>
      <c r="AO90" s="82"/>
      <c r="AP90" s="82"/>
      <c r="AQ90" s="82"/>
      <c r="AR90" s="82"/>
      <c r="AS90" s="82"/>
      <c r="AT90" s="82"/>
      <c r="AU90" s="82"/>
    </row>
    <row r="91" ht="15.75" customHeight="1">
      <c r="A91" s="203" t="s">
        <v>867</v>
      </c>
      <c r="B91" s="6"/>
      <c r="C91" s="6"/>
      <c r="D91" s="6"/>
      <c r="E91" s="11"/>
      <c r="F91" s="7">
        <v>1.0</v>
      </c>
      <c r="G91" s="7">
        <v>2.0</v>
      </c>
      <c r="H91" s="7">
        <v>3.0</v>
      </c>
      <c r="I91" s="7">
        <v>4.0</v>
      </c>
      <c r="J91" s="7">
        <v>5.0</v>
      </c>
      <c r="K91" s="7">
        <v>6.0</v>
      </c>
      <c r="L91" s="7">
        <v>7.0</v>
      </c>
      <c r="M91" s="7">
        <v>8.0</v>
      </c>
      <c r="N91" s="7">
        <v>9.0</v>
      </c>
      <c r="O91" s="7">
        <v>10.0</v>
      </c>
      <c r="P91" s="7">
        <v>11.0</v>
      </c>
      <c r="Q91" s="7">
        <v>12.0</v>
      </c>
      <c r="R91" s="7">
        <v>13.0</v>
      </c>
      <c r="S91" s="7">
        <v>14.0</v>
      </c>
      <c r="T91" s="7">
        <v>15.0</v>
      </c>
      <c r="U91" s="7">
        <v>16.0</v>
      </c>
      <c r="V91" s="7">
        <v>17.0</v>
      </c>
      <c r="W91" s="7">
        <v>18.0</v>
      </c>
      <c r="X91" s="7">
        <v>19.0</v>
      </c>
      <c r="Y91" s="7">
        <v>20.0</v>
      </c>
      <c r="Z91" s="7">
        <v>21.0</v>
      </c>
      <c r="AA91" s="7">
        <v>22.0</v>
      </c>
      <c r="AB91" s="7">
        <v>23.0</v>
      </c>
      <c r="AC91" s="10">
        <v>24.0</v>
      </c>
      <c r="AD91" s="7">
        <v>25.0</v>
      </c>
      <c r="AE91" s="7">
        <v>26.0</v>
      </c>
      <c r="AF91" s="7">
        <v>27.0</v>
      </c>
      <c r="AG91" s="7">
        <v>28.0</v>
      </c>
      <c r="AH91" s="7">
        <v>29.0</v>
      </c>
      <c r="AI91" s="7">
        <v>30.0</v>
      </c>
      <c r="AJ91" s="7">
        <v>31.0</v>
      </c>
      <c r="AL91" s="48"/>
      <c r="AM91" s="82"/>
      <c r="AN91" s="82"/>
      <c r="AO91" s="82"/>
      <c r="AP91" s="82"/>
      <c r="AQ91" s="82"/>
      <c r="AR91" s="82"/>
      <c r="AS91" s="82"/>
      <c r="AT91" s="82"/>
      <c r="AU91" s="82"/>
    </row>
    <row r="92" ht="15.75" customHeight="1">
      <c r="A92" s="207" t="s">
        <v>4</v>
      </c>
      <c r="B92" s="209" t="s">
        <v>5</v>
      </c>
      <c r="C92" s="207" t="s">
        <v>6</v>
      </c>
      <c r="D92" s="209" t="s">
        <v>7</v>
      </c>
      <c r="E92" s="207" t="s">
        <v>8</v>
      </c>
      <c r="F92" s="7" t="s">
        <v>9</v>
      </c>
      <c r="G92" s="7" t="s">
        <v>10</v>
      </c>
      <c r="H92" s="7" t="s">
        <v>11</v>
      </c>
      <c r="I92" s="7" t="s">
        <v>12</v>
      </c>
      <c r="J92" s="7" t="s">
        <v>12</v>
      </c>
      <c r="K92" s="7" t="s">
        <v>13</v>
      </c>
      <c r="L92" s="7" t="s">
        <v>15</v>
      </c>
      <c r="M92" s="7" t="s">
        <v>9</v>
      </c>
      <c r="N92" s="7" t="s">
        <v>10</v>
      </c>
      <c r="O92" s="7" t="s">
        <v>11</v>
      </c>
      <c r="P92" s="7" t="s">
        <v>12</v>
      </c>
      <c r="Q92" s="7" t="s">
        <v>12</v>
      </c>
      <c r="R92" s="7" t="s">
        <v>13</v>
      </c>
      <c r="S92" s="7" t="s">
        <v>15</v>
      </c>
      <c r="T92" s="7" t="s">
        <v>9</v>
      </c>
      <c r="U92" s="7" t="s">
        <v>10</v>
      </c>
      <c r="V92" s="7" t="s">
        <v>11</v>
      </c>
      <c r="W92" s="7" t="s">
        <v>12</v>
      </c>
      <c r="X92" s="7" t="s">
        <v>12</v>
      </c>
      <c r="Y92" s="7" t="s">
        <v>13</v>
      </c>
      <c r="Z92" s="7" t="s">
        <v>15</v>
      </c>
      <c r="AA92" s="7" t="s">
        <v>9</v>
      </c>
      <c r="AB92" s="7" t="s">
        <v>10</v>
      </c>
      <c r="AC92" s="10" t="s">
        <v>11</v>
      </c>
      <c r="AD92" s="7" t="s">
        <v>12</v>
      </c>
      <c r="AE92" s="7" t="s">
        <v>12</v>
      </c>
      <c r="AF92" s="7" t="s">
        <v>13</v>
      </c>
      <c r="AG92" s="27" t="s">
        <v>15</v>
      </c>
      <c r="AH92" s="7" t="s">
        <v>9</v>
      </c>
      <c r="AI92" s="7" t="s">
        <v>10</v>
      </c>
      <c r="AJ92" s="7" t="s">
        <v>11</v>
      </c>
      <c r="AL92" s="48"/>
      <c r="AM92" s="82"/>
      <c r="AN92" s="82"/>
      <c r="AO92" s="82"/>
      <c r="AP92" s="82"/>
      <c r="AQ92" s="82"/>
      <c r="AR92" s="82"/>
      <c r="AS92" s="82"/>
      <c r="AT92" s="82"/>
      <c r="AU92" s="82"/>
    </row>
    <row r="93" ht="15.75" customHeight="1">
      <c r="A93" s="38" t="s">
        <v>269</v>
      </c>
      <c r="B93" s="63" t="s">
        <v>878</v>
      </c>
      <c r="C93" s="40">
        <v>12317.0</v>
      </c>
      <c r="D93" s="39" t="s">
        <v>879</v>
      </c>
      <c r="E93" s="515" t="s">
        <v>880</v>
      </c>
      <c r="F93" s="124" t="s">
        <v>22</v>
      </c>
      <c r="G93" s="124" t="s">
        <v>22</v>
      </c>
      <c r="H93" s="124" t="s">
        <v>22</v>
      </c>
      <c r="I93" s="124" t="s">
        <v>22</v>
      </c>
      <c r="J93" s="124" t="s">
        <v>22</v>
      </c>
      <c r="K93" s="70"/>
      <c r="L93" s="70"/>
      <c r="M93" s="45" t="s">
        <v>27</v>
      </c>
      <c r="N93" s="45" t="s">
        <v>27</v>
      </c>
      <c r="O93" s="70"/>
      <c r="P93" s="70"/>
      <c r="Q93" s="70"/>
      <c r="R93" s="70"/>
      <c r="S93" s="70"/>
      <c r="T93" s="45" t="s">
        <v>27</v>
      </c>
      <c r="U93" s="45" t="s">
        <v>27</v>
      </c>
      <c r="V93" s="70"/>
      <c r="W93" s="70"/>
      <c r="X93" s="70"/>
      <c r="Y93" s="70"/>
      <c r="Z93" s="70"/>
      <c r="AA93" s="70"/>
      <c r="AB93" s="70"/>
      <c r="AC93" s="70"/>
      <c r="AD93" s="70"/>
      <c r="AE93" s="70"/>
      <c r="AF93" s="70"/>
      <c r="AG93" s="70"/>
      <c r="AH93" s="45" t="s">
        <v>27</v>
      </c>
      <c r="AI93" s="45" t="s">
        <v>27</v>
      </c>
      <c r="AJ93" s="70"/>
      <c r="AM93" s="60" t="str">
        <f>IFS(AN93&gt;3,"NO CORRESPONDE FRANCO",AS93&gt;0,"NO CORRESPONDE FRANCO",AS93=0,"")</f>
        <v>NO CORRESPONDE FRANCO</v>
      </c>
      <c r="AN93" s="60">
        <f>COUNTIF($F93:$AJ93,"LLT")</f>
        <v>0</v>
      </c>
      <c r="AO93" s="60">
        <f>COUNTIF($F93:$AJ93,"LM")</f>
        <v>0</v>
      </c>
      <c r="AP93" s="60">
        <f>COUNTIF($F93:$AJ93,"FaC")</f>
        <v>0</v>
      </c>
      <c r="AQ93" s="60">
        <f>COUNTIF($F93:$AJ93,"LxE")</f>
        <v>0</v>
      </c>
      <c r="AR93" s="60">
        <f>COUNTIF($F93:$AJ93,"LA")</f>
        <v>5</v>
      </c>
      <c r="AS93" s="60">
        <f>SUM(AO93:AR93)</f>
        <v>5</v>
      </c>
    </row>
    <row r="94" ht="15.75" customHeight="1">
      <c r="A94" s="377"/>
      <c r="B94" s="377"/>
      <c r="C94" s="377"/>
      <c r="D94" s="377"/>
      <c r="E94" s="377"/>
      <c r="F94" s="24"/>
      <c r="G94" s="24"/>
      <c r="H94" s="24"/>
      <c r="I94" s="24"/>
      <c r="J94" s="24"/>
      <c r="K94" s="24"/>
      <c r="L94" s="24"/>
      <c r="M94" s="24"/>
      <c r="N94" s="24"/>
      <c r="O94" s="24"/>
      <c r="P94" s="24"/>
      <c r="Q94" s="24"/>
      <c r="R94" s="24"/>
      <c r="S94" s="24"/>
      <c r="T94" s="24"/>
      <c r="U94" s="24"/>
      <c r="V94" s="24"/>
      <c r="W94" s="24"/>
      <c r="X94" s="24"/>
      <c r="Y94" s="24"/>
      <c r="Z94" s="24"/>
      <c r="AA94" s="24"/>
      <c r="AB94" s="24"/>
      <c r="AC94" s="24"/>
      <c r="AD94" s="24"/>
      <c r="AE94" s="24"/>
      <c r="AF94" s="24"/>
      <c r="AG94" s="24"/>
      <c r="AH94" s="24"/>
      <c r="AI94" s="24"/>
      <c r="AJ94" s="24"/>
    </row>
    <row r="95" ht="15.75" customHeight="1">
      <c r="A95" s="203" t="s">
        <v>892</v>
      </c>
      <c r="B95" s="6"/>
      <c r="C95" s="6"/>
      <c r="D95" s="6"/>
      <c r="E95" s="11"/>
      <c r="F95" s="7">
        <v>1.0</v>
      </c>
      <c r="G95" s="7">
        <v>2.0</v>
      </c>
      <c r="H95" s="7">
        <v>3.0</v>
      </c>
      <c r="I95" s="7">
        <v>4.0</v>
      </c>
      <c r="J95" s="7">
        <v>5.0</v>
      </c>
      <c r="K95" s="7">
        <v>6.0</v>
      </c>
      <c r="L95" s="7">
        <v>7.0</v>
      </c>
      <c r="M95" s="7">
        <v>8.0</v>
      </c>
      <c r="N95" s="7">
        <v>9.0</v>
      </c>
      <c r="O95" s="7">
        <v>10.0</v>
      </c>
      <c r="P95" s="7">
        <v>11.0</v>
      </c>
      <c r="Q95" s="7">
        <v>12.0</v>
      </c>
      <c r="R95" s="7">
        <v>13.0</v>
      </c>
      <c r="S95" s="7">
        <v>14.0</v>
      </c>
      <c r="T95" s="7">
        <v>15.0</v>
      </c>
      <c r="U95" s="7">
        <v>16.0</v>
      </c>
      <c r="V95" s="7">
        <v>17.0</v>
      </c>
      <c r="W95" s="7">
        <v>18.0</v>
      </c>
      <c r="X95" s="7">
        <v>19.0</v>
      </c>
      <c r="Y95" s="7">
        <v>20.0</v>
      </c>
      <c r="Z95" s="7">
        <v>21.0</v>
      </c>
      <c r="AA95" s="7">
        <v>22.0</v>
      </c>
      <c r="AB95" s="7">
        <v>23.0</v>
      </c>
      <c r="AC95" s="10">
        <v>24.0</v>
      </c>
      <c r="AD95" s="7">
        <v>25.0</v>
      </c>
      <c r="AE95" s="7">
        <v>26.0</v>
      </c>
      <c r="AF95" s="7">
        <v>27.0</v>
      </c>
      <c r="AG95" s="7">
        <v>28.0</v>
      </c>
      <c r="AH95" s="7">
        <v>29.0</v>
      </c>
      <c r="AI95" s="7">
        <v>30.0</v>
      </c>
      <c r="AJ95" s="7">
        <v>31.0</v>
      </c>
    </row>
    <row r="96" ht="15.75" customHeight="1">
      <c r="A96" s="207" t="s">
        <v>4</v>
      </c>
      <c r="B96" s="209" t="s">
        <v>5</v>
      </c>
      <c r="C96" s="207" t="s">
        <v>6</v>
      </c>
      <c r="D96" s="209" t="s">
        <v>7</v>
      </c>
      <c r="E96" s="207" t="s">
        <v>8</v>
      </c>
      <c r="F96" s="7" t="s">
        <v>9</v>
      </c>
      <c r="G96" s="7" t="s">
        <v>10</v>
      </c>
      <c r="H96" s="7" t="s">
        <v>11</v>
      </c>
      <c r="I96" s="7" t="s">
        <v>12</v>
      </c>
      <c r="J96" s="7" t="s">
        <v>12</v>
      </c>
      <c r="K96" s="7" t="s">
        <v>13</v>
      </c>
      <c r="L96" s="7" t="s">
        <v>15</v>
      </c>
      <c r="M96" s="7" t="s">
        <v>9</v>
      </c>
      <c r="N96" s="7" t="s">
        <v>10</v>
      </c>
      <c r="O96" s="7" t="s">
        <v>11</v>
      </c>
      <c r="P96" s="7" t="s">
        <v>12</v>
      </c>
      <c r="Q96" s="7" t="s">
        <v>12</v>
      </c>
      <c r="R96" s="7" t="s">
        <v>13</v>
      </c>
      <c r="S96" s="7" t="s">
        <v>15</v>
      </c>
      <c r="T96" s="7" t="s">
        <v>9</v>
      </c>
      <c r="U96" s="7" t="s">
        <v>10</v>
      </c>
      <c r="V96" s="7" t="s">
        <v>11</v>
      </c>
      <c r="W96" s="7" t="s">
        <v>12</v>
      </c>
      <c r="X96" s="7" t="s">
        <v>12</v>
      </c>
      <c r="Y96" s="7" t="s">
        <v>13</v>
      </c>
      <c r="Z96" s="7" t="s">
        <v>15</v>
      </c>
      <c r="AA96" s="7" t="s">
        <v>9</v>
      </c>
      <c r="AB96" s="7" t="s">
        <v>10</v>
      </c>
      <c r="AC96" s="10" t="s">
        <v>11</v>
      </c>
      <c r="AD96" s="7" t="s">
        <v>12</v>
      </c>
      <c r="AE96" s="7" t="s">
        <v>12</v>
      </c>
      <c r="AF96" s="7" t="s">
        <v>13</v>
      </c>
      <c r="AG96" s="27" t="s">
        <v>15</v>
      </c>
      <c r="AH96" s="7" t="s">
        <v>9</v>
      </c>
      <c r="AI96" s="7" t="s">
        <v>10</v>
      </c>
      <c r="AJ96" s="7" t="s">
        <v>11</v>
      </c>
    </row>
    <row r="97" ht="15.75" customHeight="1">
      <c r="A97" s="38" t="s">
        <v>23</v>
      </c>
      <c r="B97" s="63" t="s">
        <v>894</v>
      </c>
      <c r="C97" s="40">
        <v>11714.0</v>
      </c>
      <c r="D97" s="39" t="s">
        <v>895</v>
      </c>
      <c r="E97" s="515" t="s">
        <v>896</v>
      </c>
      <c r="F97" s="70"/>
      <c r="G97" s="70"/>
      <c r="H97" s="45"/>
      <c r="I97" s="70"/>
      <c r="J97" s="70"/>
      <c r="K97" s="70"/>
      <c r="L97" s="70"/>
      <c r="M97" s="70"/>
      <c r="N97" s="70"/>
      <c r="O97" s="70"/>
      <c r="P97" s="70"/>
      <c r="Q97" s="45"/>
      <c r="R97" s="70"/>
      <c r="S97" s="45"/>
      <c r="T97" s="70"/>
      <c r="U97" s="70"/>
      <c r="V97" s="45"/>
      <c r="W97" s="70"/>
      <c r="X97" s="45"/>
      <c r="Y97" s="70"/>
      <c r="Z97" s="45"/>
      <c r="AA97" s="70"/>
      <c r="AB97" s="70"/>
      <c r="AC97" s="45"/>
      <c r="AD97" s="45"/>
      <c r="AE97" s="70"/>
      <c r="AF97" s="45"/>
      <c r="AG97" s="70"/>
      <c r="AH97" s="44"/>
      <c r="AI97" s="44"/>
      <c r="AJ97" s="70"/>
      <c r="AM97" s="60" t="str">
        <f>IFS(AN97&gt;3,"NO CORRESPONDE FRANCO",AS97&gt;0,"NO CORRESPONDE FRANCO",AS97=0,"")</f>
        <v/>
      </c>
      <c r="AN97" s="60">
        <f>COUNTIF($F97:$AJ97,"LLT")</f>
        <v>0</v>
      </c>
      <c r="AO97" s="60">
        <f>COUNTIF($F97:$AJ97,"LM")</f>
        <v>0</v>
      </c>
      <c r="AP97" s="60">
        <f>COUNTIF($F97:$AJ97,"FaC")</f>
        <v>0</v>
      </c>
      <c r="AQ97" s="60">
        <f>COUNTIF($F97:$AJ97,"LxE")</f>
        <v>0</v>
      </c>
      <c r="AR97" s="60">
        <f>COUNTIF($F97:$AJ97,"LA")</f>
        <v>0</v>
      </c>
      <c r="AS97" s="60">
        <f>SUM(AO97:AR97)</f>
        <v>0</v>
      </c>
    </row>
    <row r="98" ht="15.75" customHeight="1">
      <c r="A98" s="21"/>
      <c r="B98" s="21"/>
      <c r="C98" s="21"/>
      <c r="D98" s="21"/>
      <c r="E98" s="21"/>
      <c r="F98" s="486">
        <f t="shared" ref="F98:AI98" si="57">COUNTIF(F3:F89,"P") + COUNTIF(F3:F89, "LLT")</f>
        <v>44</v>
      </c>
      <c r="G98" s="486">
        <f t="shared" si="57"/>
        <v>33</v>
      </c>
      <c r="H98" s="486">
        <f t="shared" si="57"/>
        <v>33</v>
      </c>
      <c r="I98" s="486">
        <f t="shared" si="57"/>
        <v>30</v>
      </c>
      <c r="J98" s="486">
        <f t="shared" si="57"/>
        <v>29</v>
      </c>
      <c r="K98" s="486">
        <f t="shared" si="57"/>
        <v>27</v>
      </c>
      <c r="L98" s="486">
        <f t="shared" si="57"/>
        <v>30</v>
      </c>
      <c r="M98" s="486">
        <f t="shared" si="57"/>
        <v>37</v>
      </c>
      <c r="N98" s="486">
        <f t="shared" si="57"/>
        <v>40</v>
      </c>
      <c r="O98" s="486">
        <f t="shared" si="57"/>
        <v>37</v>
      </c>
      <c r="P98" s="486">
        <f t="shared" si="57"/>
        <v>38</v>
      </c>
      <c r="Q98" s="486">
        <f t="shared" si="57"/>
        <v>39</v>
      </c>
      <c r="R98" s="486">
        <f t="shared" si="57"/>
        <v>35</v>
      </c>
      <c r="S98" s="486">
        <f t="shared" si="57"/>
        <v>28</v>
      </c>
      <c r="T98" s="486">
        <f t="shared" si="57"/>
        <v>29</v>
      </c>
      <c r="U98" s="486">
        <f t="shared" si="57"/>
        <v>30</v>
      </c>
      <c r="V98" s="486">
        <f t="shared" si="57"/>
        <v>24</v>
      </c>
      <c r="W98" s="486">
        <f t="shared" si="57"/>
        <v>26</v>
      </c>
      <c r="X98" s="486">
        <f t="shared" si="57"/>
        <v>25</v>
      </c>
      <c r="Y98" s="486">
        <f t="shared" si="57"/>
        <v>34</v>
      </c>
      <c r="Z98" s="486">
        <f t="shared" si="57"/>
        <v>39</v>
      </c>
      <c r="AA98" s="486">
        <f t="shared" si="57"/>
        <v>37</v>
      </c>
      <c r="AB98" s="486">
        <f t="shared" si="57"/>
        <v>30</v>
      </c>
      <c r="AC98" s="486">
        <f t="shared" si="57"/>
        <v>28</v>
      </c>
      <c r="AD98" s="486">
        <f t="shared" si="57"/>
        <v>32</v>
      </c>
      <c r="AE98" s="486">
        <f t="shared" si="57"/>
        <v>26</v>
      </c>
      <c r="AF98" s="486">
        <f t="shared" si="57"/>
        <v>26</v>
      </c>
      <c r="AG98" s="486">
        <f t="shared" si="57"/>
        <v>30</v>
      </c>
      <c r="AH98" s="486">
        <f t="shared" si="57"/>
        <v>26</v>
      </c>
      <c r="AI98" s="486">
        <f t="shared" si="57"/>
        <v>25</v>
      </c>
      <c r="AJ98" s="24"/>
    </row>
    <row r="99" ht="15.75" customHeight="1">
      <c r="A99" s="21"/>
      <c r="B99" s="21"/>
      <c r="C99" s="21"/>
      <c r="D99" s="21"/>
      <c r="E99" s="21"/>
      <c r="F99" s="24">
        <f t="shared" ref="F99:AI99" si="58">COUNTIF(F5:F262,"P") + COUNTIF(F5:F262, "LLT") + COUNTIF(F5:F262, "FA") + COUNTIF(F5:F262, "A") + COUNTIF(F5:F262, "LM") + COUNTIF(F5:F262, "LA") + COUNTIF(F5:F262, "FAC") + COUNTIF(F5:F262, "LXF") + COUNTIF(F5:F262, "LXE") + COUNTIF(F5:F262, "LXM")</f>
        <v>47</v>
      </c>
      <c r="G99" s="24">
        <f t="shared" si="58"/>
        <v>35</v>
      </c>
      <c r="H99" s="24">
        <f t="shared" si="58"/>
        <v>35</v>
      </c>
      <c r="I99" s="24">
        <f t="shared" si="58"/>
        <v>35</v>
      </c>
      <c r="J99" s="24">
        <f t="shared" si="58"/>
        <v>36</v>
      </c>
      <c r="K99" s="24">
        <f t="shared" si="58"/>
        <v>33</v>
      </c>
      <c r="L99" s="24">
        <f t="shared" si="58"/>
        <v>36</v>
      </c>
      <c r="M99" s="24">
        <f t="shared" si="58"/>
        <v>46</v>
      </c>
      <c r="N99" s="24">
        <f t="shared" si="58"/>
        <v>47</v>
      </c>
      <c r="O99" s="24">
        <f t="shared" si="58"/>
        <v>46</v>
      </c>
      <c r="P99" s="24">
        <f t="shared" si="58"/>
        <v>46</v>
      </c>
      <c r="Q99" s="24">
        <f t="shared" si="58"/>
        <v>48</v>
      </c>
      <c r="R99" s="24">
        <f t="shared" si="58"/>
        <v>41</v>
      </c>
      <c r="S99" s="24">
        <f t="shared" si="58"/>
        <v>32</v>
      </c>
      <c r="T99" s="24">
        <f t="shared" si="58"/>
        <v>35</v>
      </c>
      <c r="U99" s="24">
        <f t="shared" si="58"/>
        <v>40</v>
      </c>
      <c r="V99" s="24">
        <f t="shared" si="58"/>
        <v>34</v>
      </c>
      <c r="W99" s="24">
        <f t="shared" si="58"/>
        <v>34</v>
      </c>
      <c r="X99" s="24">
        <f t="shared" si="58"/>
        <v>33</v>
      </c>
      <c r="Y99" s="24">
        <f t="shared" si="58"/>
        <v>43</v>
      </c>
      <c r="Z99" s="24">
        <f t="shared" si="58"/>
        <v>50</v>
      </c>
      <c r="AA99" s="24">
        <f t="shared" si="58"/>
        <v>48</v>
      </c>
      <c r="AB99" s="24">
        <f t="shared" si="58"/>
        <v>45</v>
      </c>
      <c r="AC99" s="24">
        <f t="shared" si="58"/>
        <v>38</v>
      </c>
      <c r="AD99" s="24">
        <f t="shared" si="58"/>
        <v>44</v>
      </c>
      <c r="AE99" s="24">
        <f t="shared" si="58"/>
        <v>35</v>
      </c>
      <c r="AF99" s="24">
        <f t="shared" si="58"/>
        <v>34</v>
      </c>
      <c r="AG99" s="24">
        <f t="shared" si="58"/>
        <v>36</v>
      </c>
      <c r="AH99" s="24">
        <f t="shared" si="58"/>
        <v>37</v>
      </c>
      <c r="AI99" s="24">
        <f t="shared" si="58"/>
        <v>36</v>
      </c>
      <c r="AJ99" s="24"/>
    </row>
    <row r="100" ht="15.75" customHeight="1">
      <c r="F100" s="24"/>
      <c r="G100" s="24"/>
      <c r="H100" s="24"/>
      <c r="I100" s="24"/>
      <c r="J100" s="24"/>
      <c r="K100" s="24"/>
      <c r="L100" s="24"/>
      <c r="M100" s="24"/>
      <c r="N100" s="24"/>
      <c r="O100" s="24"/>
      <c r="P100" s="24"/>
      <c r="Q100" s="24"/>
      <c r="R100" s="24"/>
      <c r="S100" s="24"/>
      <c r="T100" s="24"/>
      <c r="U100" s="24"/>
      <c r="V100" s="24"/>
      <c r="W100" s="24"/>
      <c r="X100" s="24"/>
      <c r="Y100" s="24"/>
      <c r="Z100" s="24"/>
      <c r="AA100" s="24"/>
      <c r="AB100" s="24"/>
      <c r="AC100" s="24"/>
      <c r="AD100" s="24"/>
      <c r="AE100" s="24"/>
      <c r="AF100" s="24"/>
      <c r="AG100" s="24"/>
      <c r="AH100" s="24"/>
      <c r="AI100" s="24"/>
      <c r="AJ100" s="24"/>
    </row>
    <row r="101" ht="15.75" customHeight="1">
      <c r="F101" s="24"/>
      <c r="G101" s="24"/>
      <c r="H101" s="24"/>
      <c r="I101" s="24"/>
      <c r="J101" s="24"/>
      <c r="K101" s="24"/>
      <c r="L101" s="24"/>
      <c r="M101" s="24"/>
      <c r="N101" s="24"/>
      <c r="O101" s="24"/>
      <c r="P101" s="24"/>
      <c r="Q101" s="24"/>
      <c r="R101" s="24"/>
      <c r="S101" s="24"/>
      <c r="T101" s="24"/>
      <c r="U101" s="24"/>
      <c r="V101" s="24"/>
      <c r="W101" s="24"/>
      <c r="X101" s="24"/>
      <c r="Y101" s="24"/>
      <c r="Z101" s="24"/>
      <c r="AA101" s="24"/>
      <c r="AB101" s="24"/>
      <c r="AC101" s="24"/>
      <c r="AD101" s="24"/>
      <c r="AE101" s="24"/>
      <c r="AF101" s="24"/>
      <c r="AG101" s="24"/>
      <c r="AH101" s="24"/>
      <c r="AI101" s="24"/>
      <c r="AJ101" s="24"/>
    </row>
    <row r="102" ht="15.75" customHeight="1">
      <c r="F102" s="24"/>
      <c r="G102" s="24"/>
      <c r="H102" s="24"/>
      <c r="I102" s="24"/>
      <c r="J102" s="24"/>
      <c r="K102" s="24"/>
      <c r="L102" s="24"/>
      <c r="M102" s="24"/>
      <c r="N102" s="24"/>
      <c r="O102" s="24"/>
      <c r="P102" s="24"/>
      <c r="Q102" s="24"/>
      <c r="R102" s="24"/>
      <c r="S102" s="24"/>
      <c r="T102" s="24"/>
      <c r="U102" s="24"/>
      <c r="V102" s="24"/>
      <c r="W102" s="24"/>
      <c r="X102" s="24"/>
      <c r="Y102" s="24"/>
      <c r="Z102" s="24"/>
      <c r="AA102" s="24"/>
      <c r="AB102" s="24"/>
      <c r="AC102" s="24"/>
      <c r="AD102" s="24"/>
      <c r="AE102" s="24"/>
      <c r="AF102" s="24"/>
      <c r="AG102" s="24"/>
      <c r="AH102" s="24"/>
      <c r="AI102" s="24"/>
      <c r="AJ102" s="24"/>
    </row>
    <row r="103" ht="15.75" customHeight="1">
      <c r="F103" s="24"/>
      <c r="G103" s="24"/>
      <c r="H103" s="24"/>
      <c r="I103" s="24"/>
      <c r="J103" s="24"/>
      <c r="K103" s="24"/>
      <c r="L103" s="24"/>
      <c r="M103" s="24"/>
      <c r="N103" s="24"/>
      <c r="O103" s="24"/>
      <c r="P103" s="24"/>
      <c r="Q103" s="24"/>
      <c r="R103" s="24"/>
      <c r="S103" s="24"/>
      <c r="T103" s="24"/>
      <c r="U103" s="24"/>
      <c r="V103" s="24"/>
      <c r="W103" s="24"/>
      <c r="X103" s="24"/>
      <c r="Y103" s="24"/>
      <c r="Z103" s="24"/>
      <c r="AA103" s="24"/>
      <c r="AB103" s="24"/>
      <c r="AC103" s="24"/>
      <c r="AD103" s="24"/>
      <c r="AE103" s="24"/>
      <c r="AF103" s="24"/>
      <c r="AG103" s="24"/>
      <c r="AH103" s="24"/>
      <c r="AI103" s="24"/>
      <c r="AJ103" s="24"/>
    </row>
    <row r="104" ht="15.75" customHeight="1">
      <c r="F104" s="24"/>
      <c r="G104" s="24"/>
      <c r="H104" s="24"/>
      <c r="I104" s="24"/>
      <c r="J104" s="24"/>
      <c r="K104" s="24"/>
      <c r="L104" s="24"/>
      <c r="M104" s="24"/>
      <c r="N104" s="24"/>
      <c r="O104" s="24"/>
      <c r="P104" s="24"/>
      <c r="Q104" s="24"/>
      <c r="R104" s="24"/>
      <c r="S104" s="24"/>
      <c r="T104" s="24"/>
      <c r="U104" s="24"/>
      <c r="V104" s="24"/>
      <c r="W104" s="24"/>
      <c r="X104" s="24"/>
      <c r="Y104" s="24"/>
      <c r="Z104" s="24"/>
      <c r="AA104" s="24"/>
      <c r="AB104" s="24"/>
      <c r="AC104" s="24"/>
      <c r="AD104" s="24"/>
      <c r="AE104" s="24"/>
      <c r="AF104" s="24"/>
      <c r="AG104" s="24"/>
      <c r="AH104" s="24"/>
      <c r="AI104" s="24"/>
      <c r="AJ104" s="24"/>
    </row>
    <row r="105" ht="15.75" customHeight="1">
      <c r="F105" s="24"/>
      <c r="G105" s="24"/>
      <c r="H105" s="24"/>
      <c r="I105" s="24"/>
      <c r="J105" s="24"/>
      <c r="K105" s="24"/>
      <c r="L105" s="24"/>
      <c r="M105" s="24"/>
      <c r="N105" s="24"/>
      <c r="O105" s="24"/>
      <c r="P105" s="24"/>
      <c r="Q105" s="24"/>
      <c r="R105" s="24"/>
      <c r="S105" s="24"/>
      <c r="T105" s="24"/>
      <c r="U105" s="24"/>
      <c r="V105" s="24"/>
      <c r="W105" s="24"/>
      <c r="X105" s="24"/>
      <c r="Y105" s="24"/>
      <c r="Z105" s="24"/>
      <c r="AA105" s="24"/>
      <c r="AB105" s="24"/>
      <c r="AC105" s="24"/>
      <c r="AD105" s="24"/>
      <c r="AE105" s="24"/>
      <c r="AF105" s="24"/>
      <c r="AG105" s="24"/>
      <c r="AH105" s="24"/>
      <c r="AI105" s="24"/>
      <c r="AJ105" s="24"/>
    </row>
    <row r="106" ht="15.75" customHeight="1">
      <c r="F106" s="24"/>
      <c r="G106" s="24"/>
      <c r="H106" s="24"/>
      <c r="I106" s="24"/>
      <c r="J106" s="24"/>
      <c r="K106" s="24"/>
      <c r="L106" s="24"/>
      <c r="M106" s="24"/>
      <c r="N106" s="24"/>
      <c r="O106" s="24"/>
      <c r="P106" s="24"/>
      <c r="Q106" s="24"/>
      <c r="R106" s="24"/>
      <c r="S106" s="24"/>
      <c r="T106" s="24"/>
      <c r="U106" s="24"/>
      <c r="V106" s="24"/>
      <c r="W106" s="24"/>
      <c r="X106" s="24"/>
      <c r="Y106" s="24"/>
      <c r="Z106" s="24"/>
      <c r="AA106" s="24"/>
      <c r="AB106" s="24"/>
      <c r="AC106" s="24"/>
      <c r="AD106" s="24"/>
      <c r="AE106" s="24"/>
      <c r="AF106" s="24"/>
      <c r="AG106" s="24"/>
      <c r="AH106" s="24"/>
      <c r="AI106" s="24"/>
      <c r="AJ106" s="24"/>
    </row>
    <row r="107" ht="15.75" customHeight="1">
      <c r="F107" s="24"/>
      <c r="G107" s="24"/>
      <c r="H107" s="24"/>
      <c r="I107" s="24"/>
      <c r="J107" s="24"/>
      <c r="K107" s="24"/>
      <c r="L107" s="24"/>
      <c r="M107" s="24"/>
      <c r="N107" s="24"/>
      <c r="O107" s="24"/>
      <c r="P107" s="24"/>
      <c r="Q107" s="24"/>
      <c r="R107" s="24"/>
      <c r="S107" s="24"/>
      <c r="T107" s="24"/>
      <c r="U107" s="24"/>
      <c r="V107" s="24"/>
      <c r="W107" s="24"/>
      <c r="X107" s="24"/>
      <c r="Y107" s="24"/>
      <c r="Z107" s="24"/>
      <c r="AA107" s="24"/>
      <c r="AB107" s="24"/>
      <c r="AC107" s="24"/>
      <c r="AD107" s="24"/>
      <c r="AE107" s="24"/>
      <c r="AF107" s="24"/>
      <c r="AG107" s="24"/>
      <c r="AH107" s="24"/>
      <c r="AI107" s="24"/>
      <c r="AJ107" s="24"/>
    </row>
    <row r="108" ht="15.75" customHeight="1">
      <c r="F108" s="24"/>
      <c r="G108" s="24"/>
      <c r="H108" s="24"/>
      <c r="I108" s="24"/>
      <c r="J108" s="24"/>
      <c r="K108" s="24"/>
      <c r="L108" s="24"/>
      <c r="M108" s="24"/>
      <c r="N108" s="24"/>
      <c r="O108" s="24"/>
      <c r="P108" s="24"/>
      <c r="Q108" s="24"/>
      <c r="R108" s="24"/>
      <c r="S108" s="24"/>
      <c r="T108" s="24"/>
      <c r="U108" s="24"/>
      <c r="V108" s="24"/>
      <c r="W108" s="24"/>
      <c r="X108" s="24"/>
      <c r="Y108" s="24"/>
      <c r="Z108" s="24"/>
      <c r="AA108" s="24"/>
      <c r="AB108" s="24"/>
      <c r="AC108" s="24"/>
      <c r="AD108" s="24"/>
      <c r="AE108" s="24"/>
      <c r="AF108" s="24"/>
      <c r="AG108" s="24"/>
      <c r="AH108" s="24"/>
      <c r="AI108" s="24"/>
      <c r="AJ108" s="24"/>
    </row>
    <row r="109" ht="15.75" customHeight="1">
      <c r="F109" s="24"/>
      <c r="G109" s="24"/>
      <c r="H109" s="24"/>
      <c r="I109" s="24"/>
      <c r="J109" s="24"/>
      <c r="K109" s="24"/>
      <c r="L109" s="24"/>
      <c r="M109" s="24"/>
      <c r="N109" s="24"/>
      <c r="O109" s="24"/>
      <c r="P109" s="24"/>
      <c r="Q109" s="24"/>
      <c r="R109" s="24"/>
      <c r="S109" s="24"/>
      <c r="T109" s="24"/>
      <c r="U109" s="24"/>
      <c r="V109" s="24"/>
      <c r="W109" s="24"/>
      <c r="X109" s="24"/>
      <c r="Y109" s="24"/>
      <c r="Z109" s="24"/>
      <c r="AA109" s="24"/>
      <c r="AB109" s="24"/>
      <c r="AC109" s="24"/>
      <c r="AD109" s="24"/>
      <c r="AE109" s="24"/>
      <c r="AF109" s="24"/>
      <c r="AG109" s="24"/>
      <c r="AH109" s="24"/>
      <c r="AI109" s="24"/>
      <c r="AJ109" s="24"/>
    </row>
    <row r="110" ht="15.75" customHeight="1">
      <c r="F110" s="24"/>
      <c r="G110" s="24"/>
      <c r="H110" s="24"/>
      <c r="I110" s="24"/>
      <c r="J110" s="24"/>
      <c r="K110" s="24"/>
      <c r="L110" s="24"/>
      <c r="M110" s="24"/>
      <c r="N110" s="24"/>
      <c r="O110" s="24"/>
      <c r="P110" s="24"/>
      <c r="Q110" s="24"/>
      <c r="R110" s="24"/>
      <c r="S110" s="24"/>
      <c r="T110" s="24"/>
      <c r="U110" s="24"/>
      <c r="V110" s="24"/>
      <c r="W110" s="24"/>
      <c r="X110" s="24"/>
      <c r="Y110" s="24"/>
      <c r="Z110" s="24"/>
      <c r="AA110" s="24"/>
      <c r="AB110" s="24"/>
      <c r="AC110" s="24"/>
      <c r="AD110" s="24"/>
      <c r="AE110" s="24"/>
      <c r="AF110" s="24"/>
      <c r="AG110" s="24"/>
      <c r="AH110" s="24"/>
      <c r="AI110" s="24"/>
      <c r="AJ110" s="24"/>
    </row>
    <row r="111" ht="15.75" customHeight="1">
      <c r="F111" s="24"/>
      <c r="G111" s="24"/>
      <c r="H111" s="24"/>
      <c r="I111" s="24"/>
      <c r="J111" s="24"/>
      <c r="K111" s="24"/>
      <c r="L111" s="24"/>
      <c r="M111" s="24"/>
      <c r="N111" s="24"/>
      <c r="O111" s="24"/>
      <c r="P111" s="24"/>
      <c r="Q111" s="24"/>
      <c r="R111" s="24"/>
      <c r="S111" s="24"/>
      <c r="T111" s="24"/>
      <c r="U111" s="24"/>
      <c r="V111" s="24"/>
      <c r="W111" s="24"/>
      <c r="X111" s="24"/>
      <c r="Y111" s="24"/>
      <c r="Z111" s="24"/>
      <c r="AA111" s="24"/>
      <c r="AB111" s="24"/>
      <c r="AC111" s="24"/>
      <c r="AD111" s="24"/>
      <c r="AE111" s="24"/>
      <c r="AF111" s="24"/>
      <c r="AG111" s="24"/>
      <c r="AH111" s="24"/>
      <c r="AI111" s="24"/>
      <c r="AJ111" s="24"/>
    </row>
    <row r="112" ht="15.75" customHeight="1">
      <c r="F112" s="24"/>
      <c r="G112" s="24"/>
      <c r="H112" s="24"/>
      <c r="I112" s="24"/>
      <c r="J112" s="24"/>
      <c r="K112" s="24"/>
      <c r="L112" s="24"/>
      <c r="M112" s="24"/>
      <c r="N112" s="24"/>
      <c r="O112" s="24"/>
      <c r="P112" s="24"/>
      <c r="Q112" s="24"/>
      <c r="R112" s="24"/>
      <c r="S112" s="24"/>
      <c r="T112" s="24"/>
      <c r="U112" s="24"/>
      <c r="V112" s="24"/>
      <c r="W112" s="24"/>
      <c r="X112" s="24"/>
      <c r="Y112" s="24"/>
      <c r="Z112" s="24"/>
      <c r="AA112" s="24"/>
      <c r="AB112" s="24"/>
      <c r="AC112" s="24"/>
      <c r="AD112" s="24"/>
      <c r="AE112" s="24"/>
      <c r="AF112" s="24"/>
      <c r="AG112" s="24"/>
      <c r="AH112" s="24"/>
      <c r="AI112" s="24"/>
      <c r="AJ112" s="24"/>
    </row>
    <row r="113" ht="15.75" customHeight="1">
      <c r="F113" s="24"/>
      <c r="G113" s="24"/>
      <c r="H113" s="24"/>
      <c r="I113" s="24"/>
      <c r="J113" s="24"/>
      <c r="K113" s="24"/>
      <c r="L113" s="24"/>
      <c r="M113" s="24"/>
      <c r="N113" s="24"/>
      <c r="O113" s="24"/>
      <c r="P113" s="24"/>
      <c r="Q113" s="24"/>
      <c r="R113" s="24"/>
      <c r="S113" s="24"/>
      <c r="T113" s="24"/>
      <c r="U113" s="24"/>
      <c r="V113" s="24"/>
      <c r="W113" s="24"/>
      <c r="X113" s="24"/>
      <c r="Y113" s="24"/>
      <c r="Z113" s="24"/>
      <c r="AA113" s="24"/>
      <c r="AB113" s="24"/>
      <c r="AC113" s="24"/>
      <c r="AD113" s="24"/>
      <c r="AE113" s="24"/>
      <c r="AF113" s="24"/>
      <c r="AG113" s="24"/>
      <c r="AH113" s="24"/>
      <c r="AI113" s="24"/>
      <c r="AJ113" s="24"/>
    </row>
    <row r="114" ht="15.75" customHeight="1">
      <c r="F114" s="24"/>
      <c r="G114" s="24"/>
      <c r="H114" s="24"/>
      <c r="I114" s="24"/>
      <c r="J114" s="24"/>
      <c r="K114" s="24"/>
      <c r="L114" s="24"/>
      <c r="M114" s="24"/>
      <c r="N114" s="24"/>
      <c r="O114" s="24"/>
      <c r="P114" s="24"/>
      <c r="Q114" s="24"/>
      <c r="R114" s="24"/>
      <c r="S114" s="24"/>
      <c r="T114" s="24"/>
      <c r="U114" s="24"/>
      <c r="V114" s="24"/>
      <c r="W114" s="24"/>
      <c r="X114" s="24"/>
      <c r="Y114" s="24"/>
      <c r="Z114" s="24"/>
      <c r="AA114" s="24"/>
      <c r="AB114" s="24"/>
      <c r="AC114" s="24"/>
      <c r="AD114" s="24"/>
      <c r="AE114" s="24"/>
      <c r="AF114" s="24"/>
      <c r="AG114" s="24"/>
      <c r="AH114" s="24"/>
      <c r="AI114" s="24"/>
      <c r="AJ114" s="24"/>
    </row>
    <row r="115" ht="15.75" customHeight="1">
      <c r="F115" s="24"/>
      <c r="G115" s="24"/>
      <c r="H115" s="24"/>
      <c r="I115" s="24"/>
      <c r="J115" s="24"/>
      <c r="K115" s="24"/>
      <c r="L115" s="24"/>
      <c r="M115" s="24"/>
      <c r="N115" s="24"/>
      <c r="O115" s="24"/>
      <c r="P115" s="24"/>
      <c r="Q115" s="24"/>
      <c r="R115" s="24"/>
      <c r="S115" s="24"/>
      <c r="T115" s="24"/>
      <c r="U115" s="24"/>
      <c r="V115" s="24"/>
      <c r="W115" s="24"/>
      <c r="X115" s="24"/>
      <c r="Y115" s="24"/>
      <c r="Z115" s="24"/>
      <c r="AA115" s="24"/>
      <c r="AB115" s="24"/>
      <c r="AC115" s="24"/>
      <c r="AD115" s="24"/>
      <c r="AE115" s="24"/>
      <c r="AF115" s="24"/>
      <c r="AG115" s="24"/>
      <c r="AH115" s="24"/>
      <c r="AI115" s="24"/>
      <c r="AJ115" s="24"/>
    </row>
    <row r="116" ht="15.75" customHeight="1">
      <c r="F116" s="24"/>
      <c r="G116" s="24"/>
      <c r="H116" s="24"/>
      <c r="I116" s="24"/>
      <c r="J116" s="24"/>
      <c r="K116" s="24"/>
      <c r="L116" s="24"/>
      <c r="M116" s="24"/>
      <c r="N116" s="24"/>
      <c r="O116" s="24"/>
      <c r="P116" s="24"/>
      <c r="Q116" s="24"/>
      <c r="R116" s="24"/>
      <c r="S116" s="24"/>
      <c r="T116" s="24"/>
      <c r="U116" s="24"/>
      <c r="V116" s="24"/>
      <c r="W116" s="24"/>
      <c r="X116" s="24"/>
      <c r="Y116" s="24"/>
      <c r="Z116" s="24"/>
      <c r="AA116" s="24"/>
      <c r="AB116" s="24"/>
      <c r="AC116" s="24"/>
      <c r="AD116" s="24"/>
      <c r="AE116" s="24"/>
      <c r="AF116" s="24"/>
      <c r="AG116" s="24"/>
      <c r="AH116" s="24"/>
      <c r="AI116" s="24"/>
      <c r="AJ116" s="24"/>
    </row>
    <row r="117" ht="15.75" customHeight="1">
      <c r="F117" s="24"/>
      <c r="G117" s="24"/>
      <c r="H117" s="24"/>
      <c r="I117" s="24"/>
      <c r="J117" s="24"/>
      <c r="K117" s="24"/>
      <c r="L117" s="24"/>
      <c r="M117" s="24"/>
      <c r="N117" s="24"/>
      <c r="O117" s="24"/>
      <c r="P117" s="24"/>
      <c r="Q117" s="24"/>
      <c r="R117" s="24"/>
      <c r="S117" s="24"/>
      <c r="T117" s="24"/>
      <c r="U117" s="24"/>
      <c r="V117" s="24"/>
      <c r="W117" s="24"/>
      <c r="X117" s="24"/>
      <c r="Y117" s="24"/>
      <c r="Z117" s="24"/>
      <c r="AA117" s="24"/>
      <c r="AB117" s="24"/>
      <c r="AC117" s="24"/>
      <c r="AD117" s="24"/>
      <c r="AE117" s="24"/>
      <c r="AF117" s="24"/>
      <c r="AG117" s="24"/>
      <c r="AH117" s="24"/>
      <c r="AI117" s="24"/>
      <c r="AJ117" s="24"/>
    </row>
    <row r="118" ht="15.75" customHeight="1">
      <c r="F118" s="24"/>
      <c r="G118" s="24"/>
      <c r="H118" s="24"/>
      <c r="I118" s="24"/>
      <c r="J118" s="24"/>
      <c r="K118" s="24"/>
      <c r="L118" s="24"/>
      <c r="M118" s="24"/>
      <c r="N118" s="24"/>
      <c r="O118" s="24"/>
      <c r="P118" s="24"/>
      <c r="Q118" s="24"/>
      <c r="R118" s="24"/>
      <c r="S118" s="24"/>
      <c r="T118" s="24"/>
      <c r="U118" s="24"/>
      <c r="V118" s="24"/>
      <c r="W118" s="24"/>
      <c r="X118" s="24"/>
      <c r="Y118" s="24"/>
      <c r="Z118" s="24"/>
      <c r="AA118" s="24"/>
      <c r="AB118" s="24"/>
      <c r="AC118" s="24"/>
      <c r="AD118" s="24"/>
      <c r="AE118" s="24"/>
      <c r="AF118" s="24"/>
      <c r="AG118" s="24"/>
      <c r="AH118" s="24"/>
      <c r="AI118" s="24"/>
      <c r="AJ118" s="24"/>
    </row>
    <row r="119" ht="15.75" customHeight="1">
      <c r="F119" s="24"/>
      <c r="G119" s="24"/>
      <c r="H119" s="24"/>
      <c r="I119" s="24"/>
      <c r="J119" s="24"/>
      <c r="K119" s="24"/>
      <c r="L119" s="24"/>
      <c r="M119" s="24"/>
      <c r="N119" s="24"/>
      <c r="O119" s="24"/>
      <c r="P119" s="24"/>
      <c r="Q119" s="24"/>
      <c r="R119" s="24"/>
      <c r="S119" s="24"/>
      <c r="T119" s="24"/>
      <c r="U119" s="24"/>
      <c r="V119" s="24"/>
      <c r="W119" s="24"/>
      <c r="X119" s="24"/>
      <c r="Y119" s="24"/>
      <c r="Z119" s="24"/>
      <c r="AA119" s="24"/>
      <c r="AB119" s="24"/>
      <c r="AC119" s="24"/>
      <c r="AD119" s="24"/>
      <c r="AE119" s="24"/>
      <c r="AF119" s="24"/>
      <c r="AG119" s="24"/>
      <c r="AH119" s="24"/>
      <c r="AI119" s="24"/>
      <c r="AJ119" s="24"/>
    </row>
    <row r="120" ht="15.75" customHeight="1">
      <c r="F120" s="24"/>
      <c r="G120" s="24"/>
      <c r="H120" s="24"/>
      <c r="I120" s="24"/>
      <c r="J120" s="24"/>
      <c r="K120" s="24"/>
      <c r="L120" s="24"/>
      <c r="M120" s="24"/>
      <c r="N120" s="24"/>
      <c r="O120" s="24"/>
      <c r="P120" s="24"/>
      <c r="Q120" s="24"/>
      <c r="R120" s="24"/>
      <c r="S120" s="24"/>
      <c r="T120" s="24"/>
      <c r="U120" s="24"/>
      <c r="V120" s="24"/>
      <c r="W120" s="24"/>
      <c r="X120" s="24"/>
      <c r="Y120" s="24"/>
      <c r="Z120" s="24"/>
      <c r="AA120" s="24"/>
      <c r="AB120" s="24"/>
      <c r="AC120" s="24"/>
      <c r="AD120" s="24"/>
      <c r="AE120" s="24"/>
      <c r="AF120" s="24"/>
      <c r="AG120" s="24"/>
      <c r="AH120" s="24"/>
      <c r="AI120" s="24"/>
      <c r="AJ120" s="24"/>
    </row>
    <row r="121" ht="15.75" customHeight="1">
      <c r="F121" s="24"/>
      <c r="G121" s="24"/>
      <c r="H121" s="24"/>
      <c r="I121" s="24"/>
      <c r="J121" s="24"/>
      <c r="K121" s="24"/>
      <c r="L121" s="24"/>
      <c r="M121" s="24"/>
      <c r="N121" s="24"/>
      <c r="O121" s="24"/>
      <c r="P121" s="24"/>
      <c r="Q121" s="24"/>
      <c r="R121" s="24"/>
      <c r="S121" s="24"/>
      <c r="T121" s="24"/>
      <c r="U121" s="24"/>
      <c r="V121" s="24"/>
      <c r="W121" s="24"/>
      <c r="X121" s="24"/>
      <c r="Y121" s="24"/>
      <c r="Z121" s="24"/>
      <c r="AA121" s="24"/>
      <c r="AB121" s="24"/>
      <c r="AC121" s="24"/>
      <c r="AD121" s="24"/>
      <c r="AE121" s="24"/>
      <c r="AF121" s="24"/>
      <c r="AG121" s="24"/>
      <c r="AH121" s="24"/>
      <c r="AI121" s="24"/>
      <c r="AJ121" s="24"/>
    </row>
    <row r="122" ht="15.75" customHeight="1">
      <c r="F122" s="24"/>
      <c r="G122" s="24"/>
      <c r="H122" s="24"/>
      <c r="I122" s="24"/>
      <c r="J122" s="24"/>
      <c r="K122" s="24"/>
      <c r="L122" s="24"/>
      <c r="M122" s="24"/>
      <c r="N122" s="24"/>
      <c r="O122" s="24"/>
      <c r="P122" s="24"/>
      <c r="Q122" s="24"/>
      <c r="R122" s="24"/>
      <c r="S122" s="24"/>
      <c r="T122" s="24"/>
      <c r="U122" s="24"/>
      <c r="V122" s="24"/>
      <c r="W122" s="24"/>
      <c r="X122" s="24"/>
      <c r="Y122" s="24"/>
      <c r="Z122" s="24"/>
      <c r="AA122" s="24"/>
      <c r="AB122" s="24"/>
      <c r="AC122" s="24"/>
      <c r="AD122" s="24"/>
      <c r="AE122" s="24"/>
      <c r="AF122" s="24"/>
      <c r="AG122" s="24"/>
      <c r="AH122" s="24"/>
      <c r="AI122" s="24"/>
      <c r="AJ122" s="24"/>
    </row>
    <row r="123" ht="15.75" customHeight="1">
      <c r="F123" s="24"/>
      <c r="G123" s="24"/>
      <c r="H123" s="24"/>
      <c r="I123" s="24"/>
      <c r="J123" s="24"/>
      <c r="K123" s="24"/>
      <c r="L123" s="24"/>
      <c r="M123" s="24"/>
      <c r="N123" s="24"/>
      <c r="O123" s="24"/>
      <c r="P123" s="24"/>
      <c r="Q123" s="24"/>
      <c r="R123" s="24"/>
      <c r="S123" s="24"/>
      <c r="T123" s="24"/>
      <c r="U123" s="24"/>
      <c r="V123" s="24"/>
      <c r="W123" s="24"/>
      <c r="X123" s="24"/>
      <c r="Y123" s="24"/>
      <c r="Z123" s="24"/>
      <c r="AA123" s="24"/>
      <c r="AB123" s="24"/>
      <c r="AC123" s="24"/>
      <c r="AD123" s="24"/>
      <c r="AE123" s="24"/>
      <c r="AF123" s="24"/>
      <c r="AG123" s="24"/>
      <c r="AH123" s="24"/>
      <c r="AI123" s="24"/>
      <c r="AJ123" s="24"/>
    </row>
    <row r="124" ht="15.75" customHeight="1">
      <c r="F124" s="24"/>
      <c r="G124" s="24"/>
      <c r="H124" s="24"/>
      <c r="I124" s="24"/>
      <c r="J124" s="24"/>
      <c r="K124" s="24"/>
      <c r="L124" s="24"/>
      <c r="M124" s="24"/>
      <c r="N124" s="24"/>
      <c r="O124" s="24"/>
      <c r="P124" s="24"/>
      <c r="Q124" s="24"/>
      <c r="R124" s="24"/>
      <c r="S124" s="24"/>
      <c r="T124" s="24"/>
      <c r="U124" s="24"/>
      <c r="V124" s="24"/>
      <c r="W124" s="24"/>
      <c r="X124" s="24"/>
      <c r="Y124" s="24"/>
      <c r="Z124" s="24"/>
      <c r="AA124" s="24"/>
      <c r="AB124" s="24"/>
      <c r="AC124" s="24"/>
      <c r="AD124" s="24"/>
      <c r="AE124" s="24"/>
      <c r="AF124" s="24"/>
      <c r="AG124" s="24"/>
      <c r="AH124" s="24"/>
      <c r="AI124" s="24"/>
      <c r="AJ124" s="24"/>
    </row>
    <row r="125" ht="15.75" customHeight="1">
      <c r="F125" s="24"/>
      <c r="G125" s="24"/>
      <c r="H125" s="24"/>
      <c r="I125" s="24"/>
      <c r="J125" s="24"/>
      <c r="K125" s="24"/>
      <c r="L125" s="24"/>
      <c r="M125" s="24"/>
      <c r="N125" s="24"/>
      <c r="O125" s="24"/>
      <c r="P125" s="24"/>
      <c r="Q125" s="24"/>
      <c r="R125" s="24"/>
      <c r="S125" s="24"/>
      <c r="T125" s="24"/>
      <c r="U125" s="24"/>
      <c r="V125" s="24"/>
      <c r="W125" s="24"/>
      <c r="X125" s="24"/>
      <c r="Y125" s="24"/>
      <c r="Z125" s="24"/>
      <c r="AA125" s="24"/>
      <c r="AB125" s="24"/>
      <c r="AC125" s="24"/>
      <c r="AD125" s="24"/>
      <c r="AE125" s="24"/>
      <c r="AF125" s="24"/>
      <c r="AG125" s="24"/>
      <c r="AH125" s="24"/>
      <c r="AI125" s="24"/>
      <c r="AJ125" s="24"/>
    </row>
    <row r="126" ht="15.75" customHeight="1">
      <c r="F126" s="24"/>
      <c r="G126" s="24"/>
      <c r="H126" s="24"/>
      <c r="I126" s="24"/>
      <c r="J126" s="24"/>
      <c r="K126" s="24"/>
      <c r="L126" s="24"/>
      <c r="M126" s="24"/>
      <c r="N126" s="24"/>
      <c r="O126" s="24"/>
      <c r="P126" s="24"/>
      <c r="Q126" s="24"/>
      <c r="R126" s="24"/>
      <c r="S126" s="24"/>
      <c r="T126" s="24"/>
      <c r="U126" s="24"/>
      <c r="V126" s="24"/>
      <c r="W126" s="24"/>
      <c r="X126" s="24"/>
      <c r="Y126" s="24"/>
      <c r="Z126" s="24"/>
      <c r="AA126" s="24"/>
      <c r="AB126" s="24"/>
      <c r="AC126" s="24"/>
      <c r="AD126" s="24"/>
      <c r="AE126" s="24"/>
      <c r="AF126" s="24"/>
      <c r="AG126" s="24"/>
      <c r="AH126" s="24"/>
      <c r="AI126" s="24"/>
      <c r="AJ126" s="24"/>
    </row>
    <row r="127" ht="15.75" customHeight="1">
      <c r="F127" s="24"/>
      <c r="G127" s="24"/>
      <c r="H127" s="24"/>
      <c r="I127" s="24"/>
      <c r="J127" s="24"/>
      <c r="K127" s="24"/>
      <c r="L127" s="24"/>
      <c r="M127" s="24"/>
      <c r="N127" s="24"/>
      <c r="O127" s="24"/>
      <c r="P127" s="24"/>
      <c r="Q127" s="24"/>
      <c r="R127" s="24"/>
      <c r="S127" s="24"/>
      <c r="T127" s="24"/>
      <c r="U127" s="24"/>
      <c r="V127" s="24"/>
      <c r="W127" s="24"/>
      <c r="X127" s="24"/>
      <c r="Y127" s="24"/>
      <c r="Z127" s="24"/>
      <c r="AA127" s="24"/>
      <c r="AB127" s="24"/>
      <c r="AC127" s="24"/>
      <c r="AD127" s="24"/>
      <c r="AE127" s="24"/>
      <c r="AF127" s="24"/>
      <c r="AG127" s="24"/>
      <c r="AH127" s="24"/>
      <c r="AI127" s="24"/>
      <c r="AJ127" s="24"/>
    </row>
    <row r="128" ht="15.75" customHeight="1">
      <c r="F128" s="24"/>
      <c r="G128" s="24"/>
      <c r="H128" s="24"/>
      <c r="I128" s="24"/>
      <c r="J128" s="24"/>
      <c r="K128" s="24"/>
      <c r="L128" s="24"/>
      <c r="M128" s="24"/>
      <c r="N128" s="24"/>
      <c r="O128" s="24"/>
      <c r="P128" s="24"/>
      <c r="Q128" s="24"/>
      <c r="R128" s="24"/>
      <c r="S128" s="24"/>
      <c r="T128" s="24"/>
      <c r="U128" s="24"/>
      <c r="V128" s="24"/>
      <c r="W128" s="24"/>
      <c r="X128" s="24"/>
      <c r="Y128" s="24"/>
      <c r="Z128" s="24"/>
      <c r="AA128" s="24"/>
      <c r="AB128" s="24"/>
      <c r="AC128" s="24"/>
      <c r="AD128" s="24"/>
      <c r="AE128" s="24"/>
      <c r="AF128" s="24"/>
      <c r="AG128" s="24"/>
      <c r="AH128" s="24"/>
      <c r="AI128" s="24"/>
      <c r="AJ128" s="24"/>
    </row>
    <row r="129" ht="15.75" customHeight="1">
      <c r="F129" s="24"/>
      <c r="G129" s="24"/>
      <c r="H129" s="24"/>
      <c r="I129" s="24"/>
      <c r="J129" s="24"/>
      <c r="K129" s="24"/>
      <c r="L129" s="24"/>
      <c r="M129" s="24"/>
      <c r="N129" s="24"/>
      <c r="O129" s="24"/>
      <c r="P129" s="24"/>
      <c r="Q129" s="24"/>
      <c r="R129" s="24"/>
      <c r="S129" s="24"/>
      <c r="T129" s="24"/>
      <c r="U129" s="24"/>
      <c r="V129" s="24"/>
      <c r="W129" s="24"/>
      <c r="X129" s="24"/>
      <c r="Y129" s="24"/>
      <c r="Z129" s="24"/>
      <c r="AA129" s="24"/>
      <c r="AB129" s="24"/>
      <c r="AC129" s="24"/>
      <c r="AD129" s="24"/>
      <c r="AE129" s="24"/>
      <c r="AF129" s="24"/>
      <c r="AG129" s="24"/>
      <c r="AH129" s="24"/>
      <c r="AI129" s="24"/>
      <c r="AJ129" s="24"/>
    </row>
    <row r="130" ht="15.75" customHeight="1">
      <c r="F130" s="24"/>
      <c r="G130" s="24"/>
      <c r="H130" s="24"/>
      <c r="I130" s="24"/>
      <c r="J130" s="24"/>
      <c r="K130" s="24"/>
      <c r="L130" s="24"/>
      <c r="M130" s="24"/>
      <c r="N130" s="24"/>
      <c r="O130" s="24"/>
      <c r="P130" s="24"/>
      <c r="Q130" s="24"/>
      <c r="R130" s="24"/>
      <c r="S130" s="24"/>
      <c r="T130" s="24"/>
      <c r="U130" s="24"/>
      <c r="V130" s="24"/>
      <c r="W130" s="24"/>
      <c r="X130" s="24"/>
      <c r="Y130" s="24"/>
      <c r="Z130" s="24"/>
      <c r="AA130" s="24"/>
      <c r="AB130" s="24"/>
      <c r="AC130" s="24"/>
      <c r="AD130" s="24"/>
      <c r="AE130" s="24"/>
      <c r="AF130" s="24"/>
      <c r="AG130" s="24"/>
      <c r="AH130" s="24"/>
      <c r="AI130" s="24"/>
      <c r="AJ130" s="24"/>
    </row>
    <row r="131" ht="15.75" customHeight="1">
      <c r="F131" s="24"/>
      <c r="G131" s="24"/>
      <c r="H131" s="24"/>
      <c r="I131" s="24"/>
      <c r="J131" s="24"/>
      <c r="K131" s="24"/>
      <c r="L131" s="24"/>
      <c r="M131" s="24"/>
      <c r="N131" s="24"/>
      <c r="O131" s="24"/>
      <c r="P131" s="24"/>
      <c r="Q131" s="24"/>
      <c r="R131" s="24"/>
      <c r="S131" s="24"/>
      <c r="T131" s="24"/>
      <c r="U131" s="24"/>
      <c r="V131" s="24"/>
      <c r="W131" s="24"/>
      <c r="X131" s="24"/>
      <c r="Y131" s="24"/>
      <c r="Z131" s="24"/>
      <c r="AA131" s="24"/>
      <c r="AB131" s="24"/>
      <c r="AC131" s="24"/>
      <c r="AD131" s="24"/>
      <c r="AE131" s="24"/>
      <c r="AF131" s="24"/>
      <c r="AG131" s="24"/>
      <c r="AH131" s="24"/>
      <c r="AI131" s="24"/>
      <c r="AJ131" s="24"/>
    </row>
    <row r="132" ht="15.75" customHeight="1">
      <c r="F132" s="24"/>
      <c r="G132" s="24"/>
      <c r="H132" s="24"/>
      <c r="I132" s="24"/>
      <c r="J132" s="24"/>
      <c r="K132" s="24"/>
      <c r="L132" s="24"/>
      <c r="M132" s="24"/>
      <c r="N132" s="24"/>
      <c r="O132" s="24"/>
      <c r="P132" s="24"/>
      <c r="Q132" s="24"/>
      <c r="R132" s="24"/>
      <c r="S132" s="24"/>
      <c r="T132" s="24"/>
      <c r="U132" s="24"/>
      <c r="V132" s="24"/>
      <c r="W132" s="24"/>
      <c r="X132" s="24"/>
      <c r="Y132" s="24"/>
      <c r="Z132" s="24"/>
      <c r="AA132" s="24"/>
      <c r="AB132" s="24"/>
      <c r="AC132" s="24"/>
      <c r="AD132" s="24"/>
      <c r="AE132" s="24"/>
      <c r="AF132" s="24"/>
      <c r="AG132" s="24"/>
      <c r="AH132" s="24"/>
      <c r="AI132" s="24"/>
      <c r="AJ132" s="24"/>
    </row>
    <row r="133" ht="15.75" customHeight="1">
      <c r="F133" s="24"/>
      <c r="G133" s="24"/>
      <c r="H133" s="24"/>
      <c r="I133" s="24"/>
      <c r="J133" s="24"/>
      <c r="K133" s="24"/>
      <c r="L133" s="24"/>
      <c r="M133" s="24"/>
      <c r="N133" s="24"/>
      <c r="O133" s="24"/>
      <c r="P133" s="24"/>
      <c r="Q133" s="24"/>
      <c r="R133" s="24"/>
      <c r="S133" s="24"/>
      <c r="T133" s="24"/>
      <c r="U133" s="24"/>
      <c r="V133" s="24"/>
      <c r="W133" s="24"/>
      <c r="X133" s="24"/>
      <c r="Y133" s="24"/>
      <c r="Z133" s="24"/>
      <c r="AA133" s="24"/>
      <c r="AB133" s="24"/>
      <c r="AC133" s="24"/>
      <c r="AD133" s="24"/>
      <c r="AE133" s="24"/>
      <c r="AF133" s="24"/>
      <c r="AG133" s="24"/>
      <c r="AH133" s="24"/>
      <c r="AI133" s="24"/>
      <c r="AJ133" s="24"/>
    </row>
    <row r="134" ht="15.75" customHeight="1">
      <c r="F134" s="24"/>
      <c r="G134" s="24"/>
      <c r="H134" s="24"/>
      <c r="I134" s="24"/>
      <c r="J134" s="24"/>
      <c r="K134" s="24"/>
      <c r="L134" s="24"/>
      <c r="M134" s="24"/>
      <c r="N134" s="24"/>
      <c r="O134" s="24"/>
      <c r="P134" s="24"/>
      <c r="Q134" s="24"/>
      <c r="R134" s="24"/>
      <c r="S134" s="24"/>
      <c r="T134" s="24"/>
      <c r="U134" s="24"/>
      <c r="V134" s="24"/>
      <c r="W134" s="24"/>
      <c r="X134" s="24"/>
      <c r="Y134" s="24"/>
      <c r="Z134" s="24"/>
      <c r="AA134" s="24"/>
      <c r="AB134" s="24"/>
      <c r="AC134" s="24"/>
      <c r="AD134" s="24"/>
      <c r="AE134" s="24"/>
      <c r="AF134" s="24"/>
      <c r="AG134" s="24"/>
      <c r="AH134" s="24"/>
      <c r="AI134" s="24"/>
      <c r="AJ134" s="24"/>
    </row>
    <row r="135" ht="15.75" customHeight="1">
      <c r="F135" s="24"/>
      <c r="G135" s="24"/>
      <c r="H135" s="24"/>
      <c r="I135" s="24"/>
      <c r="J135" s="24"/>
      <c r="K135" s="24"/>
      <c r="L135" s="24"/>
      <c r="M135" s="24"/>
      <c r="N135" s="24"/>
      <c r="O135" s="24"/>
      <c r="P135" s="24"/>
      <c r="Q135" s="24"/>
      <c r="R135" s="24"/>
      <c r="S135" s="24"/>
      <c r="T135" s="24"/>
      <c r="U135" s="24"/>
      <c r="V135" s="24"/>
      <c r="W135" s="24"/>
      <c r="X135" s="24"/>
      <c r="Y135" s="24"/>
      <c r="Z135" s="24"/>
      <c r="AA135" s="24"/>
      <c r="AB135" s="24"/>
      <c r="AC135" s="24"/>
      <c r="AD135" s="24"/>
      <c r="AE135" s="24"/>
      <c r="AF135" s="24"/>
      <c r="AG135" s="24"/>
      <c r="AH135" s="24"/>
      <c r="AI135" s="24"/>
      <c r="AJ135" s="24"/>
    </row>
    <row r="136" ht="15.75" customHeight="1">
      <c r="F136" s="24"/>
      <c r="G136" s="24"/>
      <c r="H136" s="24"/>
      <c r="I136" s="24"/>
      <c r="J136" s="24"/>
      <c r="K136" s="24"/>
      <c r="L136" s="24"/>
      <c r="M136" s="24"/>
      <c r="N136" s="24"/>
      <c r="O136" s="24"/>
      <c r="P136" s="24"/>
      <c r="Q136" s="24"/>
      <c r="R136" s="24"/>
      <c r="S136" s="24"/>
      <c r="T136" s="24"/>
      <c r="U136" s="24"/>
      <c r="V136" s="24"/>
      <c r="W136" s="24"/>
      <c r="X136" s="24"/>
      <c r="Y136" s="24"/>
      <c r="Z136" s="24"/>
      <c r="AA136" s="24"/>
      <c r="AB136" s="24"/>
      <c r="AC136" s="24"/>
      <c r="AD136" s="24"/>
      <c r="AE136" s="24"/>
      <c r="AF136" s="24"/>
      <c r="AG136" s="24"/>
      <c r="AH136" s="24"/>
      <c r="AI136" s="24"/>
      <c r="AJ136" s="24"/>
    </row>
    <row r="137" ht="15.75" customHeight="1">
      <c r="F137" s="24"/>
      <c r="G137" s="24"/>
      <c r="H137" s="24"/>
      <c r="I137" s="24"/>
      <c r="J137" s="24"/>
      <c r="K137" s="24"/>
      <c r="L137" s="24"/>
      <c r="M137" s="24"/>
      <c r="N137" s="24"/>
      <c r="O137" s="24"/>
      <c r="P137" s="24"/>
      <c r="Q137" s="24"/>
      <c r="R137" s="24"/>
      <c r="S137" s="24"/>
      <c r="T137" s="24"/>
      <c r="U137" s="24"/>
      <c r="V137" s="24"/>
      <c r="W137" s="24"/>
      <c r="X137" s="24"/>
      <c r="Y137" s="24"/>
      <c r="Z137" s="24"/>
      <c r="AA137" s="24"/>
      <c r="AB137" s="24"/>
      <c r="AC137" s="24"/>
      <c r="AD137" s="24"/>
      <c r="AE137" s="24"/>
      <c r="AF137" s="24"/>
      <c r="AG137" s="24"/>
      <c r="AH137" s="24"/>
      <c r="AI137" s="24"/>
      <c r="AJ137" s="24"/>
    </row>
    <row r="138" ht="15.75" customHeight="1">
      <c r="F138" s="24"/>
      <c r="G138" s="24"/>
      <c r="H138" s="24"/>
      <c r="I138" s="24"/>
      <c r="J138" s="24"/>
      <c r="K138" s="24"/>
      <c r="L138" s="24"/>
      <c r="M138" s="24"/>
      <c r="N138" s="24"/>
      <c r="O138" s="24"/>
      <c r="P138" s="24"/>
      <c r="Q138" s="24"/>
      <c r="R138" s="24"/>
      <c r="S138" s="24"/>
      <c r="T138" s="24"/>
      <c r="U138" s="24"/>
      <c r="V138" s="24"/>
      <c r="W138" s="24"/>
      <c r="X138" s="24"/>
      <c r="Y138" s="24"/>
      <c r="Z138" s="24"/>
      <c r="AA138" s="24"/>
      <c r="AB138" s="24"/>
      <c r="AC138" s="24"/>
      <c r="AD138" s="24"/>
      <c r="AE138" s="24"/>
      <c r="AF138" s="24"/>
      <c r="AG138" s="24"/>
      <c r="AH138" s="24"/>
      <c r="AI138" s="24"/>
      <c r="AJ138" s="24"/>
    </row>
    <row r="139" ht="15.75" customHeight="1">
      <c r="F139" s="24"/>
      <c r="G139" s="24"/>
      <c r="H139" s="24"/>
      <c r="I139" s="24"/>
      <c r="J139" s="24"/>
      <c r="K139" s="24"/>
      <c r="L139" s="24"/>
      <c r="M139" s="24"/>
      <c r="N139" s="24"/>
      <c r="O139" s="24"/>
      <c r="P139" s="24"/>
      <c r="Q139" s="24"/>
      <c r="R139" s="24"/>
      <c r="S139" s="24"/>
      <c r="T139" s="24"/>
      <c r="U139" s="24"/>
      <c r="V139" s="24"/>
      <c r="W139" s="24"/>
      <c r="X139" s="24"/>
      <c r="Y139" s="24"/>
      <c r="Z139" s="24"/>
      <c r="AA139" s="24"/>
      <c r="AB139" s="24"/>
      <c r="AC139" s="24"/>
      <c r="AD139" s="24"/>
      <c r="AE139" s="24"/>
      <c r="AF139" s="24"/>
      <c r="AG139" s="24"/>
      <c r="AH139" s="24"/>
      <c r="AI139" s="24"/>
      <c r="AJ139" s="24"/>
    </row>
    <row r="140" ht="15.75" customHeight="1">
      <c r="F140" s="24"/>
      <c r="G140" s="24"/>
      <c r="H140" s="24"/>
      <c r="I140" s="24"/>
      <c r="J140" s="24"/>
      <c r="K140" s="24"/>
      <c r="L140" s="24"/>
      <c r="M140" s="24"/>
      <c r="N140" s="24"/>
      <c r="O140" s="24"/>
      <c r="P140" s="24"/>
      <c r="Q140" s="24"/>
      <c r="R140" s="24"/>
      <c r="S140" s="24"/>
      <c r="T140" s="24"/>
      <c r="U140" s="24"/>
      <c r="V140" s="24"/>
      <c r="W140" s="24"/>
      <c r="X140" s="24"/>
      <c r="Y140" s="24"/>
      <c r="Z140" s="24"/>
      <c r="AA140" s="24"/>
      <c r="AB140" s="24"/>
      <c r="AC140" s="24"/>
      <c r="AD140" s="24"/>
      <c r="AE140" s="24"/>
      <c r="AF140" s="24"/>
      <c r="AG140" s="24"/>
      <c r="AH140" s="24"/>
      <c r="AI140" s="24"/>
      <c r="AJ140" s="24"/>
    </row>
    <row r="141" ht="15.75" customHeight="1">
      <c r="F141" s="24"/>
      <c r="G141" s="24"/>
      <c r="H141" s="24"/>
      <c r="I141" s="24"/>
      <c r="J141" s="24"/>
      <c r="K141" s="24"/>
      <c r="L141" s="24"/>
      <c r="M141" s="24"/>
      <c r="N141" s="24"/>
      <c r="O141" s="24"/>
      <c r="P141" s="24"/>
      <c r="Q141" s="24"/>
      <c r="R141" s="24"/>
      <c r="S141" s="24"/>
      <c r="T141" s="24"/>
      <c r="U141" s="24"/>
      <c r="V141" s="24"/>
      <c r="W141" s="24"/>
      <c r="X141" s="24"/>
      <c r="Y141" s="24"/>
      <c r="Z141" s="24"/>
      <c r="AA141" s="24"/>
      <c r="AB141" s="24"/>
      <c r="AC141" s="24"/>
      <c r="AD141" s="24"/>
      <c r="AE141" s="24"/>
      <c r="AF141" s="24"/>
      <c r="AG141" s="24"/>
      <c r="AH141" s="24"/>
      <c r="AI141" s="24"/>
      <c r="AJ141" s="24"/>
    </row>
    <row r="142" ht="15.75" customHeight="1">
      <c r="F142" s="24"/>
      <c r="G142" s="24"/>
      <c r="H142" s="24"/>
      <c r="I142" s="24"/>
      <c r="J142" s="24"/>
      <c r="K142" s="24"/>
      <c r="L142" s="24"/>
      <c r="M142" s="24"/>
      <c r="N142" s="24"/>
      <c r="O142" s="24"/>
      <c r="P142" s="24"/>
      <c r="Q142" s="24"/>
      <c r="R142" s="24"/>
      <c r="S142" s="24"/>
      <c r="T142" s="24"/>
      <c r="U142" s="24"/>
      <c r="V142" s="24"/>
      <c r="W142" s="24"/>
      <c r="X142" s="24"/>
      <c r="Y142" s="24"/>
      <c r="Z142" s="24"/>
      <c r="AA142" s="24"/>
      <c r="AB142" s="24"/>
      <c r="AC142" s="24"/>
      <c r="AD142" s="24"/>
      <c r="AE142" s="24"/>
      <c r="AF142" s="24"/>
      <c r="AG142" s="24"/>
      <c r="AH142" s="24"/>
      <c r="AI142" s="24"/>
      <c r="AJ142" s="24"/>
    </row>
    <row r="143" ht="15.75" customHeight="1">
      <c r="F143" s="24"/>
      <c r="G143" s="24"/>
      <c r="H143" s="24"/>
      <c r="I143" s="24"/>
      <c r="J143" s="24"/>
      <c r="K143" s="24"/>
      <c r="L143" s="24"/>
      <c r="M143" s="24"/>
      <c r="N143" s="24"/>
      <c r="O143" s="24"/>
      <c r="P143" s="24"/>
      <c r="Q143" s="24"/>
      <c r="R143" s="24"/>
      <c r="S143" s="24"/>
      <c r="T143" s="24"/>
      <c r="U143" s="24"/>
      <c r="V143" s="24"/>
      <c r="W143" s="24"/>
      <c r="X143" s="24"/>
      <c r="Y143" s="24"/>
      <c r="Z143" s="24"/>
      <c r="AA143" s="24"/>
      <c r="AB143" s="24"/>
      <c r="AC143" s="24"/>
      <c r="AD143" s="24"/>
      <c r="AE143" s="24"/>
      <c r="AF143" s="24"/>
      <c r="AG143" s="24"/>
      <c r="AH143" s="24"/>
      <c r="AI143" s="24"/>
      <c r="AJ143" s="24"/>
    </row>
    <row r="144" ht="15.75" customHeight="1">
      <c r="F144" s="24"/>
      <c r="G144" s="24"/>
      <c r="H144" s="24"/>
      <c r="I144" s="24"/>
      <c r="J144" s="24"/>
      <c r="K144" s="24"/>
      <c r="L144" s="24"/>
      <c r="M144" s="24"/>
      <c r="N144" s="24"/>
      <c r="O144" s="24"/>
      <c r="P144" s="24"/>
      <c r="Q144" s="24"/>
      <c r="R144" s="24"/>
      <c r="S144" s="24"/>
      <c r="T144" s="24"/>
      <c r="U144" s="24"/>
      <c r="V144" s="24"/>
      <c r="W144" s="24"/>
      <c r="X144" s="24"/>
      <c r="Y144" s="24"/>
      <c r="Z144" s="24"/>
      <c r="AA144" s="24"/>
      <c r="AB144" s="24"/>
      <c r="AC144" s="24"/>
      <c r="AD144" s="24"/>
      <c r="AE144" s="24"/>
      <c r="AF144" s="24"/>
      <c r="AG144" s="24"/>
      <c r="AH144" s="24"/>
      <c r="AI144" s="24"/>
      <c r="AJ144" s="24"/>
    </row>
    <row r="145" ht="15.75" customHeight="1">
      <c r="F145" s="24"/>
      <c r="G145" s="24"/>
      <c r="H145" s="24"/>
      <c r="I145" s="24"/>
      <c r="J145" s="24"/>
      <c r="K145" s="24"/>
      <c r="L145" s="24"/>
      <c r="M145" s="24"/>
      <c r="N145" s="24"/>
      <c r="O145" s="24"/>
      <c r="P145" s="24"/>
      <c r="Q145" s="24"/>
      <c r="R145" s="24"/>
      <c r="S145" s="24"/>
      <c r="T145" s="24"/>
      <c r="U145" s="24"/>
      <c r="V145" s="24"/>
      <c r="W145" s="24"/>
      <c r="X145" s="24"/>
      <c r="Y145" s="24"/>
      <c r="Z145" s="24"/>
      <c r="AA145" s="24"/>
      <c r="AB145" s="24"/>
      <c r="AC145" s="24"/>
      <c r="AD145" s="24"/>
      <c r="AE145" s="24"/>
      <c r="AF145" s="24"/>
      <c r="AG145" s="24"/>
      <c r="AH145" s="24"/>
      <c r="AI145" s="24"/>
      <c r="AJ145" s="24"/>
    </row>
    <row r="146" ht="15.75" customHeight="1">
      <c r="F146" s="24"/>
      <c r="G146" s="24"/>
      <c r="H146" s="24"/>
      <c r="I146" s="24"/>
      <c r="J146" s="24"/>
      <c r="K146" s="24"/>
      <c r="L146" s="24"/>
      <c r="M146" s="24"/>
      <c r="N146" s="24"/>
      <c r="O146" s="24"/>
      <c r="P146" s="24"/>
      <c r="Q146" s="24"/>
      <c r="R146" s="24"/>
      <c r="S146" s="24"/>
      <c r="T146" s="24"/>
      <c r="U146" s="24"/>
      <c r="V146" s="24"/>
      <c r="W146" s="24"/>
      <c r="X146" s="24"/>
      <c r="Y146" s="24"/>
      <c r="Z146" s="24"/>
      <c r="AA146" s="24"/>
      <c r="AB146" s="24"/>
      <c r="AC146" s="24"/>
      <c r="AD146" s="24"/>
      <c r="AE146" s="24"/>
      <c r="AF146" s="24"/>
      <c r="AG146" s="24"/>
      <c r="AH146" s="24"/>
      <c r="AI146" s="24"/>
      <c r="AJ146" s="24"/>
    </row>
    <row r="147" ht="15.75" customHeight="1">
      <c r="F147" s="24"/>
      <c r="G147" s="24"/>
      <c r="H147" s="24"/>
      <c r="I147" s="24"/>
      <c r="J147" s="24"/>
      <c r="K147" s="24"/>
      <c r="L147" s="24"/>
      <c r="M147" s="24"/>
      <c r="N147" s="24"/>
      <c r="O147" s="24"/>
      <c r="P147" s="24"/>
      <c r="Q147" s="24"/>
      <c r="R147" s="24"/>
      <c r="S147" s="24"/>
      <c r="T147" s="24"/>
      <c r="U147" s="24"/>
      <c r="V147" s="24"/>
      <c r="W147" s="24"/>
      <c r="X147" s="24"/>
      <c r="Y147" s="24"/>
      <c r="Z147" s="24"/>
      <c r="AA147" s="24"/>
      <c r="AB147" s="24"/>
      <c r="AC147" s="24"/>
      <c r="AD147" s="24"/>
      <c r="AE147" s="24"/>
      <c r="AF147" s="24"/>
      <c r="AG147" s="24"/>
      <c r="AH147" s="24"/>
      <c r="AI147" s="24"/>
      <c r="AJ147" s="24"/>
    </row>
    <row r="148" ht="15.75" customHeight="1">
      <c r="F148" s="24"/>
      <c r="G148" s="24"/>
      <c r="H148" s="24"/>
      <c r="I148" s="24"/>
      <c r="J148" s="24"/>
      <c r="K148" s="24"/>
      <c r="L148" s="24"/>
      <c r="M148" s="24"/>
      <c r="N148" s="24"/>
      <c r="O148" s="24"/>
      <c r="P148" s="24"/>
      <c r="Q148" s="24"/>
      <c r="R148" s="24"/>
      <c r="S148" s="24"/>
      <c r="T148" s="24"/>
      <c r="U148" s="24"/>
      <c r="V148" s="24"/>
      <c r="W148" s="24"/>
      <c r="X148" s="24"/>
      <c r="Y148" s="24"/>
      <c r="Z148" s="24"/>
      <c r="AA148" s="24"/>
      <c r="AB148" s="24"/>
      <c r="AC148" s="24"/>
      <c r="AD148" s="24"/>
      <c r="AE148" s="24"/>
      <c r="AF148" s="24"/>
      <c r="AG148" s="24"/>
      <c r="AH148" s="24"/>
      <c r="AI148" s="24"/>
      <c r="AJ148" s="24"/>
    </row>
    <row r="149" ht="15.75" customHeight="1">
      <c r="F149" s="24"/>
      <c r="G149" s="24"/>
      <c r="H149" s="24"/>
      <c r="I149" s="24"/>
      <c r="J149" s="24"/>
      <c r="K149" s="24"/>
      <c r="L149" s="24"/>
      <c r="M149" s="24"/>
      <c r="N149" s="24"/>
      <c r="O149" s="24"/>
      <c r="P149" s="24"/>
      <c r="Q149" s="24"/>
      <c r="R149" s="24"/>
      <c r="S149" s="24"/>
      <c r="T149" s="24"/>
      <c r="U149" s="24"/>
      <c r="V149" s="24"/>
      <c r="W149" s="24"/>
      <c r="X149" s="24"/>
      <c r="Y149" s="24"/>
      <c r="Z149" s="24"/>
      <c r="AA149" s="24"/>
      <c r="AB149" s="24"/>
      <c r="AC149" s="24"/>
      <c r="AD149" s="24"/>
      <c r="AE149" s="24"/>
      <c r="AF149" s="24"/>
      <c r="AG149" s="24"/>
      <c r="AH149" s="24"/>
      <c r="AI149" s="24"/>
      <c r="AJ149" s="24"/>
    </row>
    <row r="150" ht="15.75" customHeight="1">
      <c r="F150" s="24"/>
      <c r="G150" s="24"/>
      <c r="H150" s="24"/>
      <c r="I150" s="24"/>
      <c r="J150" s="24"/>
      <c r="K150" s="24"/>
      <c r="L150" s="24"/>
      <c r="M150" s="24"/>
      <c r="N150" s="24"/>
      <c r="O150" s="24"/>
      <c r="P150" s="24"/>
      <c r="Q150" s="24"/>
      <c r="R150" s="24"/>
      <c r="S150" s="24"/>
      <c r="T150" s="24"/>
      <c r="U150" s="24"/>
      <c r="V150" s="24"/>
      <c r="W150" s="24"/>
      <c r="X150" s="24"/>
      <c r="Y150" s="24"/>
      <c r="Z150" s="24"/>
      <c r="AA150" s="24"/>
      <c r="AB150" s="24"/>
      <c r="AC150" s="24"/>
      <c r="AD150" s="24"/>
      <c r="AE150" s="24"/>
      <c r="AF150" s="24"/>
      <c r="AG150" s="24"/>
      <c r="AH150" s="24"/>
      <c r="AI150" s="24"/>
      <c r="AJ150" s="24"/>
    </row>
    <row r="151" ht="15.75" customHeight="1">
      <c r="F151" s="24"/>
      <c r="G151" s="24"/>
      <c r="H151" s="24"/>
      <c r="I151" s="24"/>
      <c r="J151" s="24"/>
      <c r="K151" s="24"/>
      <c r="L151" s="24"/>
      <c r="M151" s="24"/>
      <c r="N151" s="24"/>
      <c r="O151" s="24"/>
      <c r="P151" s="24"/>
      <c r="Q151" s="24"/>
      <c r="R151" s="24"/>
      <c r="S151" s="24"/>
      <c r="T151" s="24"/>
      <c r="U151" s="24"/>
      <c r="V151" s="24"/>
      <c r="W151" s="24"/>
      <c r="X151" s="24"/>
      <c r="Y151" s="24"/>
      <c r="Z151" s="24"/>
      <c r="AA151" s="24"/>
      <c r="AB151" s="24"/>
      <c r="AC151" s="24"/>
      <c r="AD151" s="24"/>
      <c r="AE151" s="24"/>
      <c r="AF151" s="24"/>
      <c r="AG151" s="24"/>
      <c r="AH151" s="24"/>
      <c r="AI151" s="24"/>
      <c r="AJ151" s="24"/>
    </row>
    <row r="152" ht="15.75" customHeight="1">
      <c r="F152" s="24"/>
      <c r="G152" s="24"/>
      <c r="H152" s="24"/>
      <c r="I152" s="24"/>
      <c r="J152" s="24"/>
      <c r="K152" s="24"/>
      <c r="L152" s="24"/>
      <c r="M152" s="24"/>
      <c r="N152" s="24"/>
      <c r="O152" s="24"/>
      <c r="P152" s="24"/>
      <c r="Q152" s="24"/>
      <c r="R152" s="24"/>
      <c r="S152" s="24"/>
      <c r="T152" s="24"/>
      <c r="U152" s="24"/>
      <c r="V152" s="24"/>
      <c r="W152" s="24"/>
      <c r="X152" s="24"/>
      <c r="Y152" s="24"/>
      <c r="Z152" s="24"/>
      <c r="AA152" s="24"/>
      <c r="AB152" s="24"/>
      <c r="AC152" s="24"/>
      <c r="AD152" s="24"/>
      <c r="AE152" s="24"/>
      <c r="AF152" s="24"/>
      <c r="AG152" s="24"/>
      <c r="AH152" s="24"/>
      <c r="AI152" s="24"/>
      <c r="AJ152" s="24"/>
    </row>
    <row r="153" ht="15.75" customHeight="1">
      <c r="F153" s="24"/>
      <c r="G153" s="24"/>
      <c r="H153" s="24"/>
      <c r="I153" s="24"/>
      <c r="J153" s="24"/>
      <c r="K153" s="24"/>
      <c r="L153" s="24"/>
      <c r="M153" s="24"/>
      <c r="N153" s="24"/>
      <c r="O153" s="24"/>
      <c r="P153" s="24"/>
      <c r="Q153" s="24"/>
      <c r="R153" s="24"/>
      <c r="S153" s="24"/>
      <c r="T153" s="24"/>
      <c r="U153" s="24"/>
      <c r="V153" s="24"/>
      <c r="W153" s="24"/>
      <c r="X153" s="24"/>
      <c r="Y153" s="24"/>
      <c r="Z153" s="24"/>
      <c r="AA153" s="24"/>
      <c r="AB153" s="24"/>
      <c r="AC153" s="24"/>
      <c r="AD153" s="24"/>
      <c r="AE153" s="24"/>
      <c r="AF153" s="24"/>
      <c r="AG153" s="24"/>
      <c r="AH153" s="24"/>
      <c r="AI153" s="24"/>
      <c r="AJ153" s="24"/>
    </row>
    <row r="154" ht="15.75" customHeight="1">
      <c r="F154" s="24"/>
      <c r="G154" s="24"/>
      <c r="H154" s="24"/>
      <c r="I154" s="24"/>
      <c r="J154" s="24"/>
      <c r="K154" s="24"/>
      <c r="L154" s="24"/>
      <c r="M154" s="24"/>
      <c r="N154" s="24"/>
      <c r="O154" s="24"/>
      <c r="P154" s="24"/>
      <c r="Q154" s="24"/>
      <c r="R154" s="24"/>
      <c r="S154" s="24"/>
      <c r="T154" s="24"/>
      <c r="U154" s="24"/>
      <c r="V154" s="24"/>
      <c r="W154" s="24"/>
      <c r="X154" s="24"/>
      <c r="Y154" s="24"/>
      <c r="Z154" s="24"/>
      <c r="AA154" s="24"/>
      <c r="AB154" s="24"/>
      <c r="AC154" s="24"/>
      <c r="AD154" s="24"/>
      <c r="AE154" s="24"/>
      <c r="AF154" s="24"/>
      <c r="AG154" s="24"/>
      <c r="AH154" s="24"/>
      <c r="AI154" s="24"/>
      <c r="AJ154" s="24"/>
    </row>
    <row r="155" ht="15.75" customHeight="1">
      <c r="F155" s="24"/>
      <c r="G155" s="24"/>
      <c r="H155" s="24"/>
      <c r="I155" s="24"/>
      <c r="J155" s="24"/>
      <c r="K155" s="24"/>
      <c r="L155" s="24"/>
      <c r="M155" s="24"/>
      <c r="N155" s="24"/>
      <c r="O155" s="24"/>
      <c r="P155" s="24"/>
      <c r="Q155" s="24"/>
      <c r="R155" s="24"/>
      <c r="S155" s="24"/>
      <c r="T155" s="24"/>
      <c r="U155" s="24"/>
      <c r="V155" s="24"/>
      <c r="W155" s="24"/>
      <c r="X155" s="24"/>
      <c r="Y155" s="24"/>
      <c r="Z155" s="24"/>
      <c r="AA155" s="24"/>
      <c r="AB155" s="24"/>
      <c r="AC155" s="24"/>
      <c r="AD155" s="24"/>
      <c r="AE155" s="24"/>
      <c r="AF155" s="24"/>
      <c r="AG155" s="24"/>
      <c r="AH155" s="24"/>
      <c r="AI155" s="24"/>
      <c r="AJ155" s="24"/>
    </row>
    <row r="156" ht="15.75" customHeight="1">
      <c r="F156" s="24"/>
      <c r="G156" s="24"/>
      <c r="H156" s="24"/>
      <c r="I156" s="24"/>
      <c r="J156" s="24"/>
      <c r="K156" s="24"/>
      <c r="L156" s="24"/>
      <c r="M156" s="24"/>
      <c r="N156" s="24"/>
      <c r="O156" s="24"/>
      <c r="P156" s="24"/>
      <c r="Q156" s="24"/>
      <c r="R156" s="24"/>
      <c r="S156" s="24"/>
      <c r="T156" s="24"/>
      <c r="U156" s="24"/>
      <c r="V156" s="24"/>
      <c r="W156" s="24"/>
      <c r="X156" s="24"/>
      <c r="Y156" s="24"/>
      <c r="Z156" s="24"/>
      <c r="AA156" s="24"/>
      <c r="AB156" s="24"/>
      <c r="AC156" s="24"/>
      <c r="AD156" s="24"/>
      <c r="AE156" s="24"/>
      <c r="AF156" s="24"/>
      <c r="AG156" s="24"/>
      <c r="AH156" s="24"/>
      <c r="AI156" s="24"/>
      <c r="AJ156" s="24"/>
    </row>
    <row r="157" ht="15.75" customHeight="1">
      <c r="F157" s="24"/>
      <c r="G157" s="24"/>
      <c r="H157" s="24"/>
      <c r="I157" s="24"/>
      <c r="J157" s="24"/>
      <c r="K157" s="24"/>
      <c r="L157" s="24"/>
      <c r="M157" s="24"/>
      <c r="N157" s="24"/>
      <c r="O157" s="24"/>
      <c r="P157" s="24"/>
      <c r="Q157" s="24"/>
      <c r="R157" s="24"/>
      <c r="S157" s="24"/>
      <c r="T157" s="24"/>
      <c r="U157" s="24"/>
      <c r="V157" s="24"/>
      <c r="W157" s="24"/>
      <c r="X157" s="24"/>
      <c r="Y157" s="24"/>
      <c r="Z157" s="24"/>
      <c r="AA157" s="24"/>
      <c r="AB157" s="24"/>
      <c r="AC157" s="24"/>
      <c r="AD157" s="24"/>
      <c r="AE157" s="24"/>
      <c r="AF157" s="24"/>
      <c r="AG157" s="24"/>
      <c r="AH157" s="24"/>
      <c r="AI157" s="24"/>
      <c r="AJ157" s="24"/>
    </row>
    <row r="158" ht="15.75" customHeight="1">
      <c r="F158" s="24"/>
      <c r="G158" s="24"/>
      <c r="H158" s="24"/>
      <c r="I158" s="24"/>
      <c r="J158" s="24"/>
      <c r="K158" s="24"/>
      <c r="L158" s="24"/>
      <c r="M158" s="24"/>
      <c r="N158" s="24"/>
      <c r="O158" s="24"/>
      <c r="P158" s="24"/>
      <c r="Q158" s="24"/>
      <c r="R158" s="24"/>
      <c r="S158" s="24"/>
      <c r="T158" s="24"/>
      <c r="U158" s="24"/>
      <c r="V158" s="24"/>
      <c r="W158" s="24"/>
      <c r="X158" s="24"/>
      <c r="Y158" s="24"/>
      <c r="Z158" s="24"/>
      <c r="AA158" s="24"/>
      <c r="AB158" s="24"/>
      <c r="AC158" s="24"/>
      <c r="AD158" s="24"/>
      <c r="AE158" s="24"/>
      <c r="AF158" s="24"/>
      <c r="AG158" s="24"/>
      <c r="AH158" s="24"/>
      <c r="AI158" s="24"/>
      <c r="AJ158" s="24"/>
    </row>
    <row r="159" ht="15.75" customHeight="1">
      <c r="F159" s="24"/>
      <c r="G159" s="24"/>
      <c r="H159" s="24"/>
      <c r="I159" s="24"/>
      <c r="J159" s="24"/>
      <c r="K159" s="24"/>
      <c r="L159" s="24"/>
      <c r="M159" s="24"/>
      <c r="N159" s="24"/>
      <c r="O159" s="24"/>
      <c r="P159" s="24"/>
      <c r="Q159" s="24"/>
      <c r="R159" s="24"/>
      <c r="S159" s="24"/>
      <c r="T159" s="24"/>
      <c r="U159" s="24"/>
      <c r="V159" s="24"/>
      <c r="W159" s="24"/>
      <c r="X159" s="24"/>
      <c r="Y159" s="24"/>
      <c r="Z159" s="24"/>
      <c r="AA159" s="24"/>
      <c r="AB159" s="24"/>
      <c r="AC159" s="24"/>
      <c r="AD159" s="24"/>
      <c r="AE159" s="24"/>
      <c r="AF159" s="24"/>
      <c r="AG159" s="24"/>
      <c r="AH159" s="24"/>
      <c r="AI159" s="24"/>
      <c r="AJ159" s="24"/>
    </row>
    <row r="160" ht="15.75" customHeight="1">
      <c r="F160" s="24"/>
      <c r="G160" s="24"/>
      <c r="H160" s="24"/>
      <c r="I160" s="24"/>
      <c r="J160" s="24"/>
      <c r="K160" s="24"/>
      <c r="L160" s="24"/>
      <c r="M160" s="24"/>
      <c r="N160" s="24"/>
      <c r="O160" s="24"/>
      <c r="P160" s="24"/>
      <c r="Q160" s="24"/>
      <c r="R160" s="24"/>
      <c r="S160" s="24"/>
      <c r="T160" s="24"/>
      <c r="U160" s="24"/>
      <c r="V160" s="24"/>
      <c r="W160" s="24"/>
      <c r="X160" s="24"/>
      <c r="Y160" s="24"/>
      <c r="Z160" s="24"/>
      <c r="AA160" s="24"/>
      <c r="AB160" s="24"/>
      <c r="AC160" s="24"/>
      <c r="AD160" s="24"/>
      <c r="AE160" s="24"/>
      <c r="AF160" s="24"/>
      <c r="AG160" s="24"/>
      <c r="AH160" s="24"/>
      <c r="AI160" s="24"/>
      <c r="AJ160" s="24"/>
    </row>
    <row r="161" ht="15.75" customHeight="1">
      <c r="F161" s="24"/>
      <c r="G161" s="24"/>
      <c r="H161" s="24"/>
      <c r="I161" s="24"/>
      <c r="J161" s="24"/>
      <c r="K161" s="24"/>
      <c r="L161" s="24"/>
      <c r="M161" s="24"/>
      <c r="N161" s="24"/>
      <c r="O161" s="24"/>
      <c r="P161" s="24"/>
      <c r="Q161" s="24"/>
      <c r="R161" s="24"/>
      <c r="S161" s="24"/>
      <c r="T161" s="24"/>
      <c r="U161" s="24"/>
      <c r="V161" s="24"/>
      <c r="W161" s="24"/>
      <c r="X161" s="24"/>
      <c r="Y161" s="24"/>
      <c r="Z161" s="24"/>
      <c r="AA161" s="24"/>
      <c r="AB161" s="24"/>
      <c r="AC161" s="24"/>
      <c r="AD161" s="24"/>
      <c r="AE161" s="24"/>
      <c r="AF161" s="24"/>
      <c r="AG161" s="24"/>
      <c r="AH161" s="24"/>
      <c r="AI161" s="24"/>
      <c r="AJ161" s="24"/>
    </row>
    <row r="162" ht="15.75" customHeight="1">
      <c r="F162" s="24"/>
      <c r="G162" s="24"/>
      <c r="H162" s="24"/>
      <c r="I162" s="24"/>
      <c r="J162" s="24"/>
      <c r="K162" s="24"/>
      <c r="L162" s="24"/>
      <c r="M162" s="24"/>
      <c r="N162" s="24"/>
      <c r="O162" s="24"/>
      <c r="P162" s="24"/>
      <c r="Q162" s="24"/>
      <c r="R162" s="24"/>
      <c r="S162" s="24"/>
      <c r="T162" s="24"/>
      <c r="U162" s="24"/>
      <c r="V162" s="24"/>
      <c r="W162" s="24"/>
      <c r="X162" s="24"/>
      <c r="Y162" s="24"/>
      <c r="Z162" s="24"/>
      <c r="AA162" s="24"/>
      <c r="AB162" s="24"/>
      <c r="AC162" s="24"/>
      <c r="AD162" s="24"/>
      <c r="AE162" s="24"/>
      <c r="AF162" s="24"/>
      <c r="AG162" s="24"/>
      <c r="AH162" s="24"/>
      <c r="AI162" s="24"/>
      <c r="AJ162" s="24"/>
    </row>
    <row r="163" ht="15.75" customHeight="1">
      <c r="F163" s="24"/>
      <c r="G163" s="24"/>
      <c r="H163" s="24"/>
      <c r="I163" s="24"/>
      <c r="J163" s="24"/>
      <c r="K163" s="24"/>
      <c r="L163" s="24"/>
      <c r="M163" s="24"/>
      <c r="N163" s="24"/>
      <c r="O163" s="24"/>
      <c r="P163" s="24"/>
      <c r="Q163" s="24"/>
      <c r="R163" s="24"/>
      <c r="S163" s="24"/>
      <c r="T163" s="24"/>
      <c r="U163" s="24"/>
      <c r="V163" s="24"/>
      <c r="W163" s="24"/>
      <c r="X163" s="24"/>
      <c r="Y163" s="24"/>
      <c r="Z163" s="24"/>
      <c r="AA163" s="24"/>
      <c r="AB163" s="24"/>
      <c r="AC163" s="24"/>
      <c r="AD163" s="24"/>
      <c r="AE163" s="24"/>
      <c r="AF163" s="24"/>
      <c r="AG163" s="24"/>
      <c r="AH163" s="24"/>
      <c r="AI163" s="24"/>
      <c r="AJ163" s="24"/>
    </row>
    <row r="164" ht="15.75" customHeight="1">
      <c r="F164" s="24"/>
      <c r="G164" s="24"/>
      <c r="H164" s="24"/>
      <c r="I164" s="24"/>
      <c r="J164" s="24"/>
      <c r="K164" s="24"/>
      <c r="L164" s="24"/>
      <c r="M164" s="24"/>
      <c r="N164" s="24"/>
      <c r="O164" s="24"/>
      <c r="P164" s="24"/>
      <c r="Q164" s="24"/>
      <c r="R164" s="24"/>
      <c r="S164" s="24"/>
      <c r="T164" s="24"/>
      <c r="U164" s="24"/>
      <c r="V164" s="24"/>
      <c r="W164" s="24"/>
      <c r="X164" s="24"/>
      <c r="Y164" s="24"/>
      <c r="Z164" s="24"/>
      <c r="AA164" s="24"/>
      <c r="AB164" s="24"/>
      <c r="AC164" s="24"/>
      <c r="AD164" s="24"/>
      <c r="AE164" s="24"/>
      <c r="AF164" s="24"/>
      <c r="AG164" s="24"/>
      <c r="AH164" s="24"/>
      <c r="AI164" s="24"/>
      <c r="AJ164" s="24"/>
    </row>
    <row r="165" ht="15.75" customHeight="1">
      <c r="F165" s="24"/>
      <c r="G165" s="24"/>
      <c r="H165" s="24"/>
      <c r="I165" s="24"/>
      <c r="J165" s="24"/>
      <c r="K165" s="24"/>
      <c r="L165" s="24"/>
      <c r="M165" s="24"/>
      <c r="N165" s="24"/>
      <c r="O165" s="24"/>
      <c r="P165" s="24"/>
      <c r="Q165" s="24"/>
      <c r="R165" s="24"/>
      <c r="S165" s="24"/>
      <c r="T165" s="24"/>
      <c r="U165" s="24"/>
      <c r="V165" s="24"/>
      <c r="W165" s="24"/>
      <c r="X165" s="24"/>
      <c r="Y165" s="24"/>
      <c r="Z165" s="24"/>
      <c r="AA165" s="24"/>
      <c r="AB165" s="24"/>
      <c r="AC165" s="24"/>
      <c r="AD165" s="24"/>
      <c r="AE165" s="24"/>
      <c r="AF165" s="24"/>
      <c r="AG165" s="24"/>
      <c r="AH165" s="24"/>
      <c r="AI165" s="24"/>
      <c r="AJ165" s="24"/>
    </row>
    <row r="166" ht="15.75" customHeight="1">
      <c r="F166" s="24"/>
      <c r="G166" s="24"/>
      <c r="H166" s="24"/>
      <c r="I166" s="24"/>
      <c r="J166" s="24"/>
      <c r="K166" s="24"/>
      <c r="L166" s="24"/>
      <c r="M166" s="24"/>
      <c r="N166" s="24"/>
      <c r="O166" s="24"/>
      <c r="P166" s="24"/>
      <c r="Q166" s="24"/>
      <c r="R166" s="24"/>
      <c r="S166" s="24"/>
      <c r="T166" s="24"/>
      <c r="U166" s="24"/>
      <c r="V166" s="24"/>
      <c r="W166" s="24"/>
      <c r="X166" s="24"/>
      <c r="Y166" s="24"/>
      <c r="Z166" s="24"/>
      <c r="AA166" s="24"/>
      <c r="AB166" s="24"/>
      <c r="AC166" s="24"/>
      <c r="AD166" s="24"/>
      <c r="AE166" s="24"/>
      <c r="AF166" s="24"/>
      <c r="AG166" s="24"/>
      <c r="AH166" s="24"/>
      <c r="AI166" s="24"/>
      <c r="AJ166" s="24"/>
    </row>
    <row r="167" ht="15.75" customHeight="1">
      <c r="F167" s="24"/>
      <c r="G167" s="24"/>
      <c r="H167" s="24"/>
      <c r="I167" s="24"/>
      <c r="J167" s="24"/>
      <c r="K167" s="24"/>
      <c r="L167" s="24"/>
      <c r="M167" s="24"/>
      <c r="N167" s="24"/>
      <c r="O167" s="24"/>
      <c r="P167" s="24"/>
      <c r="Q167" s="24"/>
      <c r="R167" s="24"/>
      <c r="S167" s="24"/>
      <c r="T167" s="24"/>
      <c r="U167" s="24"/>
      <c r="V167" s="24"/>
      <c r="W167" s="24"/>
      <c r="X167" s="24"/>
      <c r="Y167" s="24"/>
      <c r="Z167" s="24"/>
      <c r="AA167" s="24"/>
      <c r="AB167" s="24"/>
      <c r="AC167" s="24"/>
      <c r="AD167" s="24"/>
      <c r="AE167" s="24"/>
      <c r="AF167" s="24"/>
      <c r="AG167" s="24"/>
      <c r="AH167" s="24"/>
      <c r="AI167" s="24"/>
      <c r="AJ167" s="24"/>
    </row>
    <row r="168" ht="15.75" customHeight="1">
      <c r="F168" s="24"/>
      <c r="G168" s="24"/>
      <c r="H168" s="24"/>
      <c r="I168" s="24"/>
      <c r="J168" s="24"/>
      <c r="K168" s="24"/>
      <c r="L168" s="24"/>
      <c r="M168" s="24"/>
      <c r="N168" s="24"/>
      <c r="O168" s="24"/>
      <c r="P168" s="24"/>
      <c r="Q168" s="24"/>
      <c r="R168" s="24"/>
      <c r="S168" s="24"/>
      <c r="T168" s="24"/>
      <c r="U168" s="24"/>
      <c r="V168" s="24"/>
      <c r="W168" s="24"/>
      <c r="X168" s="24"/>
      <c r="Y168" s="24"/>
      <c r="Z168" s="24"/>
      <c r="AA168" s="24"/>
      <c r="AB168" s="24"/>
      <c r="AC168" s="24"/>
      <c r="AD168" s="24"/>
      <c r="AE168" s="24"/>
      <c r="AF168" s="24"/>
      <c r="AG168" s="24"/>
      <c r="AH168" s="24"/>
      <c r="AI168" s="24"/>
      <c r="AJ168" s="24"/>
    </row>
    <row r="169" ht="15.75" customHeight="1">
      <c r="F169" s="24"/>
      <c r="G169" s="24"/>
      <c r="H169" s="24"/>
      <c r="I169" s="24"/>
      <c r="J169" s="24"/>
      <c r="K169" s="24"/>
      <c r="L169" s="24"/>
      <c r="M169" s="24"/>
      <c r="N169" s="24"/>
      <c r="O169" s="24"/>
      <c r="P169" s="24"/>
      <c r="Q169" s="24"/>
      <c r="R169" s="24"/>
      <c r="S169" s="24"/>
      <c r="T169" s="24"/>
      <c r="U169" s="24"/>
      <c r="V169" s="24"/>
      <c r="W169" s="24"/>
      <c r="X169" s="24"/>
      <c r="Y169" s="24"/>
      <c r="Z169" s="24"/>
      <c r="AA169" s="24"/>
      <c r="AB169" s="24"/>
      <c r="AC169" s="24"/>
      <c r="AD169" s="24"/>
      <c r="AE169" s="24"/>
      <c r="AF169" s="24"/>
      <c r="AG169" s="24"/>
      <c r="AH169" s="24"/>
      <c r="AI169" s="24"/>
      <c r="AJ169" s="24"/>
    </row>
    <row r="170" ht="15.75" customHeight="1">
      <c r="F170" s="24"/>
      <c r="G170" s="24"/>
      <c r="H170" s="24"/>
      <c r="I170" s="24"/>
      <c r="J170" s="24"/>
      <c r="K170" s="24"/>
      <c r="L170" s="24"/>
      <c r="M170" s="24"/>
      <c r="N170" s="24"/>
      <c r="O170" s="24"/>
      <c r="P170" s="24"/>
      <c r="Q170" s="24"/>
      <c r="R170" s="24"/>
      <c r="S170" s="24"/>
      <c r="T170" s="24"/>
      <c r="U170" s="24"/>
      <c r="V170" s="24"/>
      <c r="W170" s="24"/>
      <c r="X170" s="24"/>
      <c r="Y170" s="24"/>
      <c r="Z170" s="24"/>
      <c r="AA170" s="24"/>
      <c r="AB170" s="24"/>
      <c r="AC170" s="24"/>
      <c r="AD170" s="24"/>
      <c r="AE170" s="24"/>
      <c r="AF170" s="24"/>
      <c r="AG170" s="24"/>
      <c r="AH170" s="24"/>
      <c r="AI170" s="24"/>
      <c r="AJ170" s="24"/>
    </row>
    <row r="171" ht="15.75" customHeight="1">
      <c r="F171" s="24"/>
      <c r="G171" s="24"/>
      <c r="H171" s="24"/>
      <c r="I171" s="24"/>
      <c r="J171" s="24"/>
      <c r="K171" s="24"/>
      <c r="L171" s="24"/>
      <c r="M171" s="24"/>
      <c r="N171" s="24"/>
      <c r="O171" s="24"/>
      <c r="P171" s="24"/>
      <c r="Q171" s="24"/>
      <c r="R171" s="24"/>
      <c r="S171" s="24"/>
      <c r="T171" s="24"/>
      <c r="U171" s="24"/>
      <c r="V171" s="24"/>
      <c r="W171" s="24"/>
      <c r="X171" s="24"/>
      <c r="Y171" s="24"/>
      <c r="Z171" s="24"/>
      <c r="AA171" s="24"/>
      <c r="AB171" s="24"/>
      <c r="AC171" s="24"/>
      <c r="AD171" s="24"/>
      <c r="AE171" s="24"/>
      <c r="AF171" s="24"/>
      <c r="AG171" s="24"/>
      <c r="AH171" s="24"/>
      <c r="AI171" s="24"/>
      <c r="AJ171" s="24"/>
    </row>
    <row r="172" ht="15.75" customHeight="1">
      <c r="F172" s="24"/>
      <c r="G172" s="24"/>
      <c r="H172" s="24"/>
      <c r="I172" s="24"/>
      <c r="J172" s="24"/>
      <c r="K172" s="24"/>
      <c r="L172" s="24"/>
      <c r="M172" s="24"/>
      <c r="N172" s="24"/>
      <c r="O172" s="24"/>
      <c r="P172" s="24"/>
      <c r="Q172" s="24"/>
      <c r="R172" s="24"/>
      <c r="S172" s="24"/>
      <c r="T172" s="24"/>
      <c r="U172" s="24"/>
      <c r="V172" s="24"/>
      <c r="W172" s="24"/>
      <c r="X172" s="24"/>
      <c r="Y172" s="24"/>
      <c r="Z172" s="24"/>
      <c r="AA172" s="24"/>
      <c r="AB172" s="24"/>
      <c r="AC172" s="24"/>
      <c r="AD172" s="24"/>
      <c r="AE172" s="24"/>
      <c r="AF172" s="24"/>
      <c r="AG172" s="24"/>
      <c r="AH172" s="24"/>
      <c r="AI172" s="24"/>
      <c r="AJ172" s="24"/>
    </row>
    <row r="173" ht="15.75" customHeight="1">
      <c r="F173" s="24"/>
      <c r="G173" s="24"/>
      <c r="H173" s="24"/>
      <c r="I173" s="24"/>
      <c r="J173" s="24"/>
      <c r="K173" s="24"/>
      <c r="L173" s="24"/>
      <c r="M173" s="24"/>
      <c r="N173" s="24"/>
      <c r="O173" s="24"/>
      <c r="P173" s="24"/>
      <c r="Q173" s="24"/>
      <c r="R173" s="24"/>
      <c r="S173" s="24"/>
      <c r="T173" s="24"/>
      <c r="U173" s="24"/>
      <c r="V173" s="24"/>
      <c r="W173" s="24"/>
      <c r="X173" s="24"/>
      <c r="Y173" s="24"/>
      <c r="Z173" s="24"/>
      <c r="AA173" s="24"/>
      <c r="AB173" s="24"/>
      <c r="AC173" s="24"/>
      <c r="AD173" s="24"/>
      <c r="AE173" s="24"/>
      <c r="AF173" s="24"/>
      <c r="AG173" s="24"/>
      <c r="AH173" s="24"/>
      <c r="AI173" s="24"/>
      <c r="AJ173" s="24"/>
    </row>
    <row r="174" ht="15.75" customHeight="1">
      <c r="F174" s="24"/>
      <c r="G174" s="24"/>
      <c r="H174" s="24"/>
      <c r="I174" s="24"/>
      <c r="J174" s="24"/>
      <c r="K174" s="24"/>
      <c r="L174" s="24"/>
      <c r="M174" s="24"/>
      <c r="N174" s="24"/>
      <c r="O174" s="24"/>
      <c r="P174" s="24"/>
      <c r="Q174" s="24"/>
      <c r="R174" s="24"/>
      <c r="S174" s="24"/>
      <c r="T174" s="24"/>
      <c r="U174" s="24"/>
      <c r="V174" s="24"/>
      <c r="W174" s="24"/>
      <c r="X174" s="24"/>
      <c r="Y174" s="24"/>
      <c r="Z174" s="24"/>
      <c r="AA174" s="24"/>
      <c r="AB174" s="24"/>
      <c r="AC174" s="24"/>
      <c r="AD174" s="24"/>
      <c r="AE174" s="24"/>
      <c r="AF174" s="24"/>
      <c r="AG174" s="24"/>
      <c r="AH174" s="24"/>
      <c r="AI174" s="24"/>
      <c r="AJ174" s="24"/>
    </row>
    <row r="175" ht="15.75" customHeight="1">
      <c r="F175" s="24"/>
      <c r="G175" s="24"/>
      <c r="H175" s="24"/>
      <c r="I175" s="24"/>
      <c r="J175" s="24"/>
      <c r="K175" s="24"/>
      <c r="L175" s="24"/>
      <c r="M175" s="24"/>
      <c r="N175" s="24"/>
      <c r="O175" s="24"/>
      <c r="P175" s="24"/>
      <c r="Q175" s="24"/>
      <c r="R175" s="24"/>
      <c r="S175" s="24"/>
      <c r="T175" s="24"/>
      <c r="U175" s="24"/>
      <c r="V175" s="24"/>
      <c r="W175" s="24"/>
      <c r="X175" s="24"/>
      <c r="Y175" s="24"/>
      <c r="Z175" s="24"/>
      <c r="AA175" s="24"/>
      <c r="AB175" s="24"/>
      <c r="AC175" s="24"/>
      <c r="AD175" s="24"/>
      <c r="AE175" s="24"/>
      <c r="AF175" s="24"/>
      <c r="AG175" s="24"/>
      <c r="AH175" s="24"/>
      <c r="AI175" s="24"/>
      <c r="AJ175" s="24"/>
    </row>
    <row r="176" ht="15.75" customHeight="1">
      <c r="F176" s="24"/>
      <c r="G176" s="24"/>
      <c r="H176" s="24"/>
      <c r="I176" s="24"/>
      <c r="J176" s="24"/>
      <c r="K176" s="24"/>
      <c r="L176" s="24"/>
      <c r="M176" s="24"/>
      <c r="N176" s="24"/>
      <c r="O176" s="24"/>
      <c r="P176" s="24"/>
      <c r="Q176" s="24"/>
      <c r="R176" s="24"/>
      <c r="S176" s="24"/>
      <c r="T176" s="24"/>
      <c r="U176" s="24"/>
      <c r="V176" s="24"/>
      <c r="W176" s="24"/>
      <c r="X176" s="24"/>
      <c r="Y176" s="24"/>
      <c r="Z176" s="24"/>
      <c r="AA176" s="24"/>
      <c r="AB176" s="24"/>
      <c r="AC176" s="24"/>
      <c r="AD176" s="24"/>
      <c r="AE176" s="24"/>
      <c r="AF176" s="24"/>
      <c r="AG176" s="24"/>
      <c r="AH176" s="24"/>
      <c r="AI176" s="24"/>
      <c r="AJ176" s="24"/>
    </row>
    <row r="177" ht="15.75" customHeight="1">
      <c r="F177" s="24"/>
      <c r="G177" s="24"/>
      <c r="H177" s="24"/>
      <c r="I177" s="24"/>
      <c r="J177" s="24"/>
      <c r="K177" s="24"/>
      <c r="L177" s="24"/>
      <c r="M177" s="24"/>
      <c r="N177" s="24"/>
      <c r="O177" s="24"/>
      <c r="P177" s="24"/>
      <c r="Q177" s="24"/>
      <c r="R177" s="24"/>
      <c r="S177" s="24"/>
      <c r="T177" s="24"/>
      <c r="U177" s="24"/>
      <c r="V177" s="24"/>
      <c r="W177" s="24"/>
      <c r="X177" s="24"/>
      <c r="Y177" s="24"/>
      <c r="Z177" s="24"/>
      <c r="AA177" s="24"/>
      <c r="AB177" s="24"/>
      <c r="AC177" s="24"/>
      <c r="AD177" s="24"/>
      <c r="AE177" s="24"/>
      <c r="AF177" s="24"/>
      <c r="AG177" s="24"/>
      <c r="AH177" s="24"/>
      <c r="AI177" s="24"/>
      <c r="AJ177" s="24"/>
    </row>
    <row r="178" ht="15.75" customHeight="1">
      <c r="F178" s="24"/>
      <c r="G178" s="24"/>
      <c r="H178" s="24"/>
      <c r="I178" s="24"/>
      <c r="J178" s="24"/>
      <c r="K178" s="24"/>
      <c r="L178" s="24"/>
      <c r="M178" s="24"/>
      <c r="N178" s="24"/>
      <c r="O178" s="24"/>
      <c r="P178" s="24"/>
      <c r="Q178" s="24"/>
      <c r="R178" s="24"/>
      <c r="S178" s="24"/>
      <c r="T178" s="24"/>
      <c r="U178" s="24"/>
      <c r="V178" s="24"/>
      <c r="W178" s="24"/>
      <c r="X178" s="24"/>
      <c r="Y178" s="24"/>
      <c r="Z178" s="24"/>
      <c r="AA178" s="24"/>
      <c r="AB178" s="24"/>
      <c r="AC178" s="24"/>
      <c r="AD178" s="24"/>
      <c r="AE178" s="24"/>
      <c r="AF178" s="24"/>
      <c r="AG178" s="24"/>
      <c r="AH178" s="24"/>
      <c r="AI178" s="24"/>
      <c r="AJ178" s="24"/>
    </row>
    <row r="179" ht="15.75" customHeight="1">
      <c r="F179" s="24"/>
      <c r="G179" s="24"/>
      <c r="H179" s="24"/>
      <c r="I179" s="24"/>
      <c r="J179" s="24"/>
      <c r="K179" s="24"/>
      <c r="L179" s="24"/>
      <c r="M179" s="24"/>
      <c r="N179" s="24"/>
      <c r="O179" s="24"/>
      <c r="P179" s="24"/>
      <c r="Q179" s="24"/>
      <c r="R179" s="24"/>
      <c r="S179" s="24"/>
      <c r="T179" s="24"/>
      <c r="U179" s="24"/>
      <c r="V179" s="24"/>
      <c r="W179" s="24"/>
      <c r="X179" s="24"/>
      <c r="Y179" s="24"/>
      <c r="Z179" s="24"/>
      <c r="AA179" s="24"/>
      <c r="AB179" s="24"/>
      <c r="AC179" s="24"/>
      <c r="AD179" s="24"/>
      <c r="AE179" s="24"/>
      <c r="AF179" s="24"/>
      <c r="AG179" s="24"/>
      <c r="AH179" s="24"/>
      <c r="AI179" s="24"/>
      <c r="AJ179" s="24"/>
    </row>
    <row r="180" ht="15.75" customHeight="1">
      <c r="F180" s="24"/>
      <c r="G180" s="24"/>
      <c r="H180" s="24"/>
      <c r="I180" s="24"/>
      <c r="J180" s="24"/>
      <c r="K180" s="24"/>
      <c r="L180" s="24"/>
      <c r="M180" s="24"/>
      <c r="N180" s="24"/>
      <c r="O180" s="24"/>
      <c r="P180" s="24"/>
      <c r="Q180" s="24"/>
      <c r="R180" s="24"/>
      <c r="S180" s="24"/>
      <c r="T180" s="24"/>
      <c r="U180" s="24"/>
      <c r="V180" s="24"/>
      <c r="W180" s="24"/>
      <c r="X180" s="24"/>
      <c r="Y180" s="24"/>
      <c r="Z180" s="24"/>
      <c r="AA180" s="24"/>
      <c r="AB180" s="24"/>
      <c r="AC180" s="24"/>
      <c r="AD180" s="24"/>
      <c r="AE180" s="24"/>
      <c r="AF180" s="24"/>
      <c r="AG180" s="24"/>
      <c r="AH180" s="24"/>
      <c r="AI180" s="24"/>
      <c r="AJ180" s="24"/>
    </row>
    <row r="181" ht="15.75" customHeight="1">
      <c r="F181" s="24"/>
      <c r="G181" s="24"/>
      <c r="H181" s="24"/>
      <c r="I181" s="24"/>
      <c r="J181" s="24"/>
      <c r="K181" s="24"/>
      <c r="L181" s="24"/>
      <c r="M181" s="24"/>
      <c r="N181" s="24"/>
      <c r="O181" s="24"/>
      <c r="P181" s="24"/>
      <c r="Q181" s="24"/>
      <c r="R181" s="24"/>
      <c r="S181" s="24"/>
      <c r="T181" s="24"/>
      <c r="U181" s="24"/>
      <c r="V181" s="24"/>
      <c r="W181" s="24"/>
      <c r="X181" s="24"/>
      <c r="Y181" s="24"/>
      <c r="Z181" s="24"/>
      <c r="AA181" s="24"/>
      <c r="AB181" s="24"/>
      <c r="AC181" s="24"/>
      <c r="AD181" s="24"/>
      <c r="AE181" s="24"/>
      <c r="AF181" s="24"/>
      <c r="AG181" s="24"/>
      <c r="AH181" s="24"/>
      <c r="AI181" s="24"/>
      <c r="AJ181" s="24"/>
    </row>
    <row r="182" ht="15.75" customHeight="1">
      <c r="F182" s="24"/>
      <c r="G182" s="24"/>
      <c r="H182" s="24"/>
      <c r="I182" s="24"/>
      <c r="J182" s="24"/>
      <c r="K182" s="24"/>
      <c r="L182" s="24"/>
      <c r="M182" s="24"/>
      <c r="N182" s="24"/>
      <c r="O182" s="24"/>
      <c r="P182" s="24"/>
      <c r="Q182" s="24"/>
      <c r="R182" s="24"/>
      <c r="S182" s="24"/>
      <c r="T182" s="24"/>
      <c r="U182" s="24"/>
      <c r="V182" s="24"/>
      <c r="W182" s="24"/>
      <c r="X182" s="24"/>
      <c r="Y182" s="24"/>
      <c r="Z182" s="24"/>
      <c r="AA182" s="24"/>
      <c r="AB182" s="24"/>
      <c r="AC182" s="24"/>
      <c r="AD182" s="24"/>
      <c r="AE182" s="24"/>
      <c r="AF182" s="24"/>
      <c r="AG182" s="24"/>
      <c r="AH182" s="24"/>
      <c r="AI182" s="24"/>
      <c r="AJ182" s="24"/>
    </row>
    <row r="183" ht="15.75" customHeight="1">
      <c r="F183" s="24"/>
      <c r="G183" s="24"/>
      <c r="H183" s="24"/>
      <c r="I183" s="24"/>
      <c r="J183" s="24"/>
      <c r="K183" s="24"/>
      <c r="L183" s="24"/>
      <c r="M183" s="24"/>
      <c r="N183" s="24"/>
      <c r="O183" s="24"/>
      <c r="P183" s="24"/>
      <c r="Q183" s="24"/>
      <c r="R183" s="24"/>
      <c r="S183" s="24"/>
      <c r="T183" s="24"/>
      <c r="U183" s="24"/>
      <c r="V183" s="24"/>
      <c r="W183" s="24"/>
      <c r="X183" s="24"/>
      <c r="Y183" s="24"/>
      <c r="Z183" s="24"/>
      <c r="AA183" s="24"/>
      <c r="AB183" s="24"/>
      <c r="AC183" s="24"/>
      <c r="AD183" s="24"/>
      <c r="AE183" s="24"/>
      <c r="AF183" s="24"/>
      <c r="AG183" s="24"/>
      <c r="AH183" s="24"/>
      <c r="AI183" s="24"/>
      <c r="AJ183" s="24"/>
    </row>
    <row r="184" ht="15.75" customHeight="1">
      <c r="F184" s="24"/>
      <c r="G184" s="24"/>
      <c r="H184" s="24"/>
      <c r="I184" s="24"/>
      <c r="J184" s="24"/>
      <c r="K184" s="24"/>
      <c r="L184" s="24"/>
      <c r="M184" s="24"/>
      <c r="N184" s="24"/>
      <c r="O184" s="24"/>
      <c r="P184" s="24"/>
      <c r="Q184" s="24"/>
      <c r="R184" s="24"/>
      <c r="S184" s="24"/>
      <c r="T184" s="24"/>
      <c r="U184" s="24"/>
      <c r="V184" s="24"/>
      <c r="W184" s="24"/>
      <c r="X184" s="24"/>
      <c r="Y184" s="24"/>
      <c r="Z184" s="24"/>
      <c r="AA184" s="24"/>
      <c r="AB184" s="24"/>
      <c r="AC184" s="24"/>
      <c r="AD184" s="24"/>
      <c r="AE184" s="24"/>
      <c r="AF184" s="24"/>
      <c r="AG184" s="24"/>
      <c r="AH184" s="24"/>
      <c r="AI184" s="24"/>
      <c r="AJ184" s="24"/>
    </row>
    <row r="185" ht="15.75" customHeight="1">
      <c r="F185" s="24"/>
      <c r="G185" s="24"/>
      <c r="H185" s="24"/>
      <c r="I185" s="24"/>
      <c r="J185" s="24"/>
      <c r="K185" s="24"/>
      <c r="L185" s="24"/>
      <c r="M185" s="24"/>
      <c r="N185" s="24"/>
      <c r="O185" s="24"/>
      <c r="P185" s="24"/>
      <c r="Q185" s="24"/>
      <c r="R185" s="24"/>
      <c r="S185" s="24"/>
      <c r="T185" s="24"/>
      <c r="U185" s="24"/>
      <c r="V185" s="24"/>
      <c r="W185" s="24"/>
      <c r="X185" s="24"/>
      <c r="Y185" s="24"/>
      <c r="Z185" s="24"/>
      <c r="AA185" s="24"/>
      <c r="AB185" s="24"/>
      <c r="AC185" s="24"/>
      <c r="AD185" s="24"/>
      <c r="AE185" s="24"/>
      <c r="AF185" s="24"/>
      <c r="AG185" s="24"/>
      <c r="AH185" s="24"/>
      <c r="AI185" s="24"/>
      <c r="AJ185" s="24"/>
    </row>
    <row r="186" ht="15.75" customHeight="1">
      <c r="F186" s="24"/>
      <c r="G186" s="24"/>
      <c r="H186" s="24"/>
      <c r="I186" s="24"/>
      <c r="J186" s="24"/>
      <c r="K186" s="24"/>
      <c r="L186" s="24"/>
      <c r="M186" s="24"/>
      <c r="N186" s="24"/>
      <c r="O186" s="24"/>
      <c r="P186" s="24"/>
      <c r="Q186" s="24"/>
      <c r="R186" s="24"/>
      <c r="S186" s="24"/>
      <c r="T186" s="24"/>
      <c r="U186" s="24"/>
      <c r="V186" s="24"/>
      <c r="W186" s="24"/>
      <c r="X186" s="24"/>
      <c r="Y186" s="24"/>
      <c r="Z186" s="24"/>
      <c r="AA186" s="24"/>
      <c r="AB186" s="24"/>
      <c r="AC186" s="24"/>
      <c r="AD186" s="24"/>
      <c r="AE186" s="24"/>
      <c r="AF186" s="24"/>
      <c r="AG186" s="24"/>
      <c r="AH186" s="24"/>
      <c r="AI186" s="24"/>
      <c r="AJ186" s="24"/>
    </row>
    <row r="187" ht="15.75" customHeight="1">
      <c r="F187" s="24"/>
      <c r="G187" s="24"/>
      <c r="H187" s="24"/>
      <c r="I187" s="24"/>
      <c r="J187" s="24"/>
      <c r="K187" s="24"/>
      <c r="L187" s="24"/>
      <c r="M187" s="24"/>
      <c r="N187" s="24"/>
      <c r="O187" s="24"/>
      <c r="P187" s="24"/>
      <c r="Q187" s="24"/>
      <c r="R187" s="24"/>
      <c r="S187" s="24"/>
      <c r="T187" s="24"/>
      <c r="U187" s="24"/>
      <c r="V187" s="24"/>
      <c r="W187" s="24"/>
      <c r="X187" s="24"/>
      <c r="Y187" s="24"/>
      <c r="Z187" s="24"/>
      <c r="AA187" s="24"/>
      <c r="AB187" s="24"/>
      <c r="AC187" s="24"/>
      <c r="AD187" s="24"/>
      <c r="AE187" s="24"/>
      <c r="AF187" s="24"/>
      <c r="AG187" s="24"/>
      <c r="AH187" s="24"/>
      <c r="AI187" s="24"/>
      <c r="AJ187" s="24"/>
    </row>
    <row r="188" ht="15.75" customHeight="1">
      <c r="F188" s="24"/>
      <c r="G188" s="24"/>
      <c r="H188" s="24"/>
      <c r="I188" s="24"/>
      <c r="J188" s="24"/>
      <c r="K188" s="24"/>
      <c r="L188" s="24"/>
      <c r="M188" s="24"/>
      <c r="N188" s="24"/>
      <c r="O188" s="24"/>
      <c r="P188" s="24"/>
      <c r="Q188" s="24"/>
      <c r="R188" s="24"/>
      <c r="S188" s="24"/>
      <c r="T188" s="24"/>
      <c r="U188" s="24"/>
      <c r="V188" s="24"/>
      <c r="W188" s="24"/>
      <c r="X188" s="24"/>
      <c r="Y188" s="24"/>
      <c r="Z188" s="24"/>
      <c r="AA188" s="24"/>
      <c r="AB188" s="24"/>
      <c r="AC188" s="24"/>
      <c r="AD188" s="24"/>
      <c r="AE188" s="24"/>
      <c r="AF188" s="24"/>
      <c r="AG188" s="24"/>
      <c r="AH188" s="24"/>
      <c r="AI188" s="24"/>
      <c r="AJ188" s="24"/>
    </row>
    <row r="189" ht="15.75" customHeight="1">
      <c r="F189" s="24"/>
      <c r="G189" s="24"/>
      <c r="H189" s="24"/>
      <c r="I189" s="24"/>
      <c r="J189" s="24"/>
      <c r="K189" s="24"/>
      <c r="L189" s="24"/>
      <c r="M189" s="24"/>
      <c r="N189" s="24"/>
      <c r="O189" s="24"/>
      <c r="P189" s="24"/>
      <c r="Q189" s="24"/>
      <c r="R189" s="24"/>
      <c r="S189" s="24"/>
      <c r="T189" s="24"/>
      <c r="U189" s="24"/>
      <c r="V189" s="24"/>
      <c r="W189" s="24"/>
      <c r="X189" s="24"/>
      <c r="Y189" s="24"/>
      <c r="Z189" s="24"/>
      <c r="AA189" s="24"/>
      <c r="AB189" s="24"/>
      <c r="AC189" s="24"/>
      <c r="AD189" s="24"/>
      <c r="AE189" s="24"/>
      <c r="AF189" s="24"/>
      <c r="AG189" s="24"/>
      <c r="AH189" s="24"/>
      <c r="AI189" s="24"/>
      <c r="AJ189" s="24"/>
    </row>
    <row r="190" ht="15.75" customHeight="1">
      <c r="F190" s="24"/>
      <c r="G190" s="24"/>
      <c r="H190" s="24"/>
      <c r="I190" s="24"/>
      <c r="J190" s="24"/>
      <c r="K190" s="24"/>
      <c r="L190" s="24"/>
      <c r="M190" s="24"/>
      <c r="N190" s="24"/>
      <c r="O190" s="24"/>
      <c r="P190" s="24"/>
      <c r="Q190" s="24"/>
      <c r="R190" s="24"/>
      <c r="S190" s="24"/>
      <c r="T190" s="24"/>
      <c r="U190" s="24"/>
      <c r="V190" s="24"/>
      <c r="W190" s="24"/>
      <c r="X190" s="24"/>
      <c r="Y190" s="24"/>
      <c r="Z190" s="24"/>
      <c r="AA190" s="24"/>
      <c r="AB190" s="24"/>
      <c r="AC190" s="24"/>
      <c r="AD190" s="24"/>
      <c r="AE190" s="24"/>
      <c r="AF190" s="24"/>
      <c r="AG190" s="24"/>
      <c r="AH190" s="24"/>
      <c r="AI190" s="24"/>
      <c r="AJ190" s="24"/>
    </row>
    <row r="191" ht="15.75" customHeight="1">
      <c r="F191" s="24"/>
      <c r="G191" s="24"/>
      <c r="H191" s="24"/>
      <c r="I191" s="24"/>
      <c r="J191" s="24"/>
      <c r="K191" s="24"/>
      <c r="L191" s="24"/>
      <c r="M191" s="24"/>
      <c r="N191" s="24"/>
      <c r="O191" s="24"/>
      <c r="P191" s="24"/>
      <c r="Q191" s="24"/>
      <c r="R191" s="24"/>
      <c r="S191" s="24"/>
      <c r="T191" s="24"/>
      <c r="U191" s="24"/>
      <c r="V191" s="24"/>
      <c r="W191" s="24"/>
      <c r="X191" s="24"/>
      <c r="Y191" s="24"/>
      <c r="Z191" s="24"/>
      <c r="AA191" s="24"/>
      <c r="AB191" s="24"/>
      <c r="AC191" s="24"/>
      <c r="AD191" s="24"/>
      <c r="AE191" s="24"/>
      <c r="AF191" s="24"/>
      <c r="AG191" s="24"/>
      <c r="AH191" s="24"/>
      <c r="AI191" s="24"/>
      <c r="AJ191" s="24"/>
    </row>
    <row r="192" ht="15.75" customHeight="1">
      <c r="F192" s="24"/>
      <c r="G192" s="24"/>
      <c r="H192" s="24"/>
      <c r="I192" s="24"/>
      <c r="J192" s="24"/>
      <c r="K192" s="24"/>
      <c r="L192" s="24"/>
      <c r="M192" s="24"/>
      <c r="N192" s="24"/>
      <c r="O192" s="24"/>
      <c r="P192" s="24"/>
      <c r="Q192" s="24"/>
      <c r="R192" s="24"/>
      <c r="S192" s="24"/>
      <c r="T192" s="24"/>
      <c r="U192" s="24"/>
      <c r="V192" s="24"/>
      <c r="W192" s="24"/>
      <c r="X192" s="24"/>
      <c r="Y192" s="24"/>
      <c r="Z192" s="24"/>
      <c r="AA192" s="24"/>
      <c r="AB192" s="24"/>
      <c r="AC192" s="24"/>
      <c r="AD192" s="24"/>
      <c r="AE192" s="24"/>
      <c r="AF192" s="24"/>
      <c r="AG192" s="24"/>
      <c r="AH192" s="24"/>
      <c r="AI192" s="24"/>
      <c r="AJ192" s="24"/>
    </row>
    <row r="193" ht="15.75" customHeight="1">
      <c r="F193" s="24"/>
      <c r="G193" s="24"/>
      <c r="H193" s="24"/>
      <c r="I193" s="24"/>
      <c r="J193" s="24"/>
      <c r="K193" s="24"/>
      <c r="L193" s="24"/>
      <c r="M193" s="24"/>
      <c r="N193" s="24"/>
      <c r="O193" s="24"/>
      <c r="P193" s="24"/>
      <c r="Q193" s="24"/>
      <c r="R193" s="24"/>
      <c r="S193" s="24"/>
      <c r="T193" s="24"/>
      <c r="U193" s="24"/>
      <c r="V193" s="24"/>
      <c r="W193" s="24"/>
      <c r="X193" s="24"/>
      <c r="Y193" s="24"/>
      <c r="Z193" s="24"/>
      <c r="AA193" s="24"/>
      <c r="AB193" s="24"/>
      <c r="AC193" s="24"/>
      <c r="AD193" s="24"/>
      <c r="AE193" s="24"/>
      <c r="AF193" s="24"/>
      <c r="AG193" s="24"/>
      <c r="AH193" s="24"/>
      <c r="AI193" s="24"/>
      <c r="AJ193" s="24"/>
    </row>
    <row r="194" ht="15.75" customHeight="1">
      <c r="F194" s="24"/>
      <c r="G194" s="24"/>
      <c r="H194" s="24"/>
      <c r="I194" s="24"/>
      <c r="J194" s="24"/>
      <c r="K194" s="24"/>
      <c r="L194" s="24"/>
      <c r="M194" s="24"/>
      <c r="N194" s="24"/>
      <c r="O194" s="24"/>
      <c r="P194" s="24"/>
      <c r="Q194" s="24"/>
      <c r="R194" s="24"/>
      <c r="S194" s="24"/>
      <c r="T194" s="24"/>
      <c r="U194" s="24"/>
      <c r="V194" s="24"/>
      <c r="W194" s="24"/>
      <c r="X194" s="24"/>
      <c r="Y194" s="24"/>
      <c r="Z194" s="24"/>
      <c r="AA194" s="24"/>
      <c r="AB194" s="24"/>
      <c r="AC194" s="24"/>
      <c r="AD194" s="24"/>
      <c r="AE194" s="24"/>
      <c r="AF194" s="24"/>
      <c r="AG194" s="24"/>
      <c r="AH194" s="24"/>
      <c r="AI194" s="24"/>
      <c r="AJ194" s="24"/>
    </row>
    <row r="195" ht="15.75" customHeight="1">
      <c r="F195" s="24"/>
      <c r="G195" s="24"/>
      <c r="H195" s="24"/>
      <c r="I195" s="24"/>
      <c r="J195" s="24"/>
      <c r="K195" s="24"/>
      <c r="L195" s="24"/>
      <c r="M195" s="24"/>
      <c r="N195" s="24"/>
      <c r="O195" s="24"/>
      <c r="P195" s="24"/>
      <c r="Q195" s="24"/>
      <c r="R195" s="24"/>
      <c r="S195" s="24"/>
      <c r="T195" s="24"/>
      <c r="U195" s="24"/>
      <c r="V195" s="24"/>
      <c r="W195" s="24"/>
      <c r="X195" s="24"/>
      <c r="Y195" s="24"/>
      <c r="Z195" s="24"/>
      <c r="AA195" s="24"/>
      <c r="AB195" s="24"/>
      <c r="AC195" s="24"/>
      <c r="AD195" s="24"/>
      <c r="AE195" s="24"/>
      <c r="AF195" s="24"/>
      <c r="AG195" s="24"/>
      <c r="AH195" s="24"/>
      <c r="AI195" s="24"/>
      <c r="AJ195" s="24"/>
    </row>
    <row r="196" ht="15.75" customHeight="1">
      <c r="F196" s="24"/>
      <c r="G196" s="24"/>
      <c r="H196" s="24"/>
      <c r="I196" s="24"/>
      <c r="J196" s="24"/>
      <c r="K196" s="24"/>
      <c r="L196" s="24"/>
      <c r="M196" s="24"/>
      <c r="N196" s="24"/>
      <c r="O196" s="24"/>
      <c r="P196" s="24"/>
      <c r="Q196" s="24"/>
      <c r="R196" s="24"/>
      <c r="S196" s="24"/>
      <c r="T196" s="24"/>
      <c r="U196" s="24"/>
      <c r="V196" s="24"/>
      <c r="W196" s="24"/>
      <c r="X196" s="24"/>
      <c r="Y196" s="24"/>
      <c r="Z196" s="24"/>
      <c r="AA196" s="24"/>
      <c r="AB196" s="24"/>
      <c r="AC196" s="24"/>
      <c r="AD196" s="24"/>
      <c r="AE196" s="24"/>
      <c r="AF196" s="24"/>
      <c r="AG196" s="24"/>
      <c r="AH196" s="24"/>
      <c r="AI196" s="24"/>
      <c r="AJ196" s="24"/>
    </row>
    <row r="197" ht="15.75" customHeight="1">
      <c r="F197" s="24"/>
      <c r="G197" s="24"/>
      <c r="H197" s="24"/>
      <c r="I197" s="24"/>
      <c r="J197" s="24"/>
      <c r="K197" s="24"/>
      <c r="L197" s="24"/>
      <c r="M197" s="24"/>
      <c r="N197" s="24"/>
      <c r="O197" s="24"/>
      <c r="P197" s="24"/>
      <c r="Q197" s="24"/>
      <c r="R197" s="24"/>
      <c r="S197" s="24"/>
      <c r="T197" s="24"/>
      <c r="U197" s="24"/>
      <c r="V197" s="24"/>
      <c r="W197" s="24"/>
      <c r="X197" s="24"/>
      <c r="Y197" s="24"/>
      <c r="Z197" s="24"/>
      <c r="AA197" s="24"/>
      <c r="AB197" s="24"/>
      <c r="AC197" s="24"/>
      <c r="AD197" s="24"/>
      <c r="AE197" s="24"/>
      <c r="AF197" s="24"/>
      <c r="AG197" s="24"/>
      <c r="AH197" s="24"/>
      <c r="AI197" s="24"/>
      <c r="AJ197" s="24"/>
    </row>
    <row r="198" ht="15.75" customHeight="1">
      <c r="F198" s="24"/>
      <c r="G198" s="24"/>
      <c r="H198" s="24"/>
      <c r="I198" s="24"/>
      <c r="J198" s="24"/>
      <c r="K198" s="24"/>
      <c r="L198" s="24"/>
      <c r="M198" s="24"/>
      <c r="N198" s="24"/>
      <c r="O198" s="24"/>
      <c r="P198" s="24"/>
      <c r="Q198" s="24"/>
      <c r="R198" s="24"/>
      <c r="S198" s="24"/>
      <c r="T198" s="24"/>
      <c r="U198" s="24"/>
      <c r="V198" s="24"/>
      <c r="W198" s="24"/>
      <c r="X198" s="24"/>
      <c r="Y198" s="24"/>
      <c r="Z198" s="24"/>
      <c r="AA198" s="24"/>
      <c r="AB198" s="24"/>
      <c r="AC198" s="24"/>
      <c r="AD198" s="24"/>
      <c r="AE198" s="24"/>
      <c r="AF198" s="24"/>
      <c r="AG198" s="24"/>
      <c r="AH198" s="24"/>
      <c r="AI198" s="24"/>
      <c r="AJ198" s="24"/>
    </row>
    <row r="199" ht="15.75" customHeight="1">
      <c r="F199" s="24"/>
      <c r="G199" s="24"/>
      <c r="H199" s="24"/>
      <c r="I199" s="24"/>
      <c r="J199" s="24"/>
      <c r="K199" s="24"/>
      <c r="L199" s="24"/>
      <c r="M199" s="24"/>
      <c r="N199" s="24"/>
      <c r="O199" s="24"/>
      <c r="P199" s="24"/>
      <c r="Q199" s="24"/>
      <c r="R199" s="24"/>
      <c r="S199" s="24"/>
      <c r="T199" s="24"/>
      <c r="U199" s="24"/>
      <c r="V199" s="24"/>
      <c r="W199" s="24"/>
      <c r="X199" s="24"/>
      <c r="Y199" s="24"/>
      <c r="Z199" s="24"/>
      <c r="AA199" s="24"/>
      <c r="AB199" s="24"/>
      <c r="AC199" s="24"/>
      <c r="AD199" s="24"/>
      <c r="AE199" s="24"/>
      <c r="AF199" s="24"/>
      <c r="AG199" s="24"/>
      <c r="AH199" s="24"/>
      <c r="AI199" s="24"/>
      <c r="AJ199" s="24"/>
    </row>
    <row r="200" ht="15.75" customHeight="1">
      <c r="F200" s="24"/>
      <c r="G200" s="24"/>
      <c r="H200" s="24"/>
      <c r="I200" s="24"/>
      <c r="J200" s="24"/>
      <c r="K200" s="24"/>
      <c r="L200" s="24"/>
      <c r="M200" s="24"/>
      <c r="N200" s="24"/>
      <c r="O200" s="24"/>
      <c r="P200" s="24"/>
      <c r="Q200" s="24"/>
      <c r="R200" s="24"/>
      <c r="S200" s="24"/>
      <c r="T200" s="24"/>
      <c r="U200" s="24"/>
      <c r="V200" s="24"/>
      <c r="W200" s="24"/>
      <c r="X200" s="24"/>
      <c r="Y200" s="24"/>
      <c r="Z200" s="24"/>
      <c r="AA200" s="24"/>
      <c r="AB200" s="24"/>
      <c r="AC200" s="24"/>
      <c r="AD200" s="24"/>
      <c r="AE200" s="24"/>
      <c r="AF200" s="24"/>
      <c r="AG200" s="24"/>
      <c r="AH200" s="24"/>
      <c r="AI200" s="24"/>
      <c r="AJ200" s="24"/>
    </row>
    <row r="201" ht="15.75" customHeight="1">
      <c r="F201" s="24"/>
      <c r="G201" s="24"/>
      <c r="H201" s="24"/>
      <c r="I201" s="24"/>
      <c r="J201" s="24"/>
      <c r="K201" s="24"/>
      <c r="L201" s="24"/>
      <c r="M201" s="24"/>
      <c r="N201" s="24"/>
      <c r="O201" s="24"/>
      <c r="P201" s="24"/>
      <c r="Q201" s="24"/>
      <c r="R201" s="24"/>
      <c r="S201" s="24"/>
      <c r="T201" s="24"/>
      <c r="U201" s="24"/>
      <c r="V201" s="24"/>
      <c r="W201" s="24"/>
      <c r="X201" s="24"/>
      <c r="Y201" s="24"/>
      <c r="Z201" s="24"/>
      <c r="AA201" s="24"/>
      <c r="AB201" s="24"/>
      <c r="AC201" s="24"/>
      <c r="AD201" s="24"/>
      <c r="AE201" s="24"/>
      <c r="AF201" s="24"/>
      <c r="AG201" s="24"/>
      <c r="AH201" s="24"/>
      <c r="AI201" s="24"/>
      <c r="AJ201" s="24"/>
    </row>
    <row r="202" ht="15.75" customHeight="1">
      <c r="F202" s="24"/>
      <c r="G202" s="24"/>
      <c r="H202" s="24"/>
      <c r="I202" s="24"/>
      <c r="J202" s="24"/>
      <c r="K202" s="24"/>
      <c r="L202" s="24"/>
      <c r="M202" s="24"/>
      <c r="N202" s="24"/>
      <c r="O202" s="24"/>
      <c r="P202" s="24"/>
      <c r="Q202" s="24"/>
      <c r="R202" s="24"/>
      <c r="S202" s="24"/>
      <c r="T202" s="24"/>
      <c r="U202" s="24"/>
      <c r="V202" s="24"/>
      <c r="W202" s="24"/>
      <c r="X202" s="24"/>
      <c r="Y202" s="24"/>
      <c r="Z202" s="24"/>
      <c r="AA202" s="24"/>
      <c r="AB202" s="24"/>
      <c r="AC202" s="24"/>
      <c r="AD202" s="24"/>
      <c r="AE202" s="24"/>
      <c r="AF202" s="24"/>
      <c r="AG202" s="24"/>
      <c r="AH202" s="24"/>
      <c r="AI202" s="24"/>
      <c r="AJ202" s="24"/>
    </row>
    <row r="203" ht="15.75" customHeight="1">
      <c r="F203" s="24"/>
      <c r="G203" s="24"/>
      <c r="H203" s="24"/>
      <c r="I203" s="24"/>
      <c r="J203" s="24"/>
      <c r="K203" s="24"/>
      <c r="L203" s="24"/>
      <c r="M203" s="24"/>
      <c r="N203" s="24"/>
      <c r="O203" s="24"/>
      <c r="P203" s="24"/>
      <c r="Q203" s="24"/>
      <c r="R203" s="24"/>
      <c r="S203" s="24"/>
      <c r="T203" s="24"/>
      <c r="U203" s="24"/>
      <c r="V203" s="24"/>
      <c r="W203" s="24"/>
      <c r="X203" s="24"/>
      <c r="Y203" s="24"/>
      <c r="Z203" s="24"/>
      <c r="AA203" s="24"/>
      <c r="AB203" s="24"/>
      <c r="AC203" s="24"/>
      <c r="AD203" s="24"/>
      <c r="AE203" s="24"/>
      <c r="AF203" s="24"/>
      <c r="AG203" s="24"/>
      <c r="AH203" s="24"/>
      <c r="AI203" s="24"/>
      <c r="AJ203" s="24"/>
    </row>
    <row r="204" ht="15.75" customHeight="1">
      <c r="F204" s="24"/>
      <c r="G204" s="24"/>
      <c r="H204" s="24"/>
      <c r="I204" s="24"/>
      <c r="J204" s="24"/>
      <c r="K204" s="24"/>
      <c r="L204" s="24"/>
      <c r="M204" s="24"/>
      <c r="N204" s="24"/>
      <c r="O204" s="24"/>
      <c r="P204" s="24"/>
      <c r="Q204" s="24"/>
      <c r="R204" s="24"/>
      <c r="S204" s="24"/>
      <c r="T204" s="24"/>
      <c r="U204" s="24"/>
      <c r="V204" s="24"/>
      <c r="W204" s="24"/>
      <c r="X204" s="24"/>
      <c r="Y204" s="24"/>
      <c r="Z204" s="24"/>
      <c r="AA204" s="24"/>
      <c r="AB204" s="24"/>
      <c r="AC204" s="24"/>
      <c r="AD204" s="24"/>
      <c r="AE204" s="24"/>
      <c r="AF204" s="24"/>
      <c r="AG204" s="24"/>
      <c r="AH204" s="24"/>
      <c r="AI204" s="24"/>
      <c r="AJ204" s="24"/>
    </row>
    <row r="205" ht="15.75" customHeight="1">
      <c r="F205" s="24"/>
      <c r="G205" s="24"/>
      <c r="H205" s="24"/>
      <c r="I205" s="24"/>
      <c r="J205" s="24"/>
      <c r="K205" s="24"/>
      <c r="L205" s="24"/>
      <c r="M205" s="24"/>
      <c r="N205" s="24"/>
      <c r="O205" s="24"/>
      <c r="P205" s="24"/>
      <c r="Q205" s="24"/>
      <c r="R205" s="24"/>
      <c r="S205" s="24"/>
      <c r="T205" s="24"/>
      <c r="U205" s="24"/>
      <c r="V205" s="24"/>
      <c r="W205" s="24"/>
      <c r="X205" s="24"/>
      <c r="Y205" s="24"/>
      <c r="Z205" s="24"/>
      <c r="AA205" s="24"/>
      <c r="AB205" s="24"/>
      <c r="AC205" s="24"/>
      <c r="AD205" s="24"/>
      <c r="AE205" s="24"/>
      <c r="AF205" s="24"/>
      <c r="AG205" s="24"/>
      <c r="AH205" s="24"/>
      <c r="AI205" s="24"/>
      <c r="AJ205" s="24"/>
    </row>
    <row r="206" ht="15.75" customHeight="1">
      <c r="F206" s="24"/>
      <c r="G206" s="24"/>
      <c r="H206" s="24"/>
      <c r="I206" s="24"/>
      <c r="J206" s="24"/>
      <c r="K206" s="24"/>
      <c r="L206" s="24"/>
      <c r="M206" s="24"/>
      <c r="N206" s="24"/>
      <c r="O206" s="24"/>
      <c r="P206" s="24"/>
      <c r="Q206" s="24"/>
      <c r="R206" s="24"/>
      <c r="S206" s="24"/>
      <c r="T206" s="24"/>
      <c r="U206" s="24"/>
      <c r="V206" s="24"/>
      <c r="W206" s="24"/>
      <c r="X206" s="24"/>
      <c r="Y206" s="24"/>
      <c r="Z206" s="24"/>
      <c r="AA206" s="24"/>
      <c r="AB206" s="24"/>
      <c r="AC206" s="24"/>
      <c r="AD206" s="24"/>
      <c r="AE206" s="24"/>
      <c r="AF206" s="24"/>
      <c r="AG206" s="24"/>
      <c r="AH206" s="24"/>
      <c r="AI206" s="24"/>
      <c r="AJ206" s="24"/>
    </row>
    <row r="207" ht="15.75" customHeight="1">
      <c r="F207" s="24"/>
      <c r="G207" s="24"/>
      <c r="H207" s="24"/>
      <c r="I207" s="24"/>
      <c r="J207" s="24"/>
      <c r="K207" s="24"/>
      <c r="L207" s="24"/>
      <c r="M207" s="24"/>
      <c r="N207" s="24"/>
      <c r="O207" s="24"/>
      <c r="P207" s="24"/>
      <c r="Q207" s="24"/>
      <c r="R207" s="24"/>
      <c r="S207" s="24"/>
      <c r="T207" s="24"/>
      <c r="U207" s="24"/>
      <c r="V207" s="24"/>
      <c r="W207" s="24"/>
      <c r="X207" s="24"/>
      <c r="Y207" s="24"/>
      <c r="Z207" s="24"/>
      <c r="AA207" s="24"/>
      <c r="AB207" s="24"/>
      <c r="AC207" s="24"/>
      <c r="AD207" s="24"/>
      <c r="AE207" s="24"/>
      <c r="AF207" s="24"/>
      <c r="AG207" s="24"/>
      <c r="AH207" s="24"/>
      <c r="AI207" s="24"/>
      <c r="AJ207" s="24"/>
    </row>
    <row r="208" ht="15.75" customHeight="1">
      <c r="F208" s="24"/>
      <c r="G208" s="24"/>
      <c r="H208" s="24"/>
      <c r="I208" s="24"/>
      <c r="J208" s="24"/>
      <c r="K208" s="24"/>
      <c r="L208" s="24"/>
      <c r="M208" s="24"/>
      <c r="N208" s="24"/>
      <c r="O208" s="24"/>
      <c r="P208" s="24"/>
      <c r="Q208" s="24"/>
      <c r="R208" s="24"/>
      <c r="S208" s="24"/>
      <c r="T208" s="24"/>
      <c r="U208" s="24"/>
      <c r="V208" s="24"/>
      <c r="W208" s="24"/>
      <c r="X208" s="24"/>
      <c r="Y208" s="24"/>
      <c r="Z208" s="24"/>
      <c r="AA208" s="24"/>
      <c r="AB208" s="24"/>
      <c r="AC208" s="24"/>
      <c r="AD208" s="24"/>
      <c r="AE208" s="24"/>
      <c r="AF208" s="24"/>
      <c r="AG208" s="24"/>
      <c r="AH208" s="24"/>
      <c r="AI208" s="24"/>
      <c r="AJ208" s="24"/>
    </row>
    <row r="209" ht="15.75" customHeight="1">
      <c r="F209" s="24"/>
      <c r="G209" s="24"/>
      <c r="H209" s="24"/>
      <c r="I209" s="24"/>
      <c r="J209" s="24"/>
      <c r="K209" s="24"/>
      <c r="L209" s="24"/>
      <c r="M209" s="24"/>
      <c r="N209" s="24"/>
      <c r="O209" s="24"/>
      <c r="P209" s="24"/>
      <c r="Q209" s="24"/>
      <c r="R209" s="24"/>
      <c r="S209" s="24"/>
      <c r="T209" s="24"/>
      <c r="U209" s="24"/>
      <c r="V209" s="24"/>
      <c r="W209" s="24"/>
      <c r="X209" s="24"/>
      <c r="Y209" s="24"/>
      <c r="Z209" s="24"/>
      <c r="AA209" s="24"/>
      <c r="AB209" s="24"/>
      <c r="AC209" s="24"/>
      <c r="AD209" s="24"/>
      <c r="AE209" s="24"/>
      <c r="AF209" s="24"/>
      <c r="AG209" s="24"/>
      <c r="AH209" s="24"/>
      <c r="AI209" s="24"/>
      <c r="AJ209" s="24"/>
    </row>
    <row r="210" ht="15.75" customHeight="1">
      <c r="F210" s="24"/>
      <c r="G210" s="24"/>
      <c r="H210" s="24"/>
      <c r="I210" s="24"/>
      <c r="J210" s="24"/>
      <c r="K210" s="24"/>
      <c r="L210" s="24"/>
      <c r="M210" s="24"/>
      <c r="N210" s="24"/>
      <c r="O210" s="24"/>
      <c r="P210" s="24"/>
      <c r="Q210" s="24"/>
      <c r="R210" s="24"/>
      <c r="S210" s="24"/>
      <c r="T210" s="24"/>
      <c r="U210" s="24"/>
      <c r="V210" s="24"/>
      <c r="W210" s="24"/>
      <c r="X210" s="24"/>
      <c r="Y210" s="24"/>
      <c r="Z210" s="24"/>
      <c r="AA210" s="24"/>
      <c r="AB210" s="24"/>
      <c r="AC210" s="24"/>
      <c r="AD210" s="24"/>
      <c r="AE210" s="24"/>
      <c r="AF210" s="24"/>
      <c r="AG210" s="24"/>
      <c r="AH210" s="24"/>
      <c r="AI210" s="24"/>
      <c r="AJ210" s="24"/>
    </row>
    <row r="211" ht="15.75" customHeight="1">
      <c r="F211" s="24"/>
      <c r="G211" s="24"/>
      <c r="H211" s="24"/>
      <c r="I211" s="24"/>
      <c r="J211" s="24"/>
      <c r="K211" s="24"/>
      <c r="L211" s="24"/>
      <c r="M211" s="24"/>
      <c r="N211" s="24"/>
      <c r="O211" s="24"/>
      <c r="P211" s="24"/>
      <c r="Q211" s="24"/>
      <c r="R211" s="24"/>
      <c r="S211" s="24"/>
      <c r="T211" s="24"/>
      <c r="U211" s="24"/>
      <c r="V211" s="24"/>
      <c r="W211" s="24"/>
      <c r="X211" s="24"/>
      <c r="Y211" s="24"/>
      <c r="Z211" s="24"/>
      <c r="AA211" s="24"/>
      <c r="AB211" s="24"/>
      <c r="AC211" s="24"/>
      <c r="AD211" s="24"/>
      <c r="AE211" s="24"/>
      <c r="AF211" s="24"/>
      <c r="AG211" s="24"/>
      <c r="AH211" s="24"/>
      <c r="AI211" s="24"/>
      <c r="AJ211" s="24"/>
    </row>
    <row r="212" ht="15.75" customHeight="1">
      <c r="F212" s="24"/>
      <c r="G212" s="24"/>
      <c r="H212" s="24"/>
      <c r="I212" s="24"/>
      <c r="J212" s="24"/>
      <c r="K212" s="24"/>
      <c r="L212" s="24"/>
      <c r="M212" s="24"/>
      <c r="N212" s="24"/>
      <c r="O212" s="24"/>
      <c r="P212" s="24"/>
      <c r="Q212" s="24"/>
      <c r="R212" s="24"/>
      <c r="S212" s="24"/>
      <c r="T212" s="24"/>
      <c r="U212" s="24"/>
      <c r="V212" s="24"/>
      <c r="W212" s="24"/>
      <c r="X212" s="24"/>
      <c r="Y212" s="24"/>
      <c r="Z212" s="24"/>
      <c r="AA212" s="24"/>
      <c r="AB212" s="24"/>
      <c r="AC212" s="24"/>
      <c r="AD212" s="24"/>
      <c r="AE212" s="24"/>
      <c r="AF212" s="24"/>
      <c r="AG212" s="24"/>
      <c r="AH212" s="24"/>
      <c r="AI212" s="24"/>
      <c r="AJ212" s="24"/>
    </row>
    <row r="213" ht="15.75" customHeight="1">
      <c r="F213" s="24"/>
      <c r="G213" s="24"/>
      <c r="H213" s="24"/>
      <c r="I213" s="24"/>
      <c r="J213" s="24"/>
      <c r="K213" s="24"/>
      <c r="L213" s="24"/>
      <c r="M213" s="24"/>
      <c r="N213" s="24"/>
      <c r="O213" s="24"/>
      <c r="P213" s="24"/>
      <c r="Q213" s="24"/>
      <c r="R213" s="24"/>
      <c r="S213" s="24"/>
      <c r="T213" s="24"/>
      <c r="U213" s="24"/>
      <c r="V213" s="24"/>
      <c r="W213" s="24"/>
      <c r="X213" s="24"/>
      <c r="Y213" s="24"/>
      <c r="Z213" s="24"/>
      <c r="AA213" s="24"/>
      <c r="AB213" s="24"/>
      <c r="AC213" s="24"/>
      <c r="AD213" s="24"/>
      <c r="AE213" s="24"/>
      <c r="AF213" s="24"/>
      <c r="AG213" s="24"/>
      <c r="AH213" s="24"/>
      <c r="AI213" s="24"/>
      <c r="AJ213" s="24"/>
    </row>
    <row r="214" ht="15.75" customHeight="1">
      <c r="F214" s="24"/>
      <c r="G214" s="24"/>
      <c r="H214" s="24"/>
      <c r="I214" s="24"/>
      <c r="J214" s="24"/>
      <c r="K214" s="24"/>
      <c r="L214" s="24"/>
      <c r="M214" s="24"/>
      <c r="N214" s="24"/>
      <c r="O214" s="24"/>
      <c r="P214" s="24"/>
      <c r="Q214" s="24"/>
      <c r="R214" s="24"/>
      <c r="S214" s="24"/>
      <c r="T214" s="24"/>
      <c r="U214" s="24"/>
      <c r="V214" s="24"/>
      <c r="W214" s="24"/>
      <c r="X214" s="24"/>
      <c r="Y214" s="24"/>
      <c r="Z214" s="24"/>
      <c r="AA214" s="24"/>
      <c r="AB214" s="24"/>
      <c r="AC214" s="24"/>
      <c r="AD214" s="24"/>
      <c r="AE214" s="24"/>
      <c r="AF214" s="24"/>
      <c r="AG214" s="24"/>
      <c r="AH214" s="24"/>
      <c r="AI214" s="24"/>
      <c r="AJ214" s="24"/>
    </row>
    <row r="215" ht="15.75" customHeight="1">
      <c r="F215" s="24"/>
      <c r="G215" s="24"/>
      <c r="H215" s="24"/>
      <c r="I215" s="24"/>
      <c r="J215" s="24"/>
      <c r="K215" s="24"/>
      <c r="L215" s="24"/>
      <c r="M215" s="24"/>
      <c r="N215" s="24"/>
      <c r="O215" s="24"/>
      <c r="P215" s="24"/>
      <c r="Q215" s="24"/>
      <c r="R215" s="24"/>
      <c r="S215" s="24"/>
      <c r="T215" s="24"/>
      <c r="U215" s="24"/>
      <c r="V215" s="24"/>
      <c r="W215" s="24"/>
      <c r="X215" s="24"/>
      <c r="Y215" s="24"/>
      <c r="Z215" s="24"/>
      <c r="AA215" s="24"/>
      <c r="AB215" s="24"/>
      <c r="AC215" s="24"/>
      <c r="AD215" s="24"/>
      <c r="AE215" s="24"/>
      <c r="AF215" s="24"/>
      <c r="AG215" s="24"/>
      <c r="AH215" s="24"/>
      <c r="AI215" s="24"/>
      <c r="AJ215" s="24"/>
    </row>
    <row r="216" ht="15.75" customHeight="1">
      <c r="F216" s="24"/>
      <c r="G216" s="24"/>
      <c r="H216" s="24"/>
      <c r="I216" s="24"/>
      <c r="J216" s="24"/>
      <c r="K216" s="24"/>
      <c r="L216" s="24"/>
      <c r="M216" s="24"/>
      <c r="N216" s="24"/>
      <c r="O216" s="24"/>
      <c r="P216" s="24"/>
      <c r="Q216" s="24"/>
      <c r="R216" s="24"/>
      <c r="S216" s="24"/>
      <c r="T216" s="24"/>
      <c r="U216" s="24"/>
      <c r="V216" s="24"/>
      <c r="W216" s="24"/>
      <c r="X216" s="24"/>
      <c r="Y216" s="24"/>
      <c r="Z216" s="24"/>
      <c r="AA216" s="24"/>
      <c r="AB216" s="24"/>
      <c r="AC216" s="24"/>
      <c r="AD216" s="24"/>
      <c r="AE216" s="24"/>
      <c r="AF216" s="24"/>
      <c r="AG216" s="24"/>
      <c r="AH216" s="24"/>
      <c r="AI216" s="24"/>
      <c r="AJ216" s="24"/>
    </row>
    <row r="217" ht="15.75" customHeight="1">
      <c r="F217" s="24"/>
      <c r="G217" s="24"/>
      <c r="H217" s="24"/>
      <c r="I217" s="24"/>
      <c r="J217" s="24"/>
      <c r="K217" s="24"/>
      <c r="L217" s="24"/>
      <c r="M217" s="24"/>
      <c r="N217" s="24"/>
      <c r="O217" s="24"/>
      <c r="P217" s="24"/>
      <c r="Q217" s="24"/>
      <c r="R217" s="24"/>
      <c r="S217" s="24"/>
      <c r="T217" s="24"/>
      <c r="U217" s="24"/>
      <c r="V217" s="24"/>
      <c r="W217" s="24"/>
      <c r="X217" s="24"/>
      <c r="Y217" s="24"/>
      <c r="Z217" s="24"/>
      <c r="AA217" s="24"/>
      <c r="AB217" s="24"/>
      <c r="AC217" s="24"/>
      <c r="AD217" s="24"/>
      <c r="AE217" s="24"/>
      <c r="AF217" s="24"/>
      <c r="AG217" s="24"/>
      <c r="AH217" s="24"/>
      <c r="AI217" s="24"/>
      <c r="AJ217" s="24"/>
    </row>
    <row r="218" ht="15.75" customHeight="1">
      <c r="F218" s="24"/>
      <c r="G218" s="24"/>
      <c r="H218" s="24"/>
      <c r="I218" s="24"/>
      <c r="J218" s="24"/>
      <c r="K218" s="24"/>
      <c r="L218" s="24"/>
      <c r="M218" s="24"/>
      <c r="N218" s="24"/>
      <c r="O218" s="24"/>
      <c r="P218" s="24"/>
      <c r="Q218" s="24"/>
      <c r="R218" s="24"/>
      <c r="S218" s="24"/>
      <c r="T218" s="24"/>
      <c r="U218" s="24"/>
      <c r="V218" s="24"/>
      <c r="W218" s="24"/>
      <c r="X218" s="24"/>
      <c r="Y218" s="24"/>
      <c r="Z218" s="24"/>
      <c r="AA218" s="24"/>
      <c r="AB218" s="24"/>
      <c r="AC218" s="24"/>
      <c r="AD218" s="24"/>
      <c r="AE218" s="24"/>
      <c r="AF218" s="24"/>
      <c r="AG218" s="24"/>
      <c r="AH218" s="24"/>
      <c r="AI218" s="24"/>
      <c r="AJ218" s="24"/>
    </row>
    <row r="219" ht="15.75" customHeight="1">
      <c r="F219" s="24"/>
      <c r="G219" s="24"/>
      <c r="H219" s="24"/>
      <c r="I219" s="24"/>
      <c r="J219" s="24"/>
      <c r="K219" s="24"/>
      <c r="L219" s="24"/>
      <c r="M219" s="24"/>
      <c r="N219" s="24"/>
      <c r="O219" s="24"/>
      <c r="P219" s="24"/>
      <c r="Q219" s="24"/>
      <c r="R219" s="24"/>
      <c r="S219" s="24"/>
      <c r="T219" s="24"/>
      <c r="U219" s="24"/>
      <c r="V219" s="24"/>
      <c r="W219" s="24"/>
      <c r="X219" s="24"/>
      <c r="Y219" s="24"/>
      <c r="Z219" s="24"/>
      <c r="AA219" s="24"/>
      <c r="AB219" s="24"/>
      <c r="AC219" s="24"/>
      <c r="AD219" s="24"/>
      <c r="AE219" s="24"/>
      <c r="AF219" s="24"/>
      <c r="AG219" s="24"/>
      <c r="AH219" s="24"/>
      <c r="AI219" s="24"/>
      <c r="AJ219" s="24"/>
    </row>
    <row r="220" ht="15.75" customHeight="1">
      <c r="F220" s="24"/>
      <c r="G220" s="24"/>
      <c r="H220" s="24"/>
      <c r="I220" s="24"/>
      <c r="J220" s="24"/>
      <c r="K220" s="24"/>
      <c r="L220" s="24"/>
      <c r="M220" s="24"/>
      <c r="N220" s="24"/>
      <c r="O220" s="24"/>
      <c r="P220" s="24"/>
      <c r="Q220" s="24"/>
      <c r="R220" s="24"/>
      <c r="S220" s="24"/>
      <c r="T220" s="24"/>
      <c r="U220" s="24"/>
      <c r="V220" s="24"/>
      <c r="W220" s="24"/>
      <c r="X220" s="24"/>
      <c r="Y220" s="24"/>
      <c r="Z220" s="24"/>
      <c r="AA220" s="24"/>
      <c r="AB220" s="24"/>
      <c r="AC220" s="24"/>
      <c r="AD220" s="24"/>
      <c r="AE220" s="24"/>
      <c r="AF220" s="24"/>
      <c r="AG220" s="24"/>
      <c r="AH220" s="24"/>
      <c r="AI220" s="24"/>
      <c r="AJ220" s="24"/>
    </row>
    <row r="221" ht="15.75" customHeight="1">
      <c r="F221" s="24"/>
      <c r="G221" s="24"/>
      <c r="H221" s="24"/>
      <c r="I221" s="24"/>
      <c r="J221" s="24"/>
      <c r="K221" s="24"/>
      <c r="L221" s="24"/>
      <c r="M221" s="24"/>
      <c r="N221" s="24"/>
      <c r="O221" s="24"/>
      <c r="P221" s="24"/>
      <c r="Q221" s="24"/>
      <c r="R221" s="24"/>
      <c r="S221" s="24"/>
      <c r="T221" s="24"/>
      <c r="U221" s="24"/>
      <c r="V221" s="24"/>
      <c r="W221" s="24"/>
      <c r="X221" s="24"/>
      <c r="Y221" s="24"/>
      <c r="Z221" s="24"/>
      <c r="AA221" s="24"/>
      <c r="AB221" s="24"/>
      <c r="AC221" s="24"/>
      <c r="AD221" s="24"/>
      <c r="AE221" s="24"/>
      <c r="AF221" s="24"/>
      <c r="AG221" s="24"/>
      <c r="AH221" s="24"/>
      <c r="AI221" s="24"/>
      <c r="AJ221" s="24"/>
    </row>
    <row r="222" ht="15.75" customHeight="1">
      <c r="F222" s="24"/>
      <c r="G222" s="24"/>
      <c r="H222" s="24"/>
      <c r="I222" s="24"/>
      <c r="J222" s="24"/>
      <c r="K222" s="24"/>
      <c r="L222" s="24"/>
      <c r="M222" s="24"/>
      <c r="N222" s="24"/>
      <c r="O222" s="24"/>
      <c r="P222" s="24"/>
      <c r="Q222" s="24"/>
      <c r="R222" s="24"/>
      <c r="S222" s="24"/>
      <c r="T222" s="24"/>
      <c r="U222" s="24"/>
      <c r="V222" s="24"/>
      <c r="W222" s="24"/>
      <c r="X222" s="24"/>
      <c r="Y222" s="24"/>
      <c r="Z222" s="24"/>
      <c r="AA222" s="24"/>
      <c r="AB222" s="24"/>
      <c r="AC222" s="24"/>
      <c r="AD222" s="24"/>
      <c r="AE222" s="24"/>
      <c r="AF222" s="24"/>
      <c r="AG222" s="24"/>
      <c r="AH222" s="24"/>
      <c r="AI222" s="24"/>
      <c r="AJ222" s="24"/>
    </row>
    <row r="223" ht="15.75" customHeight="1">
      <c r="F223" s="24"/>
      <c r="G223" s="24"/>
      <c r="H223" s="24"/>
      <c r="I223" s="24"/>
      <c r="J223" s="24"/>
      <c r="K223" s="24"/>
      <c r="L223" s="24"/>
      <c r="M223" s="24"/>
      <c r="N223" s="24"/>
      <c r="O223" s="24"/>
      <c r="P223" s="24"/>
      <c r="Q223" s="24"/>
      <c r="R223" s="24"/>
      <c r="S223" s="24"/>
      <c r="T223" s="24"/>
      <c r="U223" s="24"/>
      <c r="V223" s="24"/>
      <c r="W223" s="24"/>
      <c r="X223" s="24"/>
      <c r="Y223" s="24"/>
      <c r="Z223" s="24"/>
      <c r="AA223" s="24"/>
      <c r="AB223" s="24"/>
      <c r="AC223" s="24"/>
      <c r="AD223" s="24"/>
      <c r="AE223" s="24"/>
      <c r="AF223" s="24"/>
      <c r="AG223" s="24"/>
      <c r="AH223" s="24"/>
      <c r="AI223" s="24"/>
      <c r="AJ223" s="24"/>
    </row>
    <row r="224" ht="15.75" customHeight="1">
      <c r="F224" s="24"/>
      <c r="G224" s="24"/>
      <c r="H224" s="24"/>
      <c r="I224" s="24"/>
      <c r="J224" s="24"/>
      <c r="K224" s="24"/>
      <c r="L224" s="24"/>
      <c r="M224" s="24"/>
      <c r="N224" s="24"/>
      <c r="O224" s="24"/>
      <c r="P224" s="24"/>
      <c r="Q224" s="24"/>
      <c r="R224" s="24"/>
      <c r="S224" s="24"/>
      <c r="T224" s="24"/>
      <c r="U224" s="24"/>
      <c r="V224" s="24"/>
      <c r="W224" s="24"/>
      <c r="X224" s="24"/>
      <c r="Y224" s="24"/>
      <c r="Z224" s="24"/>
      <c r="AA224" s="24"/>
      <c r="AB224" s="24"/>
      <c r="AC224" s="24"/>
      <c r="AD224" s="24"/>
      <c r="AE224" s="24"/>
      <c r="AF224" s="24"/>
      <c r="AG224" s="24"/>
      <c r="AH224" s="24"/>
      <c r="AI224" s="24"/>
      <c r="AJ224" s="24"/>
    </row>
    <row r="225" ht="15.75" customHeight="1">
      <c r="F225" s="24"/>
      <c r="G225" s="24"/>
      <c r="H225" s="24"/>
      <c r="I225" s="24"/>
      <c r="J225" s="24"/>
      <c r="K225" s="24"/>
      <c r="L225" s="24"/>
      <c r="M225" s="24"/>
      <c r="N225" s="24"/>
      <c r="O225" s="24"/>
      <c r="P225" s="24"/>
      <c r="Q225" s="24"/>
      <c r="R225" s="24"/>
      <c r="S225" s="24"/>
      <c r="T225" s="24"/>
      <c r="U225" s="24"/>
      <c r="V225" s="24"/>
      <c r="W225" s="24"/>
      <c r="X225" s="24"/>
      <c r="Y225" s="24"/>
      <c r="Z225" s="24"/>
      <c r="AA225" s="24"/>
      <c r="AB225" s="24"/>
      <c r="AC225" s="24"/>
      <c r="AD225" s="24"/>
      <c r="AE225" s="24"/>
      <c r="AF225" s="24"/>
      <c r="AG225" s="24"/>
      <c r="AH225" s="24"/>
      <c r="AI225" s="24"/>
      <c r="AJ225" s="24"/>
    </row>
    <row r="226" ht="15.75" customHeight="1">
      <c r="F226" s="24"/>
      <c r="G226" s="24"/>
      <c r="H226" s="24"/>
      <c r="I226" s="24"/>
      <c r="J226" s="24"/>
      <c r="K226" s="24"/>
      <c r="L226" s="24"/>
      <c r="M226" s="24"/>
      <c r="N226" s="24"/>
      <c r="O226" s="24"/>
      <c r="P226" s="24"/>
      <c r="Q226" s="24"/>
      <c r="R226" s="24"/>
      <c r="S226" s="24"/>
      <c r="T226" s="24"/>
      <c r="U226" s="24"/>
      <c r="V226" s="24"/>
      <c r="W226" s="24"/>
      <c r="X226" s="24"/>
      <c r="Y226" s="24"/>
      <c r="Z226" s="24"/>
      <c r="AA226" s="24"/>
      <c r="AB226" s="24"/>
      <c r="AC226" s="24"/>
      <c r="AD226" s="24"/>
      <c r="AE226" s="24"/>
      <c r="AF226" s="24"/>
      <c r="AG226" s="24"/>
      <c r="AH226" s="24"/>
      <c r="AI226" s="24"/>
      <c r="AJ226" s="24"/>
    </row>
    <row r="227" ht="15.75" customHeight="1">
      <c r="F227" s="24"/>
      <c r="G227" s="24"/>
      <c r="H227" s="24"/>
      <c r="I227" s="24"/>
      <c r="J227" s="24"/>
      <c r="K227" s="24"/>
      <c r="L227" s="24"/>
      <c r="M227" s="24"/>
      <c r="N227" s="24"/>
      <c r="O227" s="24"/>
      <c r="P227" s="24"/>
      <c r="Q227" s="24"/>
      <c r="R227" s="24"/>
      <c r="S227" s="24"/>
      <c r="T227" s="24"/>
      <c r="U227" s="24"/>
      <c r="V227" s="24"/>
      <c r="W227" s="24"/>
      <c r="X227" s="24"/>
      <c r="Y227" s="24"/>
      <c r="Z227" s="24"/>
      <c r="AA227" s="24"/>
      <c r="AB227" s="24"/>
      <c r="AC227" s="24"/>
      <c r="AD227" s="24"/>
      <c r="AE227" s="24"/>
      <c r="AF227" s="24"/>
      <c r="AG227" s="24"/>
      <c r="AH227" s="24"/>
      <c r="AI227" s="24"/>
      <c r="AJ227" s="24"/>
    </row>
    <row r="228" ht="15.75" customHeight="1">
      <c r="F228" s="24"/>
      <c r="G228" s="24"/>
      <c r="H228" s="24"/>
      <c r="I228" s="24"/>
      <c r="J228" s="24"/>
      <c r="K228" s="24"/>
      <c r="L228" s="24"/>
      <c r="M228" s="24"/>
      <c r="N228" s="24"/>
      <c r="O228" s="24"/>
      <c r="P228" s="24"/>
      <c r="Q228" s="24"/>
      <c r="R228" s="24"/>
      <c r="S228" s="24"/>
      <c r="T228" s="24"/>
      <c r="U228" s="24"/>
      <c r="V228" s="24"/>
      <c r="W228" s="24"/>
      <c r="X228" s="24"/>
      <c r="Y228" s="24"/>
      <c r="Z228" s="24"/>
      <c r="AA228" s="24"/>
      <c r="AB228" s="24"/>
      <c r="AC228" s="24"/>
      <c r="AD228" s="24"/>
      <c r="AE228" s="24"/>
      <c r="AF228" s="24"/>
      <c r="AG228" s="24"/>
      <c r="AH228" s="24"/>
      <c r="AI228" s="24"/>
      <c r="AJ228" s="24"/>
    </row>
    <row r="229" ht="15.75" customHeight="1">
      <c r="F229" s="24"/>
      <c r="G229" s="24"/>
      <c r="H229" s="24"/>
      <c r="I229" s="24"/>
      <c r="J229" s="24"/>
      <c r="K229" s="24"/>
      <c r="L229" s="24"/>
      <c r="M229" s="24"/>
      <c r="N229" s="24"/>
      <c r="O229" s="24"/>
      <c r="P229" s="24"/>
      <c r="Q229" s="24"/>
      <c r="R229" s="24"/>
      <c r="S229" s="24"/>
      <c r="T229" s="24"/>
      <c r="U229" s="24"/>
      <c r="V229" s="24"/>
      <c r="W229" s="24"/>
      <c r="X229" s="24"/>
      <c r="Y229" s="24"/>
      <c r="Z229" s="24"/>
      <c r="AA229" s="24"/>
      <c r="AB229" s="24"/>
      <c r="AC229" s="24"/>
      <c r="AD229" s="24"/>
      <c r="AE229" s="24"/>
      <c r="AF229" s="24"/>
      <c r="AG229" s="24"/>
      <c r="AH229" s="24"/>
      <c r="AI229" s="24"/>
      <c r="AJ229" s="24"/>
    </row>
    <row r="230" ht="15.75" customHeight="1">
      <c r="F230" s="24"/>
      <c r="G230" s="24"/>
      <c r="H230" s="24"/>
      <c r="I230" s="24"/>
      <c r="J230" s="24"/>
      <c r="K230" s="24"/>
      <c r="L230" s="24"/>
      <c r="M230" s="24"/>
      <c r="N230" s="24"/>
      <c r="O230" s="24"/>
      <c r="P230" s="24"/>
      <c r="Q230" s="24"/>
      <c r="R230" s="24"/>
      <c r="S230" s="24"/>
      <c r="T230" s="24"/>
      <c r="U230" s="24"/>
      <c r="V230" s="24"/>
      <c r="W230" s="24"/>
      <c r="X230" s="24"/>
      <c r="Y230" s="24"/>
      <c r="Z230" s="24"/>
      <c r="AA230" s="24"/>
      <c r="AB230" s="24"/>
      <c r="AC230" s="24"/>
      <c r="AD230" s="24"/>
      <c r="AE230" s="24"/>
      <c r="AF230" s="24"/>
      <c r="AG230" s="24"/>
      <c r="AH230" s="24"/>
      <c r="AI230" s="24"/>
      <c r="AJ230" s="24"/>
    </row>
    <row r="231" ht="15.75" customHeight="1">
      <c r="F231" s="24"/>
      <c r="G231" s="24"/>
      <c r="H231" s="24"/>
      <c r="I231" s="24"/>
      <c r="J231" s="24"/>
      <c r="K231" s="24"/>
      <c r="L231" s="24"/>
      <c r="M231" s="24"/>
      <c r="N231" s="24"/>
      <c r="O231" s="24"/>
      <c r="P231" s="24"/>
      <c r="Q231" s="24"/>
      <c r="R231" s="24"/>
      <c r="S231" s="24"/>
      <c r="T231" s="24"/>
      <c r="U231" s="24"/>
      <c r="V231" s="24"/>
      <c r="W231" s="24"/>
      <c r="X231" s="24"/>
      <c r="Y231" s="24"/>
      <c r="Z231" s="24"/>
      <c r="AA231" s="24"/>
      <c r="AB231" s="24"/>
      <c r="AC231" s="24"/>
      <c r="AD231" s="24"/>
      <c r="AE231" s="24"/>
      <c r="AF231" s="24"/>
      <c r="AG231" s="24"/>
      <c r="AH231" s="24"/>
      <c r="AI231" s="24"/>
      <c r="AJ231" s="24"/>
    </row>
    <row r="232" ht="15.75" customHeight="1">
      <c r="F232" s="24"/>
      <c r="G232" s="24"/>
      <c r="H232" s="24"/>
      <c r="I232" s="24"/>
      <c r="J232" s="24"/>
      <c r="K232" s="24"/>
      <c r="L232" s="24"/>
      <c r="M232" s="24"/>
      <c r="N232" s="24"/>
      <c r="O232" s="24"/>
      <c r="P232" s="24"/>
      <c r="Q232" s="24"/>
      <c r="R232" s="24"/>
      <c r="S232" s="24"/>
      <c r="T232" s="24"/>
      <c r="U232" s="24"/>
      <c r="V232" s="24"/>
      <c r="W232" s="24"/>
      <c r="X232" s="24"/>
      <c r="Y232" s="24"/>
      <c r="Z232" s="24"/>
      <c r="AA232" s="24"/>
      <c r="AB232" s="24"/>
      <c r="AC232" s="24"/>
      <c r="AD232" s="24"/>
      <c r="AE232" s="24"/>
      <c r="AF232" s="24"/>
      <c r="AG232" s="24"/>
      <c r="AH232" s="24"/>
      <c r="AI232" s="24"/>
      <c r="AJ232" s="24"/>
    </row>
    <row r="233" ht="15.75" customHeight="1">
      <c r="F233" s="24"/>
      <c r="G233" s="24"/>
      <c r="H233" s="24"/>
      <c r="I233" s="24"/>
      <c r="J233" s="24"/>
      <c r="K233" s="24"/>
      <c r="L233" s="24"/>
      <c r="M233" s="24"/>
      <c r="N233" s="24"/>
      <c r="O233" s="24"/>
      <c r="P233" s="24"/>
      <c r="Q233" s="24"/>
      <c r="R233" s="24"/>
      <c r="S233" s="24"/>
      <c r="T233" s="24"/>
      <c r="U233" s="24"/>
      <c r="V233" s="24"/>
      <c r="W233" s="24"/>
      <c r="X233" s="24"/>
      <c r="Y233" s="24"/>
      <c r="Z233" s="24"/>
      <c r="AA233" s="24"/>
      <c r="AB233" s="24"/>
      <c r="AC233" s="24"/>
      <c r="AD233" s="24"/>
      <c r="AE233" s="24"/>
      <c r="AF233" s="24"/>
      <c r="AG233" s="24"/>
      <c r="AH233" s="24"/>
      <c r="AI233" s="24"/>
      <c r="AJ233" s="24"/>
    </row>
    <row r="234" ht="15.75" customHeight="1">
      <c r="F234" s="24"/>
      <c r="G234" s="24"/>
      <c r="H234" s="24"/>
      <c r="I234" s="24"/>
      <c r="J234" s="24"/>
      <c r="K234" s="24"/>
      <c r="L234" s="24"/>
      <c r="M234" s="24"/>
      <c r="N234" s="24"/>
      <c r="O234" s="24"/>
      <c r="P234" s="24"/>
      <c r="Q234" s="24"/>
      <c r="R234" s="24"/>
      <c r="S234" s="24"/>
      <c r="T234" s="24"/>
      <c r="U234" s="24"/>
      <c r="V234" s="24"/>
      <c r="W234" s="24"/>
      <c r="X234" s="24"/>
      <c r="Y234" s="24"/>
      <c r="Z234" s="24"/>
      <c r="AA234" s="24"/>
      <c r="AB234" s="24"/>
      <c r="AC234" s="24"/>
      <c r="AD234" s="24"/>
      <c r="AE234" s="24"/>
      <c r="AF234" s="24"/>
      <c r="AG234" s="24"/>
      <c r="AH234" s="24"/>
      <c r="AI234" s="24"/>
      <c r="AJ234" s="24"/>
    </row>
    <row r="235" ht="15.75" customHeight="1">
      <c r="F235" s="24"/>
      <c r="G235" s="24"/>
      <c r="H235" s="24"/>
      <c r="I235" s="24"/>
      <c r="J235" s="24"/>
      <c r="K235" s="24"/>
      <c r="L235" s="24"/>
      <c r="M235" s="24"/>
      <c r="N235" s="24"/>
      <c r="O235" s="24"/>
      <c r="P235" s="24"/>
      <c r="Q235" s="24"/>
      <c r="R235" s="24"/>
      <c r="S235" s="24"/>
      <c r="T235" s="24"/>
      <c r="U235" s="24"/>
      <c r="V235" s="24"/>
      <c r="W235" s="24"/>
      <c r="X235" s="24"/>
      <c r="Y235" s="24"/>
      <c r="Z235" s="24"/>
      <c r="AA235" s="24"/>
      <c r="AB235" s="24"/>
      <c r="AC235" s="24"/>
      <c r="AD235" s="24"/>
      <c r="AE235" s="24"/>
      <c r="AF235" s="24"/>
      <c r="AG235" s="24"/>
      <c r="AH235" s="24"/>
      <c r="AI235" s="24"/>
      <c r="AJ235" s="24"/>
    </row>
    <row r="236" ht="15.75" customHeight="1">
      <c r="F236" s="24"/>
      <c r="G236" s="24"/>
      <c r="H236" s="24"/>
      <c r="I236" s="24"/>
      <c r="J236" s="24"/>
      <c r="K236" s="24"/>
      <c r="L236" s="24"/>
      <c r="M236" s="24"/>
      <c r="N236" s="24"/>
      <c r="O236" s="24"/>
      <c r="P236" s="24"/>
      <c r="Q236" s="24"/>
      <c r="R236" s="24"/>
      <c r="S236" s="24"/>
      <c r="T236" s="24"/>
      <c r="U236" s="24"/>
      <c r="V236" s="24"/>
      <c r="W236" s="24"/>
      <c r="X236" s="24"/>
      <c r="Y236" s="24"/>
      <c r="Z236" s="24"/>
      <c r="AA236" s="24"/>
      <c r="AB236" s="24"/>
      <c r="AC236" s="24"/>
      <c r="AD236" s="24"/>
      <c r="AE236" s="24"/>
      <c r="AF236" s="24"/>
      <c r="AG236" s="24"/>
      <c r="AH236" s="24"/>
      <c r="AI236" s="24"/>
      <c r="AJ236" s="24"/>
    </row>
    <row r="237" ht="15.75" customHeight="1">
      <c r="F237" s="24"/>
      <c r="G237" s="24"/>
      <c r="H237" s="24"/>
      <c r="I237" s="24"/>
      <c r="J237" s="24"/>
      <c r="K237" s="24"/>
      <c r="L237" s="24"/>
      <c r="M237" s="24"/>
      <c r="N237" s="24"/>
      <c r="O237" s="24"/>
      <c r="P237" s="24"/>
      <c r="Q237" s="24"/>
      <c r="R237" s="24"/>
      <c r="S237" s="24"/>
      <c r="T237" s="24"/>
      <c r="U237" s="24"/>
      <c r="V237" s="24"/>
      <c r="W237" s="24"/>
      <c r="X237" s="24"/>
      <c r="Y237" s="24"/>
      <c r="Z237" s="24"/>
      <c r="AA237" s="24"/>
      <c r="AB237" s="24"/>
      <c r="AC237" s="24"/>
      <c r="AD237" s="24"/>
      <c r="AE237" s="24"/>
      <c r="AF237" s="24"/>
      <c r="AG237" s="24"/>
      <c r="AH237" s="24"/>
      <c r="AI237" s="24"/>
      <c r="AJ237" s="24"/>
    </row>
    <row r="238" ht="15.75" customHeight="1">
      <c r="F238" s="24"/>
      <c r="G238" s="24"/>
      <c r="H238" s="24"/>
      <c r="I238" s="24"/>
      <c r="J238" s="24"/>
      <c r="K238" s="24"/>
      <c r="L238" s="24"/>
      <c r="M238" s="24"/>
      <c r="N238" s="24"/>
      <c r="O238" s="24"/>
      <c r="P238" s="24"/>
      <c r="Q238" s="24"/>
      <c r="R238" s="24"/>
      <c r="S238" s="24"/>
      <c r="T238" s="24"/>
      <c r="U238" s="24"/>
      <c r="V238" s="24"/>
      <c r="W238" s="24"/>
      <c r="X238" s="24"/>
      <c r="Y238" s="24"/>
      <c r="Z238" s="24"/>
      <c r="AA238" s="24"/>
      <c r="AB238" s="24"/>
      <c r="AC238" s="24"/>
      <c r="AD238" s="24"/>
      <c r="AE238" s="24"/>
      <c r="AF238" s="24"/>
      <c r="AG238" s="24"/>
      <c r="AH238" s="24"/>
      <c r="AI238" s="24"/>
      <c r="AJ238" s="24"/>
    </row>
    <row r="239" ht="15.75" customHeight="1">
      <c r="F239" s="24"/>
      <c r="G239" s="24"/>
      <c r="H239" s="24"/>
      <c r="I239" s="24"/>
      <c r="J239" s="24"/>
      <c r="K239" s="24"/>
      <c r="L239" s="24"/>
      <c r="M239" s="24"/>
      <c r="N239" s="24"/>
      <c r="O239" s="24"/>
      <c r="P239" s="24"/>
      <c r="Q239" s="24"/>
      <c r="R239" s="24"/>
      <c r="S239" s="24"/>
      <c r="T239" s="24"/>
      <c r="U239" s="24"/>
      <c r="V239" s="24"/>
      <c r="W239" s="24"/>
      <c r="X239" s="24"/>
      <c r="Y239" s="24"/>
      <c r="Z239" s="24"/>
      <c r="AA239" s="24"/>
      <c r="AB239" s="24"/>
      <c r="AC239" s="24"/>
      <c r="AD239" s="24"/>
      <c r="AE239" s="24"/>
      <c r="AF239" s="24"/>
      <c r="AG239" s="24"/>
      <c r="AH239" s="24"/>
      <c r="AI239" s="24"/>
      <c r="AJ239" s="24"/>
    </row>
    <row r="240" ht="15.75" customHeight="1">
      <c r="F240" s="24"/>
      <c r="G240" s="24"/>
      <c r="H240" s="24"/>
      <c r="I240" s="24"/>
      <c r="J240" s="24"/>
      <c r="K240" s="24"/>
      <c r="L240" s="24"/>
      <c r="M240" s="24"/>
      <c r="N240" s="24"/>
      <c r="O240" s="24"/>
      <c r="P240" s="24"/>
      <c r="Q240" s="24"/>
      <c r="R240" s="24"/>
      <c r="S240" s="24"/>
      <c r="T240" s="24"/>
      <c r="U240" s="24"/>
      <c r="V240" s="24"/>
      <c r="W240" s="24"/>
      <c r="X240" s="24"/>
      <c r="Y240" s="24"/>
      <c r="Z240" s="24"/>
      <c r="AA240" s="24"/>
      <c r="AB240" s="24"/>
      <c r="AC240" s="24"/>
      <c r="AD240" s="24"/>
      <c r="AE240" s="24"/>
      <c r="AF240" s="24"/>
      <c r="AG240" s="24"/>
      <c r="AH240" s="24"/>
      <c r="AI240" s="24"/>
      <c r="AJ240" s="24"/>
    </row>
    <row r="241" ht="15.75" customHeight="1">
      <c r="F241" s="24"/>
      <c r="G241" s="24"/>
      <c r="H241" s="24"/>
      <c r="I241" s="24"/>
      <c r="J241" s="24"/>
      <c r="K241" s="24"/>
      <c r="L241" s="24"/>
      <c r="M241" s="24"/>
      <c r="N241" s="24"/>
      <c r="O241" s="24"/>
      <c r="P241" s="24"/>
      <c r="Q241" s="24"/>
      <c r="R241" s="24"/>
      <c r="S241" s="24"/>
      <c r="T241" s="24"/>
      <c r="U241" s="24"/>
      <c r="V241" s="24"/>
      <c r="W241" s="24"/>
      <c r="X241" s="24"/>
      <c r="Y241" s="24"/>
      <c r="Z241" s="24"/>
      <c r="AA241" s="24"/>
      <c r="AB241" s="24"/>
      <c r="AC241" s="24"/>
      <c r="AD241" s="24"/>
      <c r="AE241" s="24"/>
      <c r="AF241" s="24"/>
      <c r="AG241" s="24"/>
      <c r="AH241" s="24"/>
      <c r="AI241" s="24"/>
      <c r="AJ241" s="24"/>
    </row>
    <row r="242" ht="15.75" customHeight="1">
      <c r="F242" s="24"/>
      <c r="G242" s="24"/>
      <c r="H242" s="24"/>
      <c r="I242" s="24"/>
      <c r="J242" s="24"/>
      <c r="K242" s="24"/>
      <c r="L242" s="24"/>
      <c r="M242" s="24"/>
      <c r="N242" s="24"/>
      <c r="O242" s="24"/>
      <c r="P242" s="24"/>
      <c r="Q242" s="24"/>
      <c r="R242" s="24"/>
      <c r="S242" s="24"/>
      <c r="T242" s="24"/>
      <c r="U242" s="24"/>
      <c r="V242" s="24"/>
      <c r="W242" s="24"/>
      <c r="X242" s="24"/>
      <c r="Y242" s="24"/>
      <c r="Z242" s="24"/>
      <c r="AA242" s="24"/>
      <c r="AB242" s="24"/>
      <c r="AC242" s="24"/>
      <c r="AD242" s="24"/>
      <c r="AE242" s="24"/>
      <c r="AF242" s="24"/>
      <c r="AG242" s="24"/>
      <c r="AH242" s="24"/>
      <c r="AI242" s="24"/>
      <c r="AJ242" s="24"/>
    </row>
    <row r="243" ht="15.75" customHeight="1">
      <c r="F243" s="24"/>
      <c r="G243" s="24"/>
      <c r="H243" s="24"/>
      <c r="I243" s="24"/>
      <c r="J243" s="24"/>
      <c r="K243" s="24"/>
      <c r="L243" s="24"/>
      <c r="M243" s="24"/>
      <c r="N243" s="24"/>
      <c r="O243" s="24"/>
      <c r="P243" s="24"/>
      <c r="Q243" s="24"/>
      <c r="R243" s="24"/>
      <c r="S243" s="24"/>
      <c r="T243" s="24"/>
      <c r="U243" s="24"/>
      <c r="V243" s="24"/>
      <c r="W243" s="24"/>
      <c r="X243" s="24"/>
      <c r="Y243" s="24"/>
      <c r="Z243" s="24"/>
      <c r="AA243" s="24"/>
      <c r="AB243" s="24"/>
      <c r="AC243" s="24"/>
      <c r="AD243" s="24"/>
      <c r="AE243" s="24"/>
      <c r="AF243" s="24"/>
      <c r="AG243" s="24"/>
      <c r="AH243" s="24"/>
      <c r="AI243" s="24"/>
      <c r="AJ243" s="24"/>
    </row>
    <row r="244" ht="15.75" customHeight="1">
      <c r="F244" s="24"/>
      <c r="G244" s="24"/>
      <c r="H244" s="24"/>
      <c r="I244" s="24"/>
      <c r="J244" s="24"/>
      <c r="K244" s="24"/>
      <c r="L244" s="24"/>
      <c r="M244" s="24"/>
      <c r="N244" s="24"/>
      <c r="O244" s="24"/>
      <c r="P244" s="24"/>
      <c r="Q244" s="24"/>
      <c r="R244" s="24"/>
      <c r="S244" s="24"/>
      <c r="T244" s="24"/>
      <c r="U244" s="24"/>
      <c r="V244" s="24"/>
      <c r="W244" s="24"/>
      <c r="X244" s="24"/>
      <c r="Y244" s="24"/>
      <c r="Z244" s="24"/>
      <c r="AA244" s="24"/>
      <c r="AB244" s="24"/>
      <c r="AC244" s="24"/>
      <c r="AD244" s="24"/>
      <c r="AE244" s="24"/>
      <c r="AF244" s="24"/>
      <c r="AG244" s="24"/>
      <c r="AH244" s="24"/>
      <c r="AI244" s="24"/>
      <c r="AJ244" s="24"/>
    </row>
    <row r="245" ht="15.75" customHeight="1">
      <c r="F245" s="24"/>
      <c r="G245" s="24"/>
      <c r="H245" s="24"/>
      <c r="I245" s="24"/>
      <c r="J245" s="24"/>
      <c r="K245" s="24"/>
      <c r="L245" s="24"/>
      <c r="M245" s="24"/>
      <c r="N245" s="24"/>
      <c r="O245" s="24"/>
      <c r="P245" s="24"/>
      <c r="Q245" s="24"/>
      <c r="R245" s="24"/>
      <c r="S245" s="24"/>
      <c r="T245" s="24"/>
      <c r="U245" s="24"/>
      <c r="V245" s="24"/>
      <c r="W245" s="24"/>
      <c r="X245" s="24"/>
      <c r="Y245" s="24"/>
      <c r="Z245" s="24"/>
      <c r="AA245" s="24"/>
      <c r="AB245" s="24"/>
      <c r="AC245" s="24"/>
      <c r="AD245" s="24"/>
      <c r="AE245" s="24"/>
      <c r="AF245" s="24"/>
      <c r="AG245" s="24"/>
      <c r="AH245" s="24"/>
      <c r="AI245" s="24"/>
      <c r="AJ245" s="24"/>
    </row>
    <row r="246" ht="15.75" customHeight="1">
      <c r="F246" s="24"/>
      <c r="G246" s="24"/>
      <c r="H246" s="24"/>
      <c r="I246" s="24"/>
      <c r="J246" s="24"/>
      <c r="K246" s="24"/>
      <c r="L246" s="24"/>
      <c r="M246" s="24"/>
      <c r="N246" s="24"/>
      <c r="O246" s="24"/>
      <c r="P246" s="24"/>
      <c r="Q246" s="24"/>
      <c r="R246" s="24"/>
      <c r="S246" s="24"/>
      <c r="T246" s="24"/>
      <c r="U246" s="24"/>
      <c r="V246" s="24"/>
      <c r="W246" s="24"/>
      <c r="X246" s="24"/>
      <c r="Y246" s="24"/>
      <c r="Z246" s="24"/>
      <c r="AA246" s="24"/>
      <c r="AB246" s="24"/>
      <c r="AC246" s="24"/>
      <c r="AD246" s="24"/>
      <c r="AE246" s="24"/>
      <c r="AF246" s="24"/>
      <c r="AG246" s="24"/>
      <c r="AH246" s="24"/>
      <c r="AI246" s="24"/>
      <c r="AJ246" s="24"/>
    </row>
    <row r="247" ht="15.75" customHeight="1">
      <c r="F247" s="24"/>
      <c r="G247" s="24"/>
      <c r="H247" s="24"/>
      <c r="I247" s="24"/>
      <c r="J247" s="24"/>
      <c r="K247" s="24"/>
      <c r="L247" s="24"/>
      <c r="M247" s="24"/>
      <c r="N247" s="24"/>
      <c r="O247" s="24"/>
      <c r="P247" s="24"/>
      <c r="Q247" s="24"/>
      <c r="R247" s="24"/>
      <c r="S247" s="24"/>
      <c r="T247" s="24"/>
      <c r="U247" s="24"/>
      <c r="V247" s="24"/>
      <c r="W247" s="24"/>
      <c r="X247" s="24"/>
      <c r="Y247" s="24"/>
      <c r="Z247" s="24"/>
      <c r="AA247" s="24"/>
      <c r="AB247" s="24"/>
      <c r="AC247" s="24"/>
      <c r="AD247" s="24"/>
      <c r="AE247" s="24"/>
      <c r="AF247" s="24"/>
      <c r="AG247" s="24"/>
      <c r="AH247" s="24"/>
      <c r="AI247" s="24"/>
      <c r="AJ247" s="24"/>
    </row>
    <row r="248" ht="15.75" customHeight="1">
      <c r="F248" s="24"/>
      <c r="G248" s="24"/>
      <c r="H248" s="24"/>
      <c r="I248" s="24"/>
      <c r="J248" s="24"/>
      <c r="K248" s="24"/>
      <c r="L248" s="24"/>
      <c r="M248" s="24"/>
      <c r="N248" s="24"/>
      <c r="O248" s="24"/>
      <c r="P248" s="24"/>
      <c r="Q248" s="24"/>
      <c r="R248" s="24"/>
      <c r="S248" s="24"/>
      <c r="T248" s="24"/>
      <c r="U248" s="24"/>
      <c r="V248" s="24"/>
      <c r="W248" s="24"/>
      <c r="X248" s="24"/>
      <c r="Y248" s="24"/>
      <c r="Z248" s="24"/>
      <c r="AA248" s="24"/>
      <c r="AB248" s="24"/>
      <c r="AC248" s="24"/>
      <c r="AD248" s="24"/>
      <c r="AE248" s="24"/>
      <c r="AF248" s="24"/>
      <c r="AG248" s="24"/>
      <c r="AH248" s="24"/>
      <c r="AI248" s="24"/>
      <c r="AJ248" s="24"/>
    </row>
    <row r="249" ht="15.75" customHeight="1">
      <c r="F249" s="24"/>
      <c r="G249" s="24"/>
      <c r="H249" s="24"/>
      <c r="I249" s="24"/>
      <c r="J249" s="24"/>
      <c r="K249" s="24"/>
      <c r="L249" s="24"/>
      <c r="M249" s="24"/>
      <c r="N249" s="24"/>
      <c r="O249" s="24"/>
      <c r="P249" s="24"/>
      <c r="Q249" s="24"/>
      <c r="R249" s="24"/>
      <c r="S249" s="24"/>
      <c r="T249" s="24"/>
      <c r="U249" s="24"/>
      <c r="V249" s="24"/>
      <c r="W249" s="24"/>
      <c r="X249" s="24"/>
      <c r="Y249" s="24"/>
      <c r="Z249" s="24"/>
      <c r="AA249" s="24"/>
      <c r="AB249" s="24"/>
      <c r="AC249" s="24"/>
      <c r="AD249" s="24"/>
      <c r="AE249" s="24"/>
      <c r="AF249" s="24"/>
      <c r="AG249" s="24"/>
      <c r="AH249" s="24"/>
      <c r="AI249" s="24"/>
      <c r="AJ249" s="24"/>
    </row>
    <row r="250" ht="15.75" customHeight="1">
      <c r="F250" s="24"/>
      <c r="G250" s="24"/>
      <c r="H250" s="24"/>
      <c r="I250" s="24"/>
      <c r="J250" s="24"/>
      <c r="K250" s="24"/>
      <c r="L250" s="24"/>
      <c r="M250" s="24"/>
      <c r="N250" s="24"/>
      <c r="O250" s="24"/>
      <c r="P250" s="24"/>
      <c r="Q250" s="24"/>
      <c r="R250" s="24"/>
      <c r="S250" s="24"/>
      <c r="T250" s="24"/>
      <c r="U250" s="24"/>
      <c r="V250" s="24"/>
      <c r="W250" s="24"/>
      <c r="X250" s="24"/>
      <c r="Y250" s="24"/>
      <c r="Z250" s="24"/>
      <c r="AA250" s="24"/>
      <c r="AB250" s="24"/>
      <c r="AC250" s="24"/>
      <c r="AD250" s="24"/>
      <c r="AE250" s="24"/>
      <c r="AF250" s="24"/>
      <c r="AG250" s="24"/>
      <c r="AH250" s="24"/>
      <c r="AI250" s="24"/>
      <c r="AJ250" s="24"/>
    </row>
    <row r="251" ht="15.75" customHeight="1">
      <c r="F251" s="24"/>
      <c r="G251" s="24"/>
      <c r="H251" s="24"/>
      <c r="I251" s="24"/>
      <c r="J251" s="24"/>
      <c r="K251" s="24"/>
      <c r="L251" s="24"/>
      <c r="M251" s="24"/>
      <c r="N251" s="24"/>
      <c r="O251" s="24"/>
      <c r="P251" s="24"/>
      <c r="Q251" s="24"/>
      <c r="R251" s="24"/>
      <c r="S251" s="24"/>
      <c r="T251" s="24"/>
      <c r="U251" s="24"/>
      <c r="V251" s="24"/>
      <c r="W251" s="24"/>
      <c r="X251" s="24"/>
      <c r="Y251" s="24"/>
      <c r="Z251" s="24"/>
      <c r="AA251" s="24"/>
      <c r="AB251" s="24"/>
      <c r="AC251" s="24"/>
      <c r="AD251" s="24"/>
      <c r="AE251" s="24"/>
      <c r="AF251" s="24"/>
      <c r="AG251" s="24"/>
      <c r="AH251" s="24"/>
      <c r="AI251" s="24"/>
      <c r="AJ251" s="24"/>
    </row>
    <row r="252" ht="15.75" customHeight="1">
      <c r="F252" s="24"/>
      <c r="G252" s="24"/>
      <c r="H252" s="24"/>
      <c r="I252" s="24"/>
      <c r="J252" s="24"/>
      <c r="K252" s="24"/>
      <c r="L252" s="24"/>
      <c r="M252" s="24"/>
      <c r="N252" s="24"/>
      <c r="O252" s="24"/>
      <c r="P252" s="24"/>
      <c r="Q252" s="24"/>
      <c r="R252" s="24"/>
      <c r="S252" s="24"/>
      <c r="T252" s="24"/>
      <c r="U252" s="24"/>
      <c r="V252" s="24"/>
      <c r="W252" s="24"/>
      <c r="X252" s="24"/>
      <c r="Y252" s="24"/>
      <c r="Z252" s="24"/>
      <c r="AA252" s="24"/>
      <c r="AB252" s="24"/>
      <c r="AC252" s="24"/>
      <c r="AD252" s="24"/>
      <c r="AE252" s="24"/>
      <c r="AF252" s="24"/>
      <c r="AG252" s="24"/>
      <c r="AH252" s="24"/>
      <c r="AI252" s="24"/>
      <c r="AJ252" s="24"/>
    </row>
    <row r="253" ht="15.75" customHeight="1">
      <c r="F253" s="24"/>
      <c r="G253" s="24"/>
      <c r="H253" s="24"/>
      <c r="I253" s="24"/>
      <c r="J253" s="24"/>
      <c r="K253" s="24"/>
      <c r="L253" s="24"/>
      <c r="M253" s="24"/>
      <c r="N253" s="24"/>
      <c r="O253" s="24"/>
      <c r="P253" s="24"/>
      <c r="Q253" s="24"/>
      <c r="R253" s="24"/>
      <c r="S253" s="24"/>
      <c r="T253" s="24"/>
      <c r="U253" s="24"/>
      <c r="V253" s="24"/>
      <c r="W253" s="24"/>
      <c r="X253" s="24"/>
      <c r="Y253" s="24"/>
      <c r="Z253" s="24"/>
      <c r="AA253" s="24"/>
      <c r="AB253" s="24"/>
      <c r="AC253" s="24"/>
      <c r="AD253" s="24"/>
      <c r="AE253" s="24"/>
      <c r="AF253" s="24"/>
      <c r="AG253" s="24"/>
      <c r="AH253" s="24"/>
      <c r="AI253" s="24"/>
      <c r="AJ253" s="24"/>
    </row>
    <row r="254" ht="15.75" customHeight="1">
      <c r="F254" s="24"/>
      <c r="G254" s="24"/>
      <c r="H254" s="24"/>
      <c r="I254" s="24"/>
      <c r="J254" s="24"/>
      <c r="K254" s="24"/>
      <c r="L254" s="24"/>
      <c r="M254" s="24"/>
      <c r="N254" s="24"/>
      <c r="O254" s="24"/>
      <c r="P254" s="24"/>
      <c r="Q254" s="24"/>
      <c r="R254" s="24"/>
      <c r="S254" s="24"/>
      <c r="T254" s="24"/>
      <c r="U254" s="24"/>
      <c r="V254" s="24"/>
      <c r="W254" s="24"/>
      <c r="X254" s="24"/>
      <c r="Y254" s="24"/>
      <c r="Z254" s="24"/>
      <c r="AA254" s="24"/>
      <c r="AB254" s="24"/>
      <c r="AC254" s="24"/>
      <c r="AD254" s="24"/>
      <c r="AE254" s="24"/>
      <c r="AF254" s="24"/>
      <c r="AG254" s="24"/>
      <c r="AH254" s="24"/>
      <c r="AI254" s="24"/>
      <c r="AJ254" s="24"/>
    </row>
    <row r="255" ht="15.75" customHeight="1">
      <c r="F255" s="24"/>
      <c r="G255" s="24"/>
      <c r="H255" s="24"/>
      <c r="I255" s="24"/>
      <c r="J255" s="24"/>
      <c r="K255" s="24"/>
      <c r="L255" s="24"/>
      <c r="M255" s="24"/>
      <c r="N255" s="24"/>
      <c r="O255" s="24"/>
      <c r="P255" s="24"/>
      <c r="Q255" s="24"/>
      <c r="R255" s="24"/>
      <c r="S255" s="24"/>
      <c r="T255" s="24"/>
      <c r="U255" s="24"/>
      <c r="V255" s="24"/>
      <c r="W255" s="24"/>
      <c r="X255" s="24"/>
      <c r="Y255" s="24"/>
      <c r="Z255" s="24"/>
      <c r="AA255" s="24"/>
      <c r="AB255" s="24"/>
      <c r="AC255" s="24"/>
      <c r="AD255" s="24"/>
      <c r="AE255" s="24"/>
      <c r="AF255" s="24"/>
      <c r="AG255" s="24"/>
      <c r="AH255" s="24"/>
      <c r="AI255" s="24"/>
      <c r="AJ255" s="24"/>
    </row>
    <row r="256" ht="15.75" customHeight="1">
      <c r="F256" s="24"/>
      <c r="G256" s="24"/>
      <c r="H256" s="24"/>
      <c r="I256" s="24"/>
      <c r="J256" s="24"/>
      <c r="K256" s="24"/>
      <c r="L256" s="24"/>
      <c r="M256" s="24"/>
      <c r="N256" s="24"/>
      <c r="O256" s="24"/>
      <c r="P256" s="24"/>
      <c r="Q256" s="24"/>
      <c r="R256" s="24"/>
      <c r="S256" s="24"/>
      <c r="T256" s="24"/>
      <c r="U256" s="24"/>
      <c r="V256" s="24"/>
      <c r="W256" s="24"/>
      <c r="X256" s="24"/>
      <c r="Y256" s="24"/>
      <c r="Z256" s="24"/>
      <c r="AA256" s="24"/>
      <c r="AB256" s="24"/>
      <c r="AC256" s="24"/>
      <c r="AD256" s="24"/>
      <c r="AE256" s="24"/>
      <c r="AF256" s="24"/>
      <c r="AG256" s="24"/>
      <c r="AH256" s="24"/>
      <c r="AI256" s="24"/>
      <c r="AJ256" s="24"/>
    </row>
    <row r="257" ht="15.75" customHeight="1">
      <c r="F257" s="24"/>
      <c r="G257" s="24"/>
      <c r="H257" s="24"/>
      <c r="I257" s="24"/>
      <c r="J257" s="24"/>
      <c r="K257" s="24"/>
      <c r="L257" s="24"/>
      <c r="M257" s="24"/>
      <c r="N257" s="24"/>
      <c r="O257" s="24"/>
      <c r="P257" s="24"/>
      <c r="Q257" s="24"/>
      <c r="R257" s="24"/>
      <c r="S257" s="24"/>
      <c r="T257" s="24"/>
      <c r="U257" s="24"/>
      <c r="V257" s="24"/>
      <c r="W257" s="24"/>
      <c r="X257" s="24"/>
      <c r="Y257" s="24"/>
      <c r="Z257" s="24"/>
      <c r="AA257" s="24"/>
      <c r="AB257" s="24"/>
      <c r="AC257" s="24"/>
      <c r="AD257" s="24"/>
      <c r="AE257" s="24"/>
      <c r="AF257" s="24"/>
      <c r="AG257" s="24"/>
      <c r="AH257" s="24"/>
      <c r="AI257" s="24"/>
      <c r="AJ257" s="24"/>
    </row>
    <row r="258" ht="15.75" customHeight="1">
      <c r="F258" s="24"/>
      <c r="G258" s="24"/>
      <c r="H258" s="24"/>
      <c r="I258" s="24"/>
      <c r="J258" s="24"/>
      <c r="K258" s="24"/>
      <c r="L258" s="24"/>
      <c r="M258" s="24"/>
      <c r="N258" s="24"/>
      <c r="O258" s="24"/>
      <c r="P258" s="24"/>
      <c r="Q258" s="24"/>
      <c r="R258" s="24"/>
      <c r="S258" s="24"/>
      <c r="T258" s="24"/>
      <c r="U258" s="24"/>
      <c r="V258" s="24"/>
      <c r="W258" s="24"/>
      <c r="X258" s="24"/>
      <c r="Y258" s="24"/>
      <c r="Z258" s="24"/>
      <c r="AA258" s="24"/>
      <c r="AB258" s="24"/>
      <c r="AC258" s="24"/>
      <c r="AD258" s="24"/>
      <c r="AE258" s="24"/>
      <c r="AF258" s="24"/>
      <c r="AG258" s="24"/>
      <c r="AH258" s="24"/>
      <c r="AI258" s="24"/>
      <c r="AJ258" s="24"/>
    </row>
    <row r="259" ht="15.75" customHeight="1">
      <c r="F259" s="24"/>
      <c r="G259" s="24"/>
      <c r="H259" s="24"/>
      <c r="I259" s="24"/>
      <c r="J259" s="24"/>
      <c r="K259" s="24"/>
      <c r="L259" s="24"/>
      <c r="M259" s="24"/>
      <c r="N259" s="24"/>
      <c r="O259" s="24"/>
      <c r="P259" s="24"/>
      <c r="Q259" s="24"/>
      <c r="R259" s="24"/>
      <c r="S259" s="24"/>
      <c r="T259" s="24"/>
      <c r="U259" s="24"/>
      <c r="V259" s="24"/>
      <c r="W259" s="24"/>
      <c r="X259" s="24"/>
      <c r="Y259" s="24"/>
      <c r="Z259" s="24"/>
      <c r="AA259" s="24"/>
      <c r="AB259" s="24"/>
      <c r="AC259" s="24"/>
      <c r="AD259" s="24"/>
      <c r="AE259" s="24"/>
      <c r="AF259" s="24"/>
      <c r="AG259" s="24"/>
      <c r="AH259" s="24"/>
      <c r="AI259" s="24"/>
      <c r="AJ259" s="24"/>
    </row>
    <row r="260" ht="15.75" customHeight="1">
      <c r="F260" s="24"/>
      <c r="G260" s="24"/>
      <c r="H260" s="24"/>
      <c r="I260" s="24"/>
      <c r="J260" s="24"/>
      <c r="K260" s="24"/>
      <c r="L260" s="24"/>
      <c r="M260" s="24"/>
      <c r="N260" s="24"/>
      <c r="O260" s="24"/>
      <c r="P260" s="24"/>
      <c r="Q260" s="24"/>
      <c r="R260" s="24"/>
      <c r="S260" s="24"/>
      <c r="T260" s="24"/>
      <c r="U260" s="24"/>
      <c r="V260" s="24"/>
      <c r="W260" s="24"/>
      <c r="X260" s="24"/>
      <c r="Y260" s="24"/>
      <c r="Z260" s="24"/>
      <c r="AA260" s="24"/>
      <c r="AB260" s="24"/>
      <c r="AC260" s="24"/>
      <c r="AD260" s="24"/>
      <c r="AE260" s="24"/>
      <c r="AF260" s="24"/>
      <c r="AG260" s="24"/>
      <c r="AH260" s="24"/>
      <c r="AI260" s="24"/>
      <c r="AJ260" s="24"/>
    </row>
    <row r="261" ht="15.75" customHeight="1">
      <c r="F261" s="24"/>
      <c r="G261" s="24"/>
      <c r="H261" s="24"/>
      <c r="I261" s="24"/>
      <c r="J261" s="24"/>
      <c r="K261" s="24"/>
      <c r="L261" s="24"/>
      <c r="M261" s="24"/>
      <c r="N261" s="24"/>
      <c r="O261" s="24"/>
      <c r="P261" s="24"/>
      <c r="Q261" s="24"/>
      <c r="R261" s="24"/>
      <c r="S261" s="24"/>
      <c r="T261" s="24"/>
      <c r="U261" s="24"/>
      <c r="V261" s="24"/>
      <c r="W261" s="24"/>
      <c r="X261" s="24"/>
      <c r="Y261" s="24"/>
      <c r="Z261" s="24"/>
      <c r="AA261" s="24"/>
      <c r="AB261" s="24"/>
      <c r="AC261" s="24"/>
      <c r="AD261" s="24"/>
      <c r="AE261" s="24"/>
      <c r="AF261" s="24"/>
      <c r="AG261" s="24"/>
      <c r="AH261" s="24"/>
      <c r="AI261" s="24"/>
      <c r="AJ261" s="24"/>
    </row>
    <row r="262" ht="15.75" customHeight="1">
      <c r="F262" s="24"/>
      <c r="G262" s="24"/>
      <c r="H262" s="24"/>
      <c r="I262" s="24"/>
      <c r="J262" s="24"/>
      <c r="K262" s="24"/>
      <c r="L262" s="24"/>
      <c r="M262" s="24"/>
      <c r="N262" s="24"/>
      <c r="O262" s="24"/>
      <c r="P262" s="24"/>
      <c r="Q262" s="24"/>
      <c r="R262" s="24"/>
      <c r="S262" s="24"/>
      <c r="T262" s="24"/>
      <c r="U262" s="24"/>
      <c r="V262" s="24"/>
      <c r="W262" s="24"/>
      <c r="X262" s="24"/>
      <c r="Y262" s="24"/>
      <c r="Z262" s="24"/>
      <c r="AA262" s="24"/>
      <c r="AB262" s="24"/>
      <c r="AC262" s="24"/>
      <c r="AD262" s="24"/>
      <c r="AE262" s="24"/>
      <c r="AF262" s="24"/>
      <c r="AG262" s="24"/>
      <c r="AH262" s="24"/>
      <c r="AI262" s="24"/>
      <c r="AJ262" s="24"/>
    </row>
    <row r="263" ht="15.75" customHeight="1">
      <c r="F263" s="24"/>
      <c r="G263" s="24"/>
      <c r="H263" s="24"/>
      <c r="I263" s="24"/>
      <c r="J263" s="24"/>
      <c r="K263" s="24"/>
      <c r="L263" s="24"/>
      <c r="M263" s="24"/>
      <c r="N263" s="24"/>
      <c r="O263" s="24"/>
      <c r="P263" s="24"/>
      <c r="Q263" s="24"/>
      <c r="R263" s="24"/>
      <c r="S263" s="24"/>
      <c r="T263" s="24"/>
      <c r="U263" s="24"/>
      <c r="V263" s="24"/>
      <c r="W263" s="24"/>
      <c r="X263" s="24"/>
      <c r="Y263" s="24"/>
      <c r="Z263" s="24"/>
      <c r="AA263" s="24"/>
      <c r="AB263" s="24"/>
      <c r="AC263" s="24"/>
      <c r="AD263" s="24"/>
      <c r="AE263" s="24"/>
      <c r="AF263" s="24"/>
      <c r="AG263" s="24"/>
      <c r="AH263" s="24"/>
      <c r="AI263" s="24"/>
      <c r="AJ263" s="24"/>
    </row>
    <row r="264" ht="15.75" customHeight="1">
      <c r="F264" s="24"/>
      <c r="G264" s="24"/>
      <c r="H264" s="24"/>
      <c r="I264" s="24"/>
      <c r="J264" s="24"/>
      <c r="K264" s="24"/>
      <c r="L264" s="24"/>
      <c r="M264" s="24"/>
      <c r="N264" s="24"/>
      <c r="O264" s="24"/>
      <c r="P264" s="24"/>
      <c r="Q264" s="24"/>
      <c r="R264" s="24"/>
      <c r="S264" s="24"/>
      <c r="T264" s="24"/>
      <c r="U264" s="24"/>
      <c r="V264" s="24"/>
      <c r="W264" s="24"/>
      <c r="X264" s="24"/>
      <c r="Y264" s="24"/>
      <c r="Z264" s="24"/>
      <c r="AA264" s="24"/>
      <c r="AB264" s="24"/>
      <c r="AC264" s="24"/>
      <c r="AD264" s="24"/>
      <c r="AE264" s="24"/>
      <c r="AF264" s="24"/>
      <c r="AG264" s="24"/>
      <c r="AH264" s="24"/>
      <c r="AI264" s="24"/>
      <c r="AJ264" s="24"/>
    </row>
    <row r="265" ht="15.75" customHeight="1">
      <c r="F265" s="24"/>
      <c r="G265" s="24"/>
      <c r="H265" s="24"/>
      <c r="I265" s="24"/>
      <c r="J265" s="24"/>
      <c r="K265" s="24"/>
      <c r="L265" s="24"/>
      <c r="M265" s="24"/>
      <c r="N265" s="24"/>
      <c r="O265" s="24"/>
      <c r="P265" s="24"/>
      <c r="Q265" s="24"/>
      <c r="R265" s="24"/>
      <c r="S265" s="24"/>
      <c r="T265" s="24"/>
      <c r="U265" s="24"/>
      <c r="V265" s="24"/>
      <c r="W265" s="24"/>
      <c r="X265" s="24"/>
      <c r="Y265" s="24"/>
      <c r="Z265" s="24"/>
      <c r="AA265" s="24"/>
      <c r="AB265" s="24"/>
      <c r="AC265" s="24"/>
      <c r="AD265" s="24"/>
      <c r="AE265" s="24"/>
      <c r="AF265" s="24"/>
      <c r="AG265" s="24"/>
      <c r="AH265" s="24"/>
      <c r="AI265" s="24"/>
      <c r="AJ265" s="24"/>
    </row>
    <row r="266" ht="15.75" customHeight="1">
      <c r="F266" s="24"/>
      <c r="G266" s="24"/>
      <c r="H266" s="24"/>
      <c r="I266" s="24"/>
      <c r="J266" s="24"/>
      <c r="K266" s="24"/>
      <c r="L266" s="24"/>
      <c r="M266" s="24"/>
      <c r="N266" s="24"/>
      <c r="O266" s="24"/>
      <c r="P266" s="24"/>
      <c r="Q266" s="24"/>
      <c r="R266" s="24"/>
      <c r="S266" s="24"/>
      <c r="T266" s="24"/>
      <c r="U266" s="24"/>
      <c r="V266" s="24"/>
      <c r="W266" s="24"/>
      <c r="X266" s="24"/>
      <c r="Y266" s="24"/>
      <c r="Z266" s="24"/>
      <c r="AA266" s="24"/>
      <c r="AB266" s="24"/>
      <c r="AC266" s="24"/>
      <c r="AD266" s="24"/>
      <c r="AE266" s="24"/>
      <c r="AF266" s="24"/>
      <c r="AG266" s="24"/>
      <c r="AH266" s="24"/>
      <c r="AI266" s="24"/>
      <c r="AJ266" s="24"/>
    </row>
    <row r="267" ht="15.75" customHeight="1">
      <c r="F267" s="24"/>
      <c r="G267" s="24"/>
      <c r="H267" s="24"/>
      <c r="I267" s="24"/>
      <c r="J267" s="24"/>
      <c r="K267" s="24"/>
      <c r="L267" s="24"/>
      <c r="M267" s="24"/>
      <c r="N267" s="24"/>
      <c r="O267" s="24"/>
      <c r="P267" s="24"/>
      <c r="Q267" s="24"/>
      <c r="R267" s="24"/>
      <c r="S267" s="24"/>
      <c r="T267" s="24"/>
      <c r="U267" s="24"/>
      <c r="V267" s="24"/>
      <c r="W267" s="24"/>
      <c r="X267" s="24"/>
      <c r="Y267" s="24"/>
      <c r="Z267" s="24"/>
      <c r="AA267" s="24"/>
      <c r="AB267" s="24"/>
      <c r="AC267" s="24"/>
      <c r="AD267" s="24"/>
      <c r="AE267" s="24"/>
      <c r="AF267" s="24"/>
      <c r="AG267" s="24"/>
      <c r="AH267" s="24"/>
      <c r="AI267" s="24"/>
      <c r="AJ267" s="24"/>
    </row>
    <row r="268" ht="15.75" customHeight="1">
      <c r="F268" s="24"/>
      <c r="G268" s="24"/>
      <c r="H268" s="24"/>
      <c r="I268" s="24"/>
      <c r="J268" s="24"/>
      <c r="K268" s="24"/>
      <c r="L268" s="24"/>
      <c r="M268" s="24"/>
      <c r="N268" s="24"/>
      <c r="O268" s="24"/>
      <c r="P268" s="24"/>
      <c r="Q268" s="24"/>
      <c r="R268" s="24"/>
      <c r="S268" s="24"/>
      <c r="T268" s="24"/>
      <c r="U268" s="24"/>
      <c r="V268" s="24"/>
      <c r="W268" s="24"/>
      <c r="X268" s="24"/>
      <c r="Y268" s="24"/>
      <c r="Z268" s="24"/>
      <c r="AA268" s="24"/>
      <c r="AB268" s="24"/>
      <c r="AC268" s="24"/>
      <c r="AD268" s="24"/>
      <c r="AE268" s="24"/>
      <c r="AF268" s="24"/>
      <c r="AG268" s="24"/>
      <c r="AH268" s="24"/>
      <c r="AI268" s="24"/>
      <c r="AJ268" s="24"/>
    </row>
    <row r="269" ht="15.75" customHeight="1">
      <c r="F269" s="24"/>
      <c r="G269" s="24"/>
      <c r="H269" s="24"/>
      <c r="I269" s="24"/>
      <c r="J269" s="24"/>
      <c r="K269" s="24"/>
      <c r="L269" s="24"/>
      <c r="M269" s="24"/>
      <c r="N269" s="24"/>
      <c r="O269" s="24"/>
      <c r="P269" s="24"/>
      <c r="Q269" s="24"/>
      <c r="R269" s="24"/>
      <c r="S269" s="24"/>
      <c r="T269" s="24"/>
      <c r="U269" s="24"/>
      <c r="V269" s="24"/>
      <c r="W269" s="24"/>
      <c r="X269" s="24"/>
      <c r="Y269" s="24"/>
      <c r="Z269" s="24"/>
      <c r="AA269" s="24"/>
      <c r="AB269" s="24"/>
      <c r="AC269" s="24"/>
      <c r="AD269" s="24"/>
      <c r="AE269" s="24"/>
      <c r="AF269" s="24"/>
      <c r="AG269" s="24"/>
      <c r="AH269" s="24"/>
      <c r="AI269" s="24"/>
      <c r="AJ269" s="24"/>
    </row>
    <row r="270" ht="15.75" customHeight="1">
      <c r="F270" s="24"/>
      <c r="G270" s="24"/>
      <c r="H270" s="24"/>
      <c r="I270" s="24"/>
      <c r="J270" s="24"/>
      <c r="K270" s="24"/>
      <c r="L270" s="24"/>
      <c r="M270" s="24"/>
      <c r="N270" s="24"/>
      <c r="O270" s="24"/>
      <c r="P270" s="24"/>
      <c r="Q270" s="24"/>
      <c r="R270" s="24"/>
      <c r="S270" s="24"/>
      <c r="T270" s="24"/>
      <c r="U270" s="24"/>
      <c r="V270" s="24"/>
      <c r="W270" s="24"/>
      <c r="X270" s="24"/>
      <c r="Y270" s="24"/>
      <c r="Z270" s="24"/>
      <c r="AA270" s="24"/>
      <c r="AB270" s="24"/>
      <c r="AC270" s="24"/>
      <c r="AD270" s="24"/>
      <c r="AE270" s="24"/>
      <c r="AF270" s="24"/>
      <c r="AG270" s="24"/>
      <c r="AH270" s="24"/>
      <c r="AI270" s="24"/>
      <c r="AJ270" s="24"/>
    </row>
    <row r="271" ht="15.75" customHeight="1">
      <c r="F271" s="24"/>
      <c r="G271" s="24"/>
      <c r="H271" s="24"/>
      <c r="I271" s="24"/>
      <c r="J271" s="24"/>
      <c r="K271" s="24"/>
      <c r="L271" s="24"/>
      <c r="M271" s="24"/>
      <c r="N271" s="24"/>
      <c r="O271" s="24"/>
      <c r="P271" s="24"/>
      <c r="Q271" s="24"/>
      <c r="R271" s="24"/>
      <c r="S271" s="24"/>
      <c r="T271" s="24"/>
      <c r="U271" s="24"/>
      <c r="V271" s="24"/>
      <c r="W271" s="24"/>
      <c r="X271" s="24"/>
      <c r="Y271" s="24"/>
      <c r="Z271" s="24"/>
      <c r="AA271" s="24"/>
      <c r="AB271" s="24"/>
      <c r="AC271" s="24"/>
      <c r="AD271" s="24"/>
      <c r="AE271" s="24"/>
      <c r="AF271" s="24"/>
      <c r="AG271" s="24"/>
      <c r="AH271" s="24"/>
      <c r="AI271" s="24"/>
      <c r="AJ271" s="24"/>
    </row>
    <row r="272" ht="15.75" customHeight="1">
      <c r="F272" s="24"/>
      <c r="G272" s="24"/>
      <c r="H272" s="24"/>
      <c r="I272" s="24"/>
      <c r="J272" s="24"/>
      <c r="K272" s="24"/>
      <c r="L272" s="24"/>
      <c r="M272" s="24"/>
      <c r="N272" s="24"/>
      <c r="O272" s="24"/>
      <c r="P272" s="24"/>
      <c r="Q272" s="24"/>
      <c r="R272" s="24"/>
      <c r="S272" s="24"/>
      <c r="T272" s="24"/>
      <c r="U272" s="24"/>
      <c r="V272" s="24"/>
      <c r="W272" s="24"/>
      <c r="X272" s="24"/>
      <c r="Y272" s="24"/>
      <c r="Z272" s="24"/>
      <c r="AA272" s="24"/>
      <c r="AB272" s="24"/>
      <c r="AC272" s="24"/>
      <c r="AD272" s="24"/>
      <c r="AE272" s="24"/>
      <c r="AF272" s="24"/>
      <c r="AG272" s="24"/>
      <c r="AH272" s="24"/>
      <c r="AI272" s="24"/>
      <c r="AJ272" s="24"/>
    </row>
    <row r="273" ht="15.75" customHeight="1">
      <c r="F273" s="24"/>
      <c r="G273" s="24"/>
      <c r="H273" s="24"/>
      <c r="I273" s="24"/>
      <c r="J273" s="24"/>
      <c r="K273" s="24"/>
      <c r="L273" s="24"/>
      <c r="M273" s="24"/>
      <c r="N273" s="24"/>
      <c r="O273" s="24"/>
      <c r="P273" s="24"/>
      <c r="Q273" s="24"/>
      <c r="R273" s="24"/>
      <c r="S273" s="24"/>
      <c r="T273" s="24"/>
      <c r="U273" s="24"/>
      <c r="V273" s="24"/>
      <c r="W273" s="24"/>
      <c r="X273" s="24"/>
      <c r="Y273" s="24"/>
      <c r="Z273" s="24"/>
      <c r="AA273" s="24"/>
      <c r="AB273" s="24"/>
      <c r="AC273" s="24"/>
      <c r="AD273" s="24"/>
      <c r="AE273" s="24"/>
      <c r="AF273" s="24"/>
      <c r="AG273" s="24"/>
      <c r="AH273" s="24"/>
      <c r="AI273" s="24"/>
      <c r="AJ273" s="24"/>
    </row>
    <row r="274" ht="15.75" customHeight="1">
      <c r="F274" s="24"/>
      <c r="G274" s="24"/>
      <c r="H274" s="24"/>
      <c r="I274" s="24"/>
      <c r="J274" s="24"/>
      <c r="K274" s="24"/>
      <c r="L274" s="24"/>
      <c r="M274" s="24"/>
      <c r="N274" s="24"/>
      <c r="O274" s="24"/>
      <c r="P274" s="24"/>
      <c r="Q274" s="24"/>
      <c r="R274" s="24"/>
      <c r="S274" s="24"/>
      <c r="T274" s="24"/>
      <c r="U274" s="24"/>
      <c r="V274" s="24"/>
      <c r="W274" s="24"/>
      <c r="X274" s="24"/>
      <c r="Y274" s="24"/>
      <c r="Z274" s="24"/>
      <c r="AA274" s="24"/>
      <c r="AB274" s="24"/>
      <c r="AC274" s="24"/>
      <c r="AD274" s="24"/>
      <c r="AE274" s="24"/>
      <c r="AF274" s="24"/>
      <c r="AG274" s="24"/>
      <c r="AH274" s="24"/>
      <c r="AI274" s="24"/>
      <c r="AJ274" s="24"/>
    </row>
    <row r="275" ht="15.75" customHeight="1">
      <c r="F275" s="24"/>
      <c r="G275" s="24"/>
      <c r="H275" s="24"/>
      <c r="I275" s="24"/>
      <c r="J275" s="24"/>
      <c r="K275" s="24"/>
      <c r="L275" s="24"/>
      <c r="M275" s="24"/>
      <c r="N275" s="24"/>
      <c r="O275" s="24"/>
      <c r="P275" s="24"/>
      <c r="Q275" s="24"/>
      <c r="R275" s="24"/>
      <c r="S275" s="24"/>
      <c r="T275" s="24"/>
      <c r="U275" s="24"/>
      <c r="V275" s="24"/>
      <c r="W275" s="24"/>
      <c r="X275" s="24"/>
      <c r="Y275" s="24"/>
      <c r="Z275" s="24"/>
      <c r="AA275" s="24"/>
      <c r="AB275" s="24"/>
      <c r="AC275" s="24"/>
      <c r="AD275" s="24"/>
      <c r="AE275" s="24"/>
      <c r="AF275" s="24"/>
      <c r="AG275" s="24"/>
      <c r="AH275" s="24"/>
      <c r="AI275" s="24"/>
      <c r="AJ275" s="24"/>
    </row>
    <row r="276" ht="15.75" customHeight="1">
      <c r="F276" s="24"/>
      <c r="G276" s="24"/>
      <c r="H276" s="24"/>
      <c r="I276" s="24"/>
      <c r="J276" s="24"/>
      <c r="K276" s="24"/>
      <c r="L276" s="24"/>
      <c r="M276" s="24"/>
      <c r="N276" s="24"/>
      <c r="O276" s="24"/>
      <c r="P276" s="24"/>
      <c r="Q276" s="24"/>
      <c r="R276" s="24"/>
      <c r="S276" s="24"/>
      <c r="T276" s="24"/>
      <c r="U276" s="24"/>
      <c r="V276" s="24"/>
      <c r="W276" s="24"/>
      <c r="X276" s="24"/>
      <c r="Y276" s="24"/>
      <c r="Z276" s="24"/>
      <c r="AA276" s="24"/>
      <c r="AB276" s="24"/>
      <c r="AC276" s="24"/>
      <c r="AD276" s="24"/>
      <c r="AE276" s="24"/>
      <c r="AF276" s="24"/>
      <c r="AG276" s="24"/>
      <c r="AH276" s="24"/>
      <c r="AI276" s="24"/>
      <c r="AJ276" s="24"/>
    </row>
    <row r="277" ht="15.75" customHeight="1">
      <c r="F277" s="24"/>
      <c r="G277" s="24"/>
      <c r="H277" s="24"/>
      <c r="I277" s="24"/>
      <c r="J277" s="24"/>
      <c r="K277" s="24"/>
      <c r="L277" s="24"/>
      <c r="M277" s="24"/>
      <c r="N277" s="24"/>
      <c r="O277" s="24"/>
      <c r="P277" s="24"/>
      <c r="Q277" s="24"/>
      <c r="R277" s="24"/>
      <c r="S277" s="24"/>
      <c r="T277" s="24"/>
      <c r="U277" s="24"/>
      <c r="V277" s="24"/>
      <c r="W277" s="24"/>
      <c r="X277" s="24"/>
      <c r="Y277" s="24"/>
      <c r="Z277" s="24"/>
      <c r="AA277" s="24"/>
      <c r="AB277" s="24"/>
      <c r="AC277" s="24"/>
      <c r="AD277" s="24"/>
      <c r="AE277" s="24"/>
      <c r="AF277" s="24"/>
      <c r="AG277" s="24"/>
      <c r="AH277" s="24"/>
      <c r="AI277" s="24"/>
      <c r="AJ277" s="24"/>
    </row>
    <row r="278" ht="15.75" customHeight="1">
      <c r="F278" s="24"/>
      <c r="G278" s="24"/>
      <c r="H278" s="24"/>
      <c r="I278" s="24"/>
      <c r="J278" s="24"/>
      <c r="K278" s="24"/>
      <c r="L278" s="24"/>
      <c r="M278" s="24"/>
      <c r="N278" s="24"/>
      <c r="O278" s="24"/>
      <c r="P278" s="24"/>
      <c r="Q278" s="24"/>
      <c r="R278" s="24"/>
      <c r="S278" s="24"/>
      <c r="T278" s="24"/>
      <c r="U278" s="24"/>
      <c r="V278" s="24"/>
      <c r="W278" s="24"/>
      <c r="X278" s="24"/>
      <c r="Y278" s="24"/>
      <c r="Z278" s="24"/>
      <c r="AA278" s="24"/>
      <c r="AB278" s="24"/>
      <c r="AC278" s="24"/>
      <c r="AD278" s="24"/>
      <c r="AE278" s="24"/>
      <c r="AF278" s="24"/>
      <c r="AG278" s="24"/>
      <c r="AH278" s="24"/>
      <c r="AI278" s="24"/>
      <c r="AJ278" s="24"/>
    </row>
    <row r="279" ht="15.75" customHeight="1">
      <c r="F279" s="24"/>
      <c r="G279" s="24"/>
      <c r="H279" s="24"/>
      <c r="I279" s="24"/>
      <c r="J279" s="24"/>
      <c r="K279" s="24"/>
      <c r="L279" s="24"/>
      <c r="M279" s="24"/>
      <c r="N279" s="24"/>
      <c r="O279" s="24"/>
      <c r="P279" s="24"/>
      <c r="Q279" s="24"/>
      <c r="R279" s="24"/>
      <c r="S279" s="24"/>
      <c r="T279" s="24"/>
      <c r="U279" s="24"/>
      <c r="V279" s="24"/>
      <c r="W279" s="24"/>
      <c r="X279" s="24"/>
      <c r="Y279" s="24"/>
      <c r="Z279" s="24"/>
      <c r="AA279" s="24"/>
      <c r="AB279" s="24"/>
      <c r="AC279" s="24"/>
      <c r="AD279" s="24"/>
      <c r="AE279" s="24"/>
      <c r="AF279" s="24"/>
      <c r="AG279" s="24"/>
      <c r="AH279" s="24"/>
      <c r="AI279" s="24"/>
      <c r="AJ279" s="24"/>
    </row>
    <row r="280" ht="15.75" customHeight="1">
      <c r="F280" s="24"/>
      <c r="G280" s="24"/>
      <c r="H280" s="24"/>
      <c r="I280" s="24"/>
      <c r="J280" s="24"/>
      <c r="K280" s="24"/>
      <c r="L280" s="24"/>
      <c r="M280" s="24"/>
      <c r="N280" s="24"/>
      <c r="O280" s="24"/>
      <c r="P280" s="24"/>
      <c r="Q280" s="24"/>
      <c r="R280" s="24"/>
      <c r="S280" s="24"/>
      <c r="T280" s="24"/>
      <c r="U280" s="24"/>
      <c r="V280" s="24"/>
      <c r="W280" s="24"/>
      <c r="X280" s="24"/>
      <c r="Y280" s="24"/>
      <c r="Z280" s="24"/>
      <c r="AA280" s="24"/>
      <c r="AB280" s="24"/>
      <c r="AC280" s="24"/>
      <c r="AD280" s="24"/>
      <c r="AE280" s="24"/>
      <c r="AF280" s="24"/>
      <c r="AG280" s="24"/>
      <c r="AH280" s="24"/>
      <c r="AI280" s="24"/>
      <c r="AJ280" s="24"/>
    </row>
    <row r="281" ht="15.75" customHeight="1">
      <c r="F281" s="24"/>
      <c r="G281" s="24"/>
      <c r="H281" s="24"/>
      <c r="I281" s="24"/>
      <c r="J281" s="24"/>
      <c r="K281" s="24"/>
      <c r="L281" s="24"/>
      <c r="M281" s="24"/>
      <c r="N281" s="24"/>
      <c r="O281" s="24"/>
      <c r="P281" s="24"/>
      <c r="Q281" s="24"/>
      <c r="R281" s="24"/>
      <c r="S281" s="24"/>
      <c r="T281" s="24"/>
      <c r="U281" s="24"/>
      <c r="V281" s="24"/>
      <c r="W281" s="24"/>
      <c r="X281" s="24"/>
      <c r="Y281" s="24"/>
      <c r="Z281" s="24"/>
      <c r="AA281" s="24"/>
      <c r="AB281" s="24"/>
      <c r="AC281" s="24"/>
      <c r="AD281" s="24"/>
      <c r="AE281" s="24"/>
      <c r="AF281" s="24"/>
      <c r="AG281" s="24"/>
      <c r="AH281" s="24"/>
      <c r="AI281" s="24"/>
      <c r="AJ281" s="24"/>
    </row>
    <row r="282" ht="15.75" customHeight="1">
      <c r="F282" s="24"/>
      <c r="G282" s="24"/>
      <c r="H282" s="24"/>
      <c r="I282" s="24"/>
      <c r="J282" s="24"/>
      <c r="K282" s="24"/>
      <c r="L282" s="24"/>
      <c r="M282" s="24"/>
      <c r="N282" s="24"/>
      <c r="O282" s="24"/>
      <c r="P282" s="24"/>
      <c r="Q282" s="24"/>
      <c r="R282" s="24"/>
      <c r="S282" s="24"/>
      <c r="T282" s="24"/>
      <c r="U282" s="24"/>
      <c r="V282" s="24"/>
      <c r="W282" s="24"/>
      <c r="X282" s="24"/>
      <c r="Y282" s="24"/>
      <c r="Z282" s="24"/>
      <c r="AA282" s="24"/>
      <c r="AB282" s="24"/>
      <c r="AC282" s="24"/>
      <c r="AD282" s="24"/>
      <c r="AE282" s="24"/>
      <c r="AF282" s="24"/>
      <c r="AG282" s="24"/>
      <c r="AH282" s="24"/>
      <c r="AI282" s="24"/>
      <c r="AJ282" s="24"/>
    </row>
    <row r="283" ht="15.75" customHeight="1">
      <c r="F283" s="24"/>
      <c r="G283" s="24"/>
      <c r="H283" s="24"/>
      <c r="I283" s="24"/>
      <c r="J283" s="24"/>
      <c r="K283" s="24"/>
      <c r="L283" s="24"/>
      <c r="M283" s="24"/>
      <c r="N283" s="24"/>
      <c r="O283" s="24"/>
      <c r="P283" s="24"/>
      <c r="Q283" s="24"/>
      <c r="R283" s="24"/>
      <c r="S283" s="24"/>
      <c r="T283" s="24"/>
      <c r="U283" s="24"/>
      <c r="V283" s="24"/>
      <c r="W283" s="24"/>
      <c r="X283" s="24"/>
      <c r="Y283" s="24"/>
      <c r="Z283" s="24"/>
      <c r="AA283" s="24"/>
      <c r="AB283" s="24"/>
      <c r="AC283" s="24"/>
      <c r="AD283" s="24"/>
      <c r="AE283" s="24"/>
      <c r="AF283" s="24"/>
      <c r="AG283" s="24"/>
      <c r="AH283" s="24"/>
      <c r="AI283" s="24"/>
      <c r="AJ283" s="24"/>
    </row>
    <row r="284" ht="15.75" customHeight="1">
      <c r="F284" s="24"/>
      <c r="G284" s="24"/>
      <c r="H284" s="24"/>
      <c r="I284" s="24"/>
      <c r="J284" s="24"/>
      <c r="K284" s="24"/>
      <c r="L284" s="24"/>
      <c r="M284" s="24"/>
      <c r="N284" s="24"/>
      <c r="O284" s="24"/>
      <c r="P284" s="24"/>
      <c r="Q284" s="24"/>
      <c r="R284" s="24"/>
      <c r="S284" s="24"/>
      <c r="T284" s="24"/>
      <c r="U284" s="24"/>
      <c r="V284" s="24"/>
      <c r="W284" s="24"/>
      <c r="X284" s="24"/>
      <c r="Y284" s="24"/>
      <c r="Z284" s="24"/>
      <c r="AA284" s="24"/>
      <c r="AB284" s="24"/>
      <c r="AC284" s="24"/>
      <c r="AD284" s="24"/>
      <c r="AE284" s="24"/>
      <c r="AF284" s="24"/>
      <c r="AG284" s="24"/>
      <c r="AH284" s="24"/>
      <c r="AI284" s="24"/>
      <c r="AJ284" s="24"/>
    </row>
    <row r="285" ht="15.75" customHeight="1">
      <c r="F285" s="24"/>
      <c r="G285" s="24"/>
      <c r="H285" s="24"/>
      <c r="I285" s="24"/>
      <c r="J285" s="24"/>
      <c r="K285" s="24"/>
      <c r="L285" s="24"/>
      <c r="M285" s="24"/>
      <c r="N285" s="24"/>
      <c r="O285" s="24"/>
      <c r="P285" s="24"/>
      <c r="Q285" s="24"/>
      <c r="R285" s="24"/>
      <c r="S285" s="24"/>
      <c r="T285" s="24"/>
      <c r="U285" s="24"/>
      <c r="V285" s="24"/>
      <c r="W285" s="24"/>
      <c r="X285" s="24"/>
      <c r="Y285" s="24"/>
      <c r="Z285" s="24"/>
      <c r="AA285" s="24"/>
      <c r="AB285" s="24"/>
      <c r="AC285" s="24"/>
      <c r="AD285" s="24"/>
      <c r="AE285" s="24"/>
      <c r="AF285" s="24"/>
      <c r="AG285" s="24"/>
      <c r="AH285" s="24"/>
      <c r="AI285" s="24"/>
      <c r="AJ285" s="24"/>
    </row>
    <row r="286" ht="15.75" customHeight="1">
      <c r="F286" s="24"/>
      <c r="G286" s="24"/>
      <c r="H286" s="24"/>
      <c r="I286" s="24"/>
      <c r="J286" s="24"/>
      <c r="K286" s="24"/>
      <c r="L286" s="24"/>
      <c r="M286" s="24"/>
      <c r="N286" s="24"/>
      <c r="O286" s="24"/>
      <c r="P286" s="24"/>
      <c r="Q286" s="24"/>
      <c r="R286" s="24"/>
      <c r="S286" s="24"/>
      <c r="T286" s="24"/>
      <c r="U286" s="24"/>
      <c r="V286" s="24"/>
      <c r="W286" s="24"/>
      <c r="X286" s="24"/>
      <c r="Y286" s="24"/>
      <c r="Z286" s="24"/>
      <c r="AA286" s="24"/>
      <c r="AB286" s="24"/>
      <c r="AC286" s="24"/>
      <c r="AD286" s="24"/>
      <c r="AE286" s="24"/>
      <c r="AF286" s="24"/>
      <c r="AG286" s="24"/>
      <c r="AH286" s="24"/>
      <c r="AI286" s="24"/>
      <c r="AJ286" s="24"/>
    </row>
    <row r="287" ht="15.75" customHeight="1">
      <c r="F287" s="24"/>
      <c r="G287" s="24"/>
      <c r="H287" s="24"/>
      <c r="I287" s="24"/>
      <c r="J287" s="24"/>
      <c r="K287" s="24"/>
      <c r="L287" s="24"/>
      <c r="M287" s="24"/>
      <c r="N287" s="24"/>
      <c r="O287" s="24"/>
      <c r="P287" s="24"/>
      <c r="Q287" s="24"/>
      <c r="R287" s="24"/>
      <c r="S287" s="24"/>
      <c r="T287" s="24"/>
      <c r="U287" s="24"/>
      <c r="V287" s="24"/>
      <c r="W287" s="24"/>
      <c r="X287" s="24"/>
      <c r="Y287" s="24"/>
      <c r="Z287" s="24"/>
      <c r="AA287" s="24"/>
      <c r="AB287" s="24"/>
      <c r="AC287" s="24"/>
      <c r="AD287" s="24"/>
      <c r="AE287" s="24"/>
      <c r="AF287" s="24"/>
      <c r="AG287" s="24"/>
      <c r="AH287" s="24"/>
      <c r="AI287" s="24"/>
      <c r="AJ287" s="24"/>
    </row>
    <row r="288" ht="15.75" customHeight="1">
      <c r="F288" s="24"/>
      <c r="G288" s="24"/>
      <c r="H288" s="24"/>
      <c r="I288" s="24"/>
      <c r="J288" s="24"/>
      <c r="K288" s="24"/>
      <c r="L288" s="24"/>
      <c r="M288" s="24"/>
      <c r="N288" s="24"/>
      <c r="O288" s="24"/>
      <c r="P288" s="24"/>
      <c r="Q288" s="24"/>
      <c r="R288" s="24"/>
      <c r="S288" s="24"/>
      <c r="T288" s="24"/>
      <c r="U288" s="24"/>
      <c r="V288" s="24"/>
      <c r="W288" s="24"/>
      <c r="X288" s="24"/>
      <c r="Y288" s="24"/>
      <c r="Z288" s="24"/>
      <c r="AA288" s="24"/>
      <c r="AB288" s="24"/>
      <c r="AC288" s="24"/>
      <c r="AD288" s="24"/>
      <c r="AE288" s="24"/>
      <c r="AF288" s="24"/>
      <c r="AG288" s="24"/>
      <c r="AH288" s="24"/>
      <c r="AI288" s="24"/>
      <c r="AJ288" s="24"/>
    </row>
    <row r="289" ht="15.75" customHeight="1">
      <c r="F289" s="24"/>
      <c r="G289" s="24"/>
      <c r="H289" s="24"/>
      <c r="I289" s="24"/>
      <c r="J289" s="24"/>
      <c r="K289" s="24"/>
      <c r="L289" s="24"/>
      <c r="M289" s="24"/>
      <c r="N289" s="24"/>
      <c r="O289" s="24"/>
      <c r="P289" s="24"/>
      <c r="Q289" s="24"/>
      <c r="R289" s="24"/>
      <c r="S289" s="24"/>
      <c r="T289" s="24"/>
      <c r="U289" s="24"/>
      <c r="V289" s="24"/>
      <c r="W289" s="24"/>
      <c r="X289" s="24"/>
      <c r="Y289" s="24"/>
      <c r="Z289" s="24"/>
      <c r="AA289" s="24"/>
      <c r="AB289" s="24"/>
      <c r="AC289" s="24"/>
      <c r="AD289" s="24"/>
      <c r="AE289" s="24"/>
      <c r="AF289" s="24"/>
      <c r="AG289" s="24"/>
      <c r="AH289" s="24"/>
      <c r="AI289" s="24"/>
      <c r="AJ289" s="24"/>
    </row>
    <row r="290" ht="15.75" customHeight="1">
      <c r="F290" s="24"/>
      <c r="G290" s="24"/>
      <c r="H290" s="24"/>
      <c r="I290" s="24"/>
      <c r="J290" s="24"/>
      <c r="K290" s="24"/>
      <c r="L290" s="24"/>
      <c r="M290" s="24"/>
      <c r="N290" s="24"/>
      <c r="O290" s="24"/>
      <c r="P290" s="24"/>
      <c r="Q290" s="24"/>
      <c r="R290" s="24"/>
      <c r="S290" s="24"/>
      <c r="T290" s="24"/>
      <c r="U290" s="24"/>
      <c r="V290" s="24"/>
      <c r="W290" s="24"/>
      <c r="X290" s="24"/>
      <c r="Y290" s="24"/>
      <c r="Z290" s="24"/>
      <c r="AA290" s="24"/>
      <c r="AB290" s="24"/>
      <c r="AC290" s="24"/>
      <c r="AD290" s="24"/>
      <c r="AE290" s="24"/>
      <c r="AF290" s="24"/>
      <c r="AG290" s="24"/>
      <c r="AH290" s="24"/>
      <c r="AI290" s="24"/>
      <c r="AJ290" s="24"/>
    </row>
    <row r="291" ht="15.75" customHeight="1">
      <c r="F291" s="24"/>
      <c r="G291" s="24"/>
      <c r="H291" s="24"/>
      <c r="I291" s="24"/>
      <c r="J291" s="24"/>
      <c r="K291" s="24"/>
      <c r="L291" s="24"/>
      <c r="M291" s="24"/>
      <c r="N291" s="24"/>
      <c r="O291" s="24"/>
      <c r="P291" s="24"/>
      <c r="Q291" s="24"/>
      <c r="R291" s="24"/>
      <c r="S291" s="24"/>
      <c r="T291" s="24"/>
      <c r="U291" s="24"/>
      <c r="V291" s="24"/>
      <c r="W291" s="24"/>
      <c r="X291" s="24"/>
      <c r="Y291" s="24"/>
      <c r="Z291" s="24"/>
      <c r="AA291" s="24"/>
      <c r="AB291" s="24"/>
      <c r="AC291" s="24"/>
      <c r="AD291" s="24"/>
      <c r="AE291" s="24"/>
      <c r="AF291" s="24"/>
      <c r="AG291" s="24"/>
      <c r="AH291" s="24"/>
      <c r="AI291" s="24"/>
      <c r="AJ291" s="24"/>
    </row>
    <row r="292" ht="15.75" customHeight="1">
      <c r="F292" s="24"/>
      <c r="G292" s="24"/>
      <c r="H292" s="24"/>
      <c r="I292" s="24"/>
      <c r="J292" s="24"/>
      <c r="K292" s="24"/>
      <c r="L292" s="24"/>
      <c r="M292" s="24"/>
      <c r="N292" s="24"/>
      <c r="O292" s="24"/>
      <c r="P292" s="24"/>
      <c r="Q292" s="24"/>
      <c r="R292" s="24"/>
      <c r="S292" s="24"/>
      <c r="T292" s="24"/>
      <c r="U292" s="24"/>
      <c r="V292" s="24"/>
      <c r="W292" s="24"/>
      <c r="X292" s="24"/>
      <c r="Y292" s="24"/>
      <c r="Z292" s="24"/>
      <c r="AA292" s="24"/>
      <c r="AB292" s="24"/>
      <c r="AC292" s="24"/>
      <c r="AD292" s="24"/>
      <c r="AE292" s="24"/>
      <c r="AF292" s="24"/>
      <c r="AG292" s="24"/>
      <c r="AH292" s="24"/>
      <c r="AI292" s="24"/>
      <c r="AJ292" s="24"/>
    </row>
    <row r="293" ht="15.75" customHeight="1">
      <c r="F293" s="24"/>
      <c r="G293" s="24"/>
      <c r="H293" s="24"/>
      <c r="I293" s="24"/>
      <c r="J293" s="24"/>
      <c r="K293" s="24"/>
      <c r="L293" s="24"/>
      <c r="M293" s="24"/>
      <c r="N293" s="24"/>
      <c r="O293" s="24"/>
      <c r="P293" s="24"/>
      <c r="Q293" s="24"/>
      <c r="R293" s="24"/>
      <c r="S293" s="24"/>
      <c r="T293" s="24"/>
      <c r="U293" s="24"/>
      <c r="V293" s="24"/>
      <c r="W293" s="24"/>
      <c r="X293" s="24"/>
      <c r="Y293" s="24"/>
      <c r="Z293" s="24"/>
      <c r="AA293" s="24"/>
      <c r="AB293" s="24"/>
      <c r="AC293" s="24"/>
      <c r="AD293" s="24"/>
      <c r="AE293" s="24"/>
      <c r="AF293" s="24"/>
      <c r="AG293" s="24"/>
      <c r="AH293" s="24"/>
      <c r="AI293" s="24"/>
      <c r="AJ293" s="24"/>
    </row>
    <row r="294" ht="15.75" customHeight="1">
      <c r="F294" s="24"/>
      <c r="G294" s="24"/>
      <c r="H294" s="24"/>
      <c r="I294" s="24"/>
      <c r="J294" s="24"/>
      <c r="K294" s="24"/>
      <c r="L294" s="24"/>
      <c r="M294" s="24"/>
      <c r="N294" s="24"/>
      <c r="O294" s="24"/>
      <c r="P294" s="24"/>
      <c r="Q294" s="24"/>
      <c r="R294" s="24"/>
      <c r="S294" s="24"/>
      <c r="T294" s="24"/>
      <c r="U294" s="24"/>
      <c r="V294" s="24"/>
      <c r="W294" s="24"/>
      <c r="X294" s="24"/>
      <c r="Y294" s="24"/>
      <c r="Z294" s="24"/>
      <c r="AA294" s="24"/>
      <c r="AB294" s="24"/>
      <c r="AC294" s="24"/>
      <c r="AD294" s="24"/>
      <c r="AE294" s="24"/>
      <c r="AF294" s="24"/>
      <c r="AG294" s="24"/>
      <c r="AH294" s="24"/>
      <c r="AI294" s="24"/>
      <c r="AJ294" s="24"/>
    </row>
    <row r="295" ht="15.75" customHeight="1">
      <c r="F295" s="24"/>
      <c r="G295" s="24"/>
      <c r="H295" s="24"/>
      <c r="I295" s="24"/>
      <c r="J295" s="24"/>
      <c r="K295" s="24"/>
      <c r="L295" s="24"/>
      <c r="M295" s="24"/>
      <c r="N295" s="24"/>
      <c r="O295" s="24"/>
      <c r="P295" s="24"/>
      <c r="Q295" s="24"/>
      <c r="R295" s="24"/>
      <c r="S295" s="24"/>
      <c r="T295" s="24"/>
      <c r="U295" s="24"/>
      <c r="V295" s="24"/>
      <c r="W295" s="24"/>
      <c r="X295" s="24"/>
      <c r="Y295" s="24"/>
      <c r="Z295" s="24"/>
      <c r="AA295" s="24"/>
      <c r="AB295" s="24"/>
      <c r="AC295" s="24"/>
      <c r="AD295" s="24"/>
      <c r="AE295" s="24"/>
      <c r="AF295" s="24"/>
      <c r="AG295" s="24"/>
      <c r="AH295" s="24"/>
      <c r="AI295" s="24"/>
      <c r="AJ295" s="24"/>
    </row>
    <row r="296" ht="15.75" customHeight="1">
      <c r="F296" s="24"/>
      <c r="G296" s="24"/>
      <c r="H296" s="24"/>
      <c r="I296" s="24"/>
      <c r="J296" s="24"/>
      <c r="K296" s="24"/>
      <c r="L296" s="24"/>
      <c r="M296" s="24"/>
      <c r="N296" s="24"/>
      <c r="O296" s="24"/>
      <c r="P296" s="24"/>
      <c r="Q296" s="24"/>
      <c r="R296" s="24"/>
      <c r="S296" s="24"/>
      <c r="T296" s="24"/>
      <c r="U296" s="24"/>
      <c r="V296" s="24"/>
      <c r="W296" s="24"/>
      <c r="X296" s="24"/>
      <c r="Y296" s="24"/>
      <c r="Z296" s="24"/>
      <c r="AA296" s="24"/>
      <c r="AB296" s="24"/>
      <c r="AC296" s="24"/>
      <c r="AD296" s="24"/>
      <c r="AE296" s="24"/>
      <c r="AF296" s="24"/>
      <c r="AG296" s="24"/>
      <c r="AH296" s="24"/>
      <c r="AI296" s="24"/>
      <c r="AJ296" s="24"/>
    </row>
    <row r="297" ht="15.75" customHeight="1">
      <c r="F297" s="24"/>
      <c r="G297" s="24"/>
      <c r="H297" s="24"/>
      <c r="I297" s="24"/>
      <c r="J297" s="24"/>
      <c r="K297" s="24"/>
      <c r="L297" s="24"/>
      <c r="M297" s="24"/>
      <c r="N297" s="24"/>
      <c r="O297" s="24"/>
      <c r="P297" s="24"/>
      <c r="Q297" s="24"/>
      <c r="R297" s="24"/>
      <c r="S297" s="24"/>
      <c r="T297" s="24"/>
      <c r="U297" s="24"/>
      <c r="V297" s="24"/>
      <c r="W297" s="24"/>
      <c r="X297" s="24"/>
      <c r="Y297" s="24"/>
      <c r="Z297" s="24"/>
      <c r="AA297" s="24"/>
      <c r="AB297" s="24"/>
      <c r="AC297" s="24"/>
      <c r="AD297" s="24"/>
      <c r="AE297" s="24"/>
      <c r="AF297" s="24"/>
      <c r="AG297" s="24"/>
      <c r="AH297" s="24"/>
      <c r="AI297" s="24"/>
      <c r="AJ297" s="24"/>
    </row>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4">
    <mergeCell ref="A60:E60"/>
    <mergeCell ref="F74:G74"/>
    <mergeCell ref="A76:E76"/>
    <mergeCell ref="A91:E91"/>
    <mergeCell ref="A95:E95"/>
    <mergeCell ref="H78:AJ78"/>
    <mergeCell ref="K81:AJ81"/>
    <mergeCell ref="A1:E1"/>
    <mergeCell ref="A16:E16"/>
    <mergeCell ref="K20:AJ20"/>
    <mergeCell ref="A30:E30"/>
    <mergeCell ref="AE40:AJ40"/>
    <mergeCell ref="A45:E45"/>
    <mergeCell ref="H66:AJ66"/>
  </mergeCells>
  <conditionalFormatting sqref="AN3:AN14 AN18:AN28 AN32:AN43 AN47:AN58 AN62:AN74 AN78:AN89 AN93 AN97">
    <cfRule type="cellIs" dxfId="4" priority="1" operator="greaterThan">
      <formula>3</formula>
    </cfRule>
  </conditionalFormatting>
  <conditionalFormatting sqref="AO3:AR14 AO18:AR28 AO32:AR43 AO47:AR58 AO62:AR74 AS71 AO78:AR89 AO93:AR93 AO97:AR97">
    <cfRule type="cellIs" dxfId="4" priority="2" operator="greaterThan">
      <formula>0</formula>
    </cfRule>
  </conditionalFormatting>
  <conditionalFormatting sqref="AM3:AM14 AM18:AM28 AM32:AM43 AM47:AM58 AM62:AM74 AM78:AM89 AM93 AM97">
    <cfRule type="endsWith" dxfId="3" priority="3" operator="endsWith" text="NO CORRESPONDE FRANCO">
      <formula>RIGHT((AM3),LEN("NO CORRESPONDE FRANCO"))=("NO CORRESPONDE FRANCO")</formula>
    </cfRule>
  </conditionalFormatting>
  <dataValidations>
    <dataValidation type="list" allowBlank="1" showErrorMessage="1" sqref="P41">
      <formula1>#REF!</formula1>
    </dataValidation>
  </dataValidations>
  <printOptions/>
  <pageMargins bottom="0.75" footer="0.0" header="0.0" left="0.7" right="0.7" top="0.75"/>
  <pageSetup orientation="landscape"/>
  <drawing r:id="rId2"/>
  <legacyDrawing r:id="rId3"/>
  <tableParts count="1">
    <tablePart r:id="rId5"/>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71"/>
    <col customWidth="1" min="2" max="2" width="28.29"/>
    <col customWidth="1" min="3" max="3" width="9.86"/>
    <col customWidth="1" min="4" max="4" width="25.29"/>
    <col customWidth="1" min="5" max="5" width="12.57"/>
    <col customWidth="1" min="6" max="24" width="3.71"/>
    <col customWidth="1" min="25" max="25" width="5.57"/>
    <col customWidth="1" min="26" max="27" width="4.57"/>
    <col customWidth="1" min="28" max="28" width="5.86"/>
    <col customWidth="1" min="29" max="29" width="4.71"/>
    <col customWidth="1" min="30" max="30" width="4.43"/>
    <col customWidth="1" min="31" max="31" width="4.57"/>
    <col customWidth="1" min="32" max="32" width="4.43"/>
    <col customWidth="1" min="33" max="33" width="4.0"/>
    <col customWidth="1" min="34" max="34" width="26.57"/>
    <col customWidth="1" min="35" max="35" width="11.29"/>
    <col customWidth="1" min="36" max="36" width="4.0"/>
    <col customWidth="1" min="37" max="39" width="21.0"/>
    <col customWidth="1" min="40" max="40" width="3.71"/>
    <col customWidth="1" min="41" max="41" width="3.86"/>
    <col customWidth="1" min="42" max="42" width="4.29"/>
    <col customWidth="1" min="43" max="43" width="4.14"/>
    <col customWidth="1" min="44" max="44" width="3.29"/>
    <col customWidth="1" hidden="1" min="45" max="45" width="21.0"/>
    <col customWidth="1" min="46" max="47" width="21.0"/>
  </cols>
  <sheetData>
    <row r="1">
      <c r="A1" s="1" t="s">
        <v>0</v>
      </c>
      <c r="B1" s="2"/>
      <c r="C1" s="2"/>
      <c r="D1" s="2"/>
      <c r="E1" s="3"/>
      <c r="F1" s="9">
        <v>1.0</v>
      </c>
      <c r="G1" s="9">
        <v>2.0</v>
      </c>
      <c r="H1" s="9">
        <v>3.0</v>
      </c>
      <c r="I1" s="9">
        <v>4.0</v>
      </c>
      <c r="J1" s="9">
        <v>5.0</v>
      </c>
      <c r="K1" s="9">
        <v>6.0</v>
      </c>
      <c r="L1" s="9">
        <v>7.0</v>
      </c>
      <c r="M1" s="9">
        <v>8.0</v>
      </c>
      <c r="N1" s="9">
        <v>9.0</v>
      </c>
      <c r="O1" s="9">
        <v>10.0</v>
      </c>
      <c r="P1" s="9">
        <v>11.0</v>
      </c>
      <c r="Q1" s="9">
        <v>12.0</v>
      </c>
      <c r="R1" s="9">
        <v>13.0</v>
      </c>
      <c r="S1" s="9">
        <v>14.0</v>
      </c>
      <c r="T1" s="9">
        <v>15.0</v>
      </c>
      <c r="U1" s="9">
        <v>16.0</v>
      </c>
      <c r="V1" s="9">
        <v>17.0</v>
      </c>
      <c r="W1" s="9">
        <v>18.0</v>
      </c>
      <c r="X1" s="9">
        <v>19.0</v>
      </c>
      <c r="Y1" s="9">
        <v>20.0</v>
      </c>
      <c r="Z1" s="9">
        <v>21.0</v>
      </c>
      <c r="AA1" s="9">
        <v>22.0</v>
      </c>
      <c r="AB1" s="9">
        <v>23.0</v>
      </c>
      <c r="AC1" s="9">
        <v>24.0</v>
      </c>
      <c r="AD1" s="9">
        <v>25.0</v>
      </c>
      <c r="AE1" s="9">
        <v>26.0</v>
      </c>
      <c r="AF1" s="9">
        <v>27.0</v>
      </c>
      <c r="AG1" s="9">
        <v>28.0</v>
      </c>
      <c r="AH1" s="9">
        <v>29.0</v>
      </c>
      <c r="AI1" s="9">
        <v>30.0</v>
      </c>
      <c r="AJ1" s="9">
        <v>31.0</v>
      </c>
      <c r="AK1" s="13"/>
      <c r="AL1" s="15"/>
      <c r="AM1" s="15"/>
      <c r="AN1" s="15"/>
      <c r="AO1" s="15"/>
      <c r="AP1" s="15"/>
      <c r="AQ1" s="15"/>
      <c r="AR1" s="15"/>
      <c r="AS1" s="15"/>
      <c r="AT1" s="15"/>
      <c r="AU1" s="15"/>
    </row>
    <row r="2">
      <c r="A2" s="30" t="s">
        <v>4</v>
      </c>
      <c r="B2" s="32" t="s">
        <v>5</v>
      </c>
      <c r="C2" s="35" t="s">
        <v>6</v>
      </c>
      <c r="D2" s="41" t="s">
        <v>7</v>
      </c>
      <c r="E2" s="43" t="s">
        <v>8</v>
      </c>
      <c r="F2" s="9" t="s">
        <v>9</v>
      </c>
      <c r="G2" s="9" t="s">
        <v>10</v>
      </c>
      <c r="H2" s="9" t="s">
        <v>11</v>
      </c>
      <c r="I2" s="9" t="s">
        <v>12</v>
      </c>
      <c r="J2" s="9" t="s">
        <v>12</v>
      </c>
      <c r="K2" s="9" t="s">
        <v>13</v>
      </c>
      <c r="L2" s="9" t="s">
        <v>15</v>
      </c>
      <c r="M2" s="9" t="s">
        <v>9</v>
      </c>
      <c r="N2" s="9" t="s">
        <v>10</v>
      </c>
      <c r="O2" s="9" t="s">
        <v>11</v>
      </c>
      <c r="P2" s="9" t="s">
        <v>12</v>
      </c>
      <c r="Q2" s="9" t="s">
        <v>12</v>
      </c>
      <c r="R2" s="9" t="s">
        <v>13</v>
      </c>
      <c r="S2" s="9" t="s">
        <v>15</v>
      </c>
      <c r="T2" s="9" t="s">
        <v>9</v>
      </c>
      <c r="U2" s="9" t="s">
        <v>10</v>
      </c>
      <c r="V2" s="9" t="s">
        <v>11</v>
      </c>
      <c r="W2" s="9" t="s">
        <v>12</v>
      </c>
      <c r="X2" s="9" t="s">
        <v>12</v>
      </c>
      <c r="Y2" s="9" t="s">
        <v>13</v>
      </c>
      <c r="Z2" s="9" t="s">
        <v>15</v>
      </c>
      <c r="AA2" s="9" t="s">
        <v>9</v>
      </c>
      <c r="AB2" s="9" t="s">
        <v>10</v>
      </c>
      <c r="AC2" s="9" t="s">
        <v>11</v>
      </c>
      <c r="AD2" s="9" t="s">
        <v>12</v>
      </c>
      <c r="AE2" s="9" t="s">
        <v>12</v>
      </c>
      <c r="AF2" s="9" t="s">
        <v>13</v>
      </c>
      <c r="AG2" s="13" t="s">
        <v>15</v>
      </c>
      <c r="AH2" s="9" t="s">
        <v>9</v>
      </c>
      <c r="AI2" s="9" t="s">
        <v>10</v>
      </c>
      <c r="AJ2" s="9" t="s">
        <v>11</v>
      </c>
      <c r="AK2" s="28" t="s">
        <v>2</v>
      </c>
      <c r="AL2" s="59"/>
      <c r="AM2" s="31" t="s">
        <v>16</v>
      </c>
      <c r="AN2" s="31" t="s">
        <v>18</v>
      </c>
      <c r="AO2" s="31" t="s">
        <v>19</v>
      </c>
      <c r="AP2" s="31" t="s">
        <v>20</v>
      </c>
      <c r="AQ2" s="31" t="s">
        <v>21</v>
      </c>
      <c r="AR2" s="33" t="s">
        <v>22</v>
      </c>
      <c r="AS2" s="36"/>
      <c r="AT2" s="36"/>
      <c r="AU2" s="36"/>
    </row>
    <row r="3">
      <c r="A3" s="38" t="s">
        <v>33</v>
      </c>
      <c r="B3" s="63" t="s">
        <v>34</v>
      </c>
      <c r="C3" s="64">
        <v>4.426271E7</v>
      </c>
      <c r="D3" s="39" t="s">
        <v>36</v>
      </c>
      <c r="E3" s="40" t="s">
        <v>41</v>
      </c>
      <c r="F3" s="72" t="s">
        <v>27</v>
      </c>
      <c r="G3" s="72" t="s">
        <v>27</v>
      </c>
      <c r="H3" s="72" t="s">
        <v>18</v>
      </c>
      <c r="I3" s="75"/>
      <c r="J3" s="75"/>
      <c r="K3" s="75"/>
      <c r="L3" s="72" t="s">
        <v>18</v>
      </c>
      <c r="M3" s="72" t="s">
        <v>27</v>
      </c>
      <c r="N3" s="72" t="s">
        <v>27</v>
      </c>
      <c r="O3" s="72" t="s">
        <v>27</v>
      </c>
      <c r="P3" s="75"/>
      <c r="Q3" s="75"/>
      <c r="R3" s="72" t="s">
        <v>27</v>
      </c>
      <c r="S3" s="72" t="s">
        <v>18</v>
      </c>
      <c r="T3" s="72" t="s">
        <v>27</v>
      </c>
      <c r="U3" s="75"/>
      <c r="V3" s="75"/>
      <c r="W3" s="75"/>
      <c r="X3" s="72" t="s">
        <v>27</v>
      </c>
      <c r="Y3" s="72" t="s">
        <v>18</v>
      </c>
      <c r="Z3" s="72" t="s">
        <v>27</v>
      </c>
      <c r="AA3" s="72" t="s">
        <v>27</v>
      </c>
      <c r="AB3" s="75"/>
      <c r="AC3" s="75"/>
      <c r="AD3" s="72" t="s">
        <v>18</v>
      </c>
      <c r="AE3" s="72" t="s">
        <v>27</v>
      </c>
      <c r="AF3" s="72" t="s">
        <v>27</v>
      </c>
      <c r="AG3" s="75"/>
      <c r="AH3" s="75"/>
      <c r="AI3" s="75"/>
      <c r="AJ3" s="72" t="s">
        <v>27</v>
      </c>
      <c r="AK3" s="82"/>
      <c r="AL3" s="82"/>
      <c r="AM3" s="60" t="str">
        <f t="shared" ref="AM3:AM10" si="1">IFS(AN3&gt;3,"NO CORRESPONDE FRANCO",AS3&gt;0,"NO CORRESPONDE FRANCO",AS3=0,"")</f>
        <v>NO CORRESPONDE FRANCO</v>
      </c>
      <c r="AN3" s="60">
        <f t="shared" ref="AN3:AN10" si="2">COUNTIF($F3:$AJ3,"LLT")</f>
        <v>5</v>
      </c>
      <c r="AO3" s="60">
        <f t="shared" ref="AO3:AO10" si="3">COUNTIF($F3:$AJ3,"LM")</f>
        <v>0</v>
      </c>
      <c r="AP3" s="60">
        <f t="shared" ref="AP3:AP10" si="4">COUNTIF($F3:$AJ3,"FaC")</f>
        <v>0</v>
      </c>
      <c r="AQ3" s="60">
        <f t="shared" ref="AQ3:AQ10" si="5">COUNTIF($F3:$AJ3,"LxE")</f>
        <v>0</v>
      </c>
      <c r="AR3" s="60">
        <f t="shared" ref="AR3:AR10" si="6">COUNTIF($F3:$AJ3,"LA")</f>
        <v>0</v>
      </c>
      <c r="AS3" s="60">
        <f t="shared" ref="AS3:AS10" si="7">SUM(AO3:AR3)</f>
        <v>0</v>
      </c>
      <c r="AT3" s="36"/>
      <c r="AU3" s="36"/>
    </row>
    <row r="4">
      <c r="A4" s="100" t="s">
        <v>33</v>
      </c>
      <c r="B4" s="102" t="s">
        <v>72</v>
      </c>
      <c r="C4" s="100">
        <v>3.8863901E7</v>
      </c>
      <c r="D4" s="102" t="s">
        <v>74</v>
      </c>
      <c r="E4" s="100" t="s">
        <v>75</v>
      </c>
      <c r="F4" s="72" t="s">
        <v>18</v>
      </c>
      <c r="G4" s="72" t="s">
        <v>18</v>
      </c>
      <c r="H4" s="72" t="s">
        <v>18</v>
      </c>
      <c r="I4" s="105" t="s">
        <v>27</v>
      </c>
      <c r="J4" s="75"/>
      <c r="K4" s="75"/>
      <c r="L4" s="72" t="s">
        <v>18</v>
      </c>
      <c r="M4" s="72" t="s">
        <v>27</v>
      </c>
      <c r="N4" s="72" t="s">
        <v>27</v>
      </c>
      <c r="O4" s="107" t="s">
        <v>78</v>
      </c>
      <c r="P4" s="75"/>
      <c r="Q4" s="75"/>
      <c r="R4" s="96" t="s">
        <v>22</v>
      </c>
      <c r="S4" s="96" t="s">
        <v>22</v>
      </c>
      <c r="T4" s="96" t="s">
        <v>22</v>
      </c>
      <c r="U4" s="96" t="s">
        <v>22</v>
      </c>
      <c r="V4" s="96" t="s">
        <v>22</v>
      </c>
      <c r="W4" s="96" t="s">
        <v>22</v>
      </c>
      <c r="X4" s="96" t="s">
        <v>22</v>
      </c>
      <c r="Y4" s="72" t="s">
        <v>27</v>
      </c>
      <c r="Z4" s="72" t="s">
        <v>27</v>
      </c>
      <c r="AA4" s="72" t="s">
        <v>18</v>
      </c>
      <c r="AB4" s="75"/>
      <c r="AC4" s="75"/>
      <c r="AD4" s="72" t="s">
        <v>18</v>
      </c>
      <c r="AE4" s="110" t="s">
        <v>19</v>
      </c>
      <c r="AF4" s="72" t="s">
        <v>27</v>
      </c>
      <c r="AG4" s="75"/>
      <c r="AH4" s="75"/>
      <c r="AI4" s="75"/>
      <c r="AJ4" s="112" t="s">
        <v>79</v>
      </c>
      <c r="AK4" s="82"/>
      <c r="AL4" s="82"/>
      <c r="AM4" s="60" t="str">
        <f t="shared" si="1"/>
        <v>NO CORRESPONDE FRANCO</v>
      </c>
      <c r="AN4" s="60">
        <f t="shared" si="2"/>
        <v>6</v>
      </c>
      <c r="AO4" s="60">
        <f t="shared" si="3"/>
        <v>1</v>
      </c>
      <c r="AP4" s="60">
        <f t="shared" si="4"/>
        <v>0</v>
      </c>
      <c r="AQ4" s="60">
        <f t="shared" si="5"/>
        <v>0</v>
      </c>
      <c r="AR4" s="60">
        <f t="shared" si="6"/>
        <v>7</v>
      </c>
      <c r="AS4" s="60">
        <f t="shared" si="7"/>
        <v>8</v>
      </c>
      <c r="AT4" s="82"/>
      <c r="AU4" s="82"/>
    </row>
    <row r="5">
      <c r="A5" s="115" t="s">
        <v>33</v>
      </c>
      <c r="B5" s="67" t="s">
        <v>86</v>
      </c>
      <c r="C5" s="76">
        <v>4.5756657E7</v>
      </c>
      <c r="D5" s="97" t="s">
        <v>89</v>
      </c>
      <c r="E5" s="76" t="s">
        <v>90</v>
      </c>
      <c r="F5" s="72" t="s">
        <v>18</v>
      </c>
      <c r="G5" s="105" t="s">
        <v>18</v>
      </c>
      <c r="H5" s="72" t="s">
        <v>18</v>
      </c>
      <c r="I5" s="75"/>
      <c r="J5" s="72" t="s">
        <v>18</v>
      </c>
      <c r="K5" s="75"/>
      <c r="L5" s="72" t="s">
        <v>18</v>
      </c>
      <c r="M5" s="112" t="s">
        <v>79</v>
      </c>
      <c r="N5" s="72" t="s">
        <v>27</v>
      </c>
      <c r="O5" s="72" t="s">
        <v>18</v>
      </c>
      <c r="P5" s="75"/>
      <c r="Q5" s="75"/>
      <c r="R5" s="72" t="s">
        <v>18</v>
      </c>
      <c r="S5" s="72" t="s">
        <v>18</v>
      </c>
      <c r="T5" s="72" t="s">
        <v>18</v>
      </c>
      <c r="U5" s="75"/>
      <c r="V5" s="75"/>
      <c r="W5" s="75"/>
      <c r="X5" s="96" t="s">
        <v>22</v>
      </c>
      <c r="Y5" s="96" t="s">
        <v>22</v>
      </c>
      <c r="Z5" s="96" t="s">
        <v>22</v>
      </c>
      <c r="AA5" s="96" t="s">
        <v>22</v>
      </c>
      <c r="AB5" s="96" t="s">
        <v>22</v>
      </c>
      <c r="AC5" s="96" t="s">
        <v>22</v>
      </c>
      <c r="AD5" s="96" t="s">
        <v>22</v>
      </c>
      <c r="AE5" s="105" t="s">
        <v>18</v>
      </c>
      <c r="AF5" s="72" t="s">
        <v>18</v>
      </c>
      <c r="AG5" s="75"/>
      <c r="AH5" s="75"/>
      <c r="AI5" s="75"/>
      <c r="AJ5" s="72" t="s">
        <v>18</v>
      </c>
      <c r="AK5" s="82"/>
      <c r="AL5" s="82"/>
      <c r="AM5" s="60" t="str">
        <f t="shared" si="1"/>
        <v>NO CORRESPONDE FRANCO</v>
      </c>
      <c r="AN5" s="60">
        <f t="shared" si="2"/>
        <v>12</v>
      </c>
      <c r="AO5" s="60">
        <f t="shared" si="3"/>
        <v>0</v>
      </c>
      <c r="AP5" s="60">
        <f t="shared" si="4"/>
        <v>0</v>
      </c>
      <c r="AQ5" s="60">
        <f t="shared" si="5"/>
        <v>0</v>
      </c>
      <c r="AR5" s="60">
        <f t="shared" si="6"/>
        <v>7</v>
      </c>
      <c r="AS5" s="60">
        <f t="shared" si="7"/>
        <v>7</v>
      </c>
      <c r="AT5" s="82"/>
      <c r="AU5" s="82"/>
    </row>
    <row r="6">
      <c r="A6" s="66" t="s">
        <v>33</v>
      </c>
      <c r="B6" s="116" t="s">
        <v>95</v>
      </c>
      <c r="C6" s="76">
        <v>3.5820013E7</v>
      </c>
      <c r="D6" s="116" t="s">
        <v>96</v>
      </c>
      <c r="E6" s="76" t="s">
        <v>98</v>
      </c>
      <c r="F6" s="72" t="s">
        <v>27</v>
      </c>
      <c r="G6" s="72" t="s">
        <v>27</v>
      </c>
      <c r="H6" s="72" t="s">
        <v>27</v>
      </c>
      <c r="I6" s="75"/>
      <c r="J6" s="75"/>
      <c r="K6" s="75"/>
      <c r="L6" s="72" t="s">
        <v>27</v>
      </c>
      <c r="M6" s="72" t="s">
        <v>27</v>
      </c>
      <c r="N6" s="107" t="s">
        <v>78</v>
      </c>
      <c r="O6" s="72" t="s">
        <v>27</v>
      </c>
      <c r="P6" s="75"/>
      <c r="Q6" s="75"/>
      <c r="R6" s="72" t="s">
        <v>18</v>
      </c>
      <c r="S6" s="72" t="s">
        <v>27</v>
      </c>
      <c r="T6" s="106" t="s">
        <v>32</v>
      </c>
      <c r="U6" s="75"/>
      <c r="V6" s="75"/>
      <c r="W6" s="75"/>
      <c r="X6" s="72" t="s">
        <v>27</v>
      </c>
      <c r="Y6" s="72" t="s">
        <v>27</v>
      </c>
      <c r="Z6" s="72" t="s">
        <v>27</v>
      </c>
      <c r="AA6" s="126" t="s">
        <v>19</v>
      </c>
      <c r="AB6" s="75"/>
      <c r="AC6" s="75"/>
      <c r="AD6" s="72" t="s">
        <v>27</v>
      </c>
      <c r="AE6" s="72" t="s">
        <v>27</v>
      </c>
      <c r="AF6" s="72" t="s">
        <v>27</v>
      </c>
      <c r="AG6" s="75"/>
      <c r="AH6" s="75"/>
      <c r="AI6" s="75"/>
      <c r="AJ6" s="72" t="s">
        <v>27</v>
      </c>
      <c r="AK6" s="82"/>
      <c r="AL6" s="82"/>
      <c r="AM6" s="60" t="str">
        <f t="shared" si="1"/>
        <v>NO CORRESPONDE FRANCO</v>
      </c>
      <c r="AN6" s="60">
        <f t="shared" si="2"/>
        <v>1</v>
      </c>
      <c r="AO6" s="60">
        <f t="shared" si="3"/>
        <v>1</v>
      </c>
      <c r="AP6" s="60">
        <f t="shared" si="4"/>
        <v>0</v>
      </c>
      <c r="AQ6" s="60">
        <f t="shared" si="5"/>
        <v>0</v>
      </c>
      <c r="AR6" s="60">
        <f t="shared" si="6"/>
        <v>0</v>
      </c>
      <c r="AS6" s="60">
        <f t="shared" si="7"/>
        <v>1</v>
      </c>
      <c r="AT6" s="82"/>
      <c r="AU6" s="82"/>
    </row>
    <row r="7">
      <c r="A7" s="66" t="s">
        <v>33</v>
      </c>
      <c r="B7" s="116" t="s">
        <v>108</v>
      </c>
      <c r="C7" s="76">
        <v>3.8862287E7</v>
      </c>
      <c r="D7" s="116" t="s">
        <v>109</v>
      </c>
      <c r="E7" s="100" t="s">
        <v>110</v>
      </c>
      <c r="F7" s="72" t="s">
        <v>27</v>
      </c>
      <c r="G7" s="72" t="s">
        <v>27</v>
      </c>
      <c r="H7" s="72" t="s">
        <v>27</v>
      </c>
      <c r="I7" s="75"/>
      <c r="J7" s="75"/>
      <c r="K7" s="75"/>
      <c r="L7" s="72" t="s">
        <v>27</v>
      </c>
      <c r="M7" s="72" t="s">
        <v>27</v>
      </c>
      <c r="N7" s="72" t="s">
        <v>27</v>
      </c>
      <c r="O7" s="72" t="s">
        <v>27</v>
      </c>
      <c r="P7" s="75"/>
      <c r="Q7" s="75"/>
      <c r="R7" s="72" t="s">
        <v>27</v>
      </c>
      <c r="S7" s="72" t="s">
        <v>18</v>
      </c>
      <c r="T7" s="72" t="s">
        <v>27</v>
      </c>
      <c r="U7" s="75"/>
      <c r="V7" s="75"/>
      <c r="W7" s="75"/>
      <c r="X7" s="72" t="s">
        <v>27</v>
      </c>
      <c r="Y7" s="72" t="s">
        <v>27</v>
      </c>
      <c r="Z7" s="72" t="s">
        <v>27</v>
      </c>
      <c r="AA7" s="72" t="s">
        <v>27</v>
      </c>
      <c r="AB7" s="75"/>
      <c r="AC7" s="75"/>
      <c r="AD7" s="72" t="s">
        <v>27</v>
      </c>
      <c r="AE7" s="72" t="s">
        <v>27</v>
      </c>
      <c r="AF7" s="72" t="s">
        <v>27</v>
      </c>
      <c r="AG7" s="75"/>
      <c r="AH7" s="75"/>
      <c r="AI7" s="75"/>
      <c r="AJ7" s="72" t="s">
        <v>27</v>
      </c>
      <c r="AK7" s="82"/>
      <c r="AL7" s="82"/>
      <c r="AM7" s="60" t="str">
        <f t="shared" si="1"/>
        <v/>
      </c>
      <c r="AN7" s="60">
        <f t="shared" si="2"/>
        <v>1</v>
      </c>
      <c r="AO7" s="60">
        <f t="shared" si="3"/>
        <v>0</v>
      </c>
      <c r="AP7" s="60">
        <f t="shared" si="4"/>
        <v>0</v>
      </c>
      <c r="AQ7" s="60">
        <f t="shared" si="5"/>
        <v>0</v>
      </c>
      <c r="AR7" s="60">
        <f t="shared" si="6"/>
        <v>0</v>
      </c>
      <c r="AS7" s="60">
        <f t="shared" si="7"/>
        <v>0</v>
      </c>
      <c r="AT7" s="82"/>
      <c r="AU7" s="82"/>
    </row>
    <row r="8">
      <c r="A8" s="66" t="s">
        <v>33</v>
      </c>
      <c r="B8" s="116" t="s">
        <v>117</v>
      </c>
      <c r="C8" s="76">
        <v>4.2826754E7</v>
      </c>
      <c r="D8" s="116" t="s">
        <v>118</v>
      </c>
      <c r="E8" s="66" t="s">
        <v>119</v>
      </c>
      <c r="F8" s="138" t="s">
        <v>19</v>
      </c>
      <c r="G8" s="72" t="s">
        <v>27</v>
      </c>
      <c r="H8" s="72" t="s">
        <v>27</v>
      </c>
      <c r="I8" s="75"/>
      <c r="J8" s="75"/>
      <c r="K8" s="75"/>
      <c r="L8" s="124" t="s">
        <v>22</v>
      </c>
      <c r="M8" s="124" t="s">
        <v>22</v>
      </c>
      <c r="N8" s="124" t="s">
        <v>22</v>
      </c>
      <c r="O8" s="124" t="s">
        <v>22</v>
      </c>
      <c r="P8" s="124" t="s">
        <v>22</v>
      </c>
      <c r="Q8" s="124" t="s">
        <v>22</v>
      </c>
      <c r="R8" s="124" t="s">
        <v>22</v>
      </c>
      <c r="S8" s="142"/>
      <c r="T8" s="142"/>
      <c r="U8" s="75"/>
      <c r="V8" s="75"/>
      <c r="W8" s="75"/>
      <c r="X8" s="72" t="s">
        <v>27</v>
      </c>
      <c r="Y8" s="142"/>
      <c r="Z8" s="72" t="s">
        <v>27</v>
      </c>
      <c r="AA8" s="72" t="s">
        <v>27</v>
      </c>
      <c r="AB8" s="75"/>
      <c r="AC8" s="75"/>
      <c r="AD8" s="72" t="s">
        <v>120</v>
      </c>
      <c r="AE8" s="72" t="s">
        <v>27</v>
      </c>
      <c r="AF8" s="72" t="s">
        <v>27</v>
      </c>
      <c r="AG8" s="75"/>
      <c r="AH8" s="75"/>
      <c r="AI8" s="75"/>
      <c r="AJ8" s="72" t="s">
        <v>27</v>
      </c>
      <c r="AK8" s="82"/>
      <c r="AL8" s="82"/>
      <c r="AM8" s="60" t="str">
        <f t="shared" si="1"/>
        <v>NO CORRESPONDE FRANCO</v>
      </c>
      <c r="AN8" s="60">
        <f t="shared" si="2"/>
        <v>0</v>
      </c>
      <c r="AO8" s="60">
        <f t="shared" si="3"/>
        <v>1</v>
      </c>
      <c r="AP8" s="60">
        <f t="shared" si="4"/>
        <v>0</v>
      </c>
      <c r="AQ8" s="60">
        <f t="shared" si="5"/>
        <v>0</v>
      </c>
      <c r="AR8" s="60">
        <f t="shared" si="6"/>
        <v>7</v>
      </c>
      <c r="AS8" s="60">
        <f t="shared" si="7"/>
        <v>8</v>
      </c>
      <c r="AT8" s="82"/>
      <c r="AU8" s="82"/>
    </row>
    <row r="9">
      <c r="A9" s="66" t="s">
        <v>33</v>
      </c>
      <c r="B9" s="116" t="s">
        <v>129</v>
      </c>
      <c r="C9" s="76">
        <v>4.6703748E7</v>
      </c>
      <c r="D9" s="116" t="s">
        <v>130</v>
      </c>
      <c r="E9" s="66" t="s">
        <v>131</v>
      </c>
      <c r="F9" s="96" t="s">
        <v>22</v>
      </c>
      <c r="G9" s="96" t="s">
        <v>22</v>
      </c>
      <c r="H9" s="149" t="s">
        <v>19</v>
      </c>
      <c r="I9" s="75"/>
      <c r="J9" s="75"/>
      <c r="K9" s="75"/>
      <c r="L9" s="72" t="s">
        <v>27</v>
      </c>
      <c r="M9" s="72" t="s">
        <v>27</v>
      </c>
      <c r="N9" s="72" t="s">
        <v>27</v>
      </c>
      <c r="O9" s="72" t="s">
        <v>18</v>
      </c>
      <c r="P9" s="75"/>
      <c r="Q9" s="75"/>
      <c r="R9" s="72" t="s">
        <v>27</v>
      </c>
      <c r="S9" s="72" t="s">
        <v>27</v>
      </c>
      <c r="T9" s="72" t="s">
        <v>27</v>
      </c>
      <c r="U9" s="75"/>
      <c r="V9" s="75"/>
      <c r="W9" s="75"/>
      <c r="X9" s="72" t="s">
        <v>27</v>
      </c>
      <c r="Y9" s="72" t="s">
        <v>27</v>
      </c>
      <c r="Z9" s="153" t="s">
        <v>19</v>
      </c>
      <c r="AA9" s="126" t="s">
        <v>19</v>
      </c>
      <c r="AB9" s="75"/>
      <c r="AC9" s="75"/>
      <c r="AD9" s="157" t="s">
        <v>21</v>
      </c>
      <c r="AE9" s="72" t="s">
        <v>27</v>
      </c>
      <c r="AF9" s="72" t="s">
        <v>27</v>
      </c>
      <c r="AG9" s="75"/>
      <c r="AH9" s="75"/>
      <c r="AI9" s="75"/>
      <c r="AJ9" s="72" t="s">
        <v>27</v>
      </c>
      <c r="AK9" s="82"/>
      <c r="AL9" s="82"/>
      <c r="AM9" s="60" t="str">
        <f t="shared" si="1"/>
        <v>NO CORRESPONDE FRANCO</v>
      </c>
      <c r="AN9" s="60">
        <f t="shared" si="2"/>
        <v>1</v>
      </c>
      <c r="AO9" s="60">
        <f t="shared" si="3"/>
        <v>3</v>
      </c>
      <c r="AP9" s="60">
        <f t="shared" si="4"/>
        <v>0</v>
      </c>
      <c r="AQ9" s="60">
        <f t="shared" si="5"/>
        <v>1</v>
      </c>
      <c r="AR9" s="60">
        <f t="shared" si="6"/>
        <v>2</v>
      </c>
      <c r="AS9" s="60">
        <f t="shared" si="7"/>
        <v>6</v>
      </c>
      <c r="AT9" s="82"/>
      <c r="AU9" s="82"/>
    </row>
    <row r="10">
      <c r="A10" s="66" t="s">
        <v>33</v>
      </c>
      <c r="B10" s="67" t="s">
        <v>146</v>
      </c>
      <c r="C10" s="66">
        <v>9.4485552E7</v>
      </c>
      <c r="D10" s="67" t="s">
        <v>147</v>
      </c>
      <c r="E10" s="66">
        <v>1.124571454E9</v>
      </c>
      <c r="F10" s="72" t="s">
        <v>27</v>
      </c>
      <c r="G10" s="72" t="s">
        <v>27</v>
      </c>
      <c r="H10" s="72" t="s">
        <v>27</v>
      </c>
      <c r="I10" s="75"/>
      <c r="J10" s="75"/>
      <c r="K10" s="75"/>
      <c r="L10" s="72" t="s">
        <v>27</v>
      </c>
      <c r="M10" s="72" t="s">
        <v>27</v>
      </c>
      <c r="N10" s="72" t="s">
        <v>18</v>
      </c>
      <c r="O10" s="72" t="s">
        <v>27</v>
      </c>
      <c r="P10" s="75"/>
      <c r="Q10" s="75"/>
      <c r="R10" s="72" t="s">
        <v>27</v>
      </c>
      <c r="S10" s="72" t="s">
        <v>27</v>
      </c>
      <c r="T10" s="72" t="s">
        <v>27</v>
      </c>
      <c r="U10" s="75"/>
      <c r="V10" s="75"/>
      <c r="W10" s="75"/>
      <c r="X10" s="72" t="s">
        <v>18</v>
      </c>
      <c r="Y10" s="72" t="s">
        <v>27</v>
      </c>
      <c r="Z10" s="72" t="s">
        <v>27</v>
      </c>
      <c r="AA10" s="72" t="s">
        <v>27</v>
      </c>
      <c r="AB10" s="75"/>
      <c r="AC10" s="75"/>
      <c r="AD10" s="72" t="s">
        <v>120</v>
      </c>
      <c r="AE10" s="72" t="s">
        <v>27</v>
      </c>
      <c r="AF10" s="72" t="s">
        <v>27</v>
      </c>
      <c r="AG10" s="75"/>
      <c r="AH10" s="75"/>
      <c r="AI10" s="75"/>
      <c r="AJ10" s="72" t="s">
        <v>27</v>
      </c>
      <c r="AK10" s="82"/>
      <c r="AL10" s="82"/>
      <c r="AM10" s="60" t="str">
        <f t="shared" si="1"/>
        <v/>
      </c>
      <c r="AN10" s="60">
        <f t="shared" si="2"/>
        <v>2</v>
      </c>
      <c r="AO10" s="60">
        <f t="shared" si="3"/>
        <v>0</v>
      </c>
      <c r="AP10" s="60">
        <f t="shared" si="4"/>
        <v>0</v>
      </c>
      <c r="AQ10" s="60">
        <f t="shared" si="5"/>
        <v>0</v>
      </c>
      <c r="AR10" s="60">
        <f t="shared" si="6"/>
        <v>0</v>
      </c>
      <c r="AS10" s="60">
        <f t="shared" si="7"/>
        <v>0</v>
      </c>
      <c r="AT10" s="82"/>
      <c r="AU10" s="82"/>
    </row>
    <row r="11">
      <c r="A11" s="163"/>
      <c r="B11" s="163"/>
      <c r="C11" s="163"/>
      <c r="D11" s="163"/>
      <c r="E11" s="163"/>
      <c r="F11" s="165"/>
      <c r="H11" s="24"/>
      <c r="I11" s="24"/>
      <c r="K11" s="24"/>
      <c r="L11" s="24"/>
      <c r="N11" s="24"/>
      <c r="O11" s="24"/>
      <c r="Q11" s="24"/>
      <c r="R11" s="165"/>
      <c r="S11" s="24"/>
      <c r="T11" s="24"/>
      <c r="U11" s="24"/>
      <c r="W11" s="24"/>
      <c r="X11" s="24"/>
      <c r="AK11" s="82"/>
      <c r="AL11" s="82"/>
      <c r="AM11" s="82"/>
      <c r="AN11" s="60"/>
      <c r="AO11" s="60"/>
      <c r="AP11" s="60"/>
      <c r="AQ11" s="60"/>
      <c r="AR11" s="60"/>
      <c r="AS11" s="60"/>
      <c r="AT11" s="82"/>
      <c r="AU11" s="82"/>
    </row>
    <row r="12">
      <c r="A12" s="169" t="s">
        <v>159</v>
      </c>
      <c r="B12" s="6"/>
      <c r="C12" s="6"/>
      <c r="D12" s="6"/>
      <c r="E12" s="11"/>
      <c r="F12" s="9">
        <v>1.0</v>
      </c>
      <c r="G12" s="9">
        <v>2.0</v>
      </c>
      <c r="H12" s="9">
        <v>3.0</v>
      </c>
      <c r="I12" s="9">
        <v>4.0</v>
      </c>
      <c r="J12" s="9">
        <v>5.0</v>
      </c>
      <c r="K12" s="9">
        <v>6.0</v>
      </c>
      <c r="L12" s="9">
        <v>7.0</v>
      </c>
      <c r="M12" s="9">
        <v>8.0</v>
      </c>
      <c r="N12" s="9">
        <v>9.0</v>
      </c>
      <c r="O12" s="9">
        <v>10.0</v>
      </c>
      <c r="P12" s="9">
        <v>11.0</v>
      </c>
      <c r="Q12" s="9">
        <v>12.0</v>
      </c>
      <c r="R12" s="9">
        <v>13.0</v>
      </c>
      <c r="S12" s="9">
        <v>14.0</v>
      </c>
      <c r="T12" s="9">
        <v>15.0</v>
      </c>
      <c r="U12" s="9">
        <v>16.0</v>
      </c>
      <c r="V12" s="9">
        <v>17.0</v>
      </c>
      <c r="W12" s="9">
        <v>18.0</v>
      </c>
      <c r="X12" s="9">
        <v>19.0</v>
      </c>
      <c r="Y12" s="9">
        <v>20.0</v>
      </c>
      <c r="Z12" s="9">
        <v>21.0</v>
      </c>
      <c r="AA12" s="9">
        <v>22.0</v>
      </c>
      <c r="AB12" s="9">
        <v>23.0</v>
      </c>
      <c r="AC12" s="9">
        <v>24.0</v>
      </c>
      <c r="AD12" s="9">
        <v>25.0</v>
      </c>
      <c r="AE12" s="9">
        <v>26.0</v>
      </c>
      <c r="AF12" s="9">
        <v>27.0</v>
      </c>
      <c r="AG12" s="9">
        <v>28.0</v>
      </c>
      <c r="AH12" s="9">
        <v>29.0</v>
      </c>
      <c r="AI12" s="9">
        <v>30.0</v>
      </c>
      <c r="AJ12" s="9">
        <v>31.0</v>
      </c>
      <c r="AK12" s="82"/>
      <c r="AL12" s="82"/>
      <c r="AM12" s="82"/>
      <c r="AN12" s="60">
        <f t="shared" ref="AN12:AN21" si="8">COUNTIF($F12:$AJ12,"LLT")</f>
        <v>0</v>
      </c>
      <c r="AO12" s="60">
        <f t="shared" ref="AO12:AO21" si="9">COUNTIF($F12:$AJ12,"LM")</f>
        <v>0</v>
      </c>
      <c r="AP12" s="60">
        <f t="shared" ref="AP12:AP21" si="10">COUNTIF($F12:$AJ12,"FaC")</f>
        <v>0</v>
      </c>
      <c r="AQ12" s="60">
        <f t="shared" ref="AQ12:AQ21" si="11">COUNTIF($F12:$AJ12,"LxE")</f>
        <v>0</v>
      </c>
      <c r="AR12" s="60">
        <f t="shared" ref="AR12:AR21" si="12">COUNTIF($F12:$AJ12,"LA")</f>
        <v>0</v>
      </c>
      <c r="AS12" s="60">
        <f t="shared" ref="AS12:AS21" si="13">SUM(AO12:AR12)</f>
        <v>0</v>
      </c>
      <c r="AT12" s="82"/>
      <c r="AU12" s="82"/>
    </row>
    <row r="13">
      <c r="A13" s="183" t="s">
        <v>4</v>
      </c>
      <c r="B13" s="185" t="s">
        <v>5</v>
      </c>
      <c r="C13" s="187" t="s">
        <v>6</v>
      </c>
      <c r="D13" s="188" t="s">
        <v>7</v>
      </c>
      <c r="E13" s="189" t="s">
        <v>8</v>
      </c>
      <c r="F13" s="9" t="s">
        <v>9</v>
      </c>
      <c r="G13" s="9" t="s">
        <v>10</v>
      </c>
      <c r="H13" s="9" t="s">
        <v>11</v>
      </c>
      <c r="I13" s="9" t="s">
        <v>12</v>
      </c>
      <c r="J13" s="9" t="s">
        <v>12</v>
      </c>
      <c r="K13" s="9" t="s">
        <v>13</v>
      </c>
      <c r="L13" s="9" t="s">
        <v>15</v>
      </c>
      <c r="M13" s="9" t="s">
        <v>9</v>
      </c>
      <c r="N13" s="9" t="s">
        <v>10</v>
      </c>
      <c r="O13" s="9" t="s">
        <v>11</v>
      </c>
      <c r="P13" s="9" t="s">
        <v>12</v>
      </c>
      <c r="Q13" s="9" t="s">
        <v>12</v>
      </c>
      <c r="R13" s="9" t="s">
        <v>13</v>
      </c>
      <c r="S13" s="9" t="s">
        <v>15</v>
      </c>
      <c r="T13" s="9" t="s">
        <v>9</v>
      </c>
      <c r="U13" s="9" t="s">
        <v>10</v>
      </c>
      <c r="V13" s="9" t="s">
        <v>11</v>
      </c>
      <c r="W13" s="9" t="s">
        <v>12</v>
      </c>
      <c r="X13" s="9" t="s">
        <v>12</v>
      </c>
      <c r="Y13" s="9" t="s">
        <v>13</v>
      </c>
      <c r="Z13" s="9" t="s">
        <v>15</v>
      </c>
      <c r="AA13" s="9" t="s">
        <v>9</v>
      </c>
      <c r="AB13" s="9" t="s">
        <v>10</v>
      </c>
      <c r="AC13" s="9" t="s">
        <v>11</v>
      </c>
      <c r="AD13" s="9" t="s">
        <v>12</v>
      </c>
      <c r="AE13" s="9" t="s">
        <v>12</v>
      </c>
      <c r="AF13" s="9" t="s">
        <v>13</v>
      </c>
      <c r="AG13" s="13" t="s">
        <v>15</v>
      </c>
      <c r="AH13" s="9" t="s">
        <v>9</v>
      </c>
      <c r="AI13" s="9" t="s">
        <v>10</v>
      </c>
      <c r="AJ13" s="9" t="s">
        <v>11</v>
      </c>
      <c r="AK13" s="82"/>
      <c r="AL13" s="82"/>
      <c r="AM13" s="82"/>
      <c r="AN13" s="60">
        <f t="shared" si="8"/>
        <v>0</v>
      </c>
      <c r="AO13" s="60">
        <f t="shared" si="9"/>
        <v>0</v>
      </c>
      <c r="AP13" s="60">
        <f t="shared" si="10"/>
        <v>0</v>
      </c>
      <c r="AQ13" s="60">
        <f t="shared" si="11"/>
        <v>0</v>
      </c>
      <c r="AR13" s="60">
        <f t="shared" si="12"/>
        <v>0</v>
      </c>
      <c r="AS13" s="60">
        <f t="shared" si="13"/>
        <v>0</v>
      </c>
      <c r="AT13" s="82"/>
      <c r="AU13" s="82"/>
    </row>
    <row r="14">
      <c r="A14" s="194" t="s">
        <v>33</v>
      </c>
      <c r="B14" s="39" t="s">
        <v>200</v>
      </c>
      <c r="C14" s="64">
        <v>3.9712754E7</v>
      </c>
      <c r="D14" s="39" t="s">
        <v>201</v>
      </c>
      <c r="E14" s="197" t="s">
        <v>203</v>
      </c>
      <c r="F14" s="72" t="s">
        <v>18</v>
      </c>
      <c r="G14" s="72" t="s">
        <v>27</v>
      </c>
      <c r="H14" s="72" t="s">
        <v>27</v>
      </c>
      <c r="I14" s="72" t="s">
        <v>27</v>
      </c>
      <c r="J14" s="75"/>
      <c r="K14" s="75"/>
      <c r="L14" s="75"/>
      <c r="M14" s="72" t="s">
        <v>27</v>
      </c>
      <c r="N14" s="72" t="s">
        <v>27</v>
      </c>
      <c r="O14" s="72" t="s">
        <v>27</v>
      </c>
      <c r="P14" s="75"/>
      <c r="Q14" s="75"/>
      <c r="R14" s="72" t="s">
        <v>27</v>
      </c>
      <c r="S14" s="72" t="s">
        <v>27</v>
      </c>
      <c r="T14" s="72" t="s">
        <v>18</v>
      </c>
      <c r="U14" s="72" t="s">
        <v>18</v>
      </c>
      <c r="V14" s="75"/>
      <c r="W14" s="75"/>
      <c r="X14" s="75"/>
      <c r="Y14" s="72" t="s">
        <v>27</v>
      </c>
      <c r="Z14" s="72" t="s">
        <v>27</v>
      </c>
      <c r="AA14" s="72" t="s">
        <v>18</v>
      </c>
      <c r="AB14" s="75"/>
      <c r="AC14" s="75"/>
      <c r="AD14" s="72" t="s">
        <v>27</v>
      </c>
      <c r="AE14" s="72" t="s">
        <v>27</v>
      </c>
      <c r="AF14" s="72" t="s">
        <v>27</v>
      </c>
      <c r="AG14" s="72" t="s">
        <v>27</v>
      </c>
      <c r="AH14" s="75"/>
      <c r="AI14" s="75"/>
      <c r="AJ14" s="75"/>
      <c r="AK14" s="82"/>
      <c r="AL14" s="82"/>
      <c r="AM14" s="60" t="str">
        <f t="shared" ref="AM14:AM21" si="14">IFS(AN14&gt;3,"NO CORRESPONDE FRANCO",AS14&gt;0,"NO CORRESPONDE FRANCO",AS14=0,"")</f>
        <v>NO CORRESPONDE FRANCO</v>
      </c>
      <c r="AN14" s="60">
        <f t="shared" si="8"/>
        <v>4</v>
      </c>
      <c r="AO14" s="60">
        <f t="shared" si="9"/>
        <v>0</v>
      </c>
      <c r="AP14" s="60">
        <f t="shared" si="10"/>
        <v>0</v>
      </c>
      <c r="AQ14" s="60">
        <f t="shared" si="11"/>
        <v>0</v>
      </c>
      <c r="AR14" s="60">
        <f t="shared" si="12"/>
        <v>0</v>
      </c>
      <c r="AS14" s="60">
        <f t="shared" si="13"/>
        <v>0</v>
      </c>
      <c r="AT14" s="82"/>
      <c r="AU14" s="82"/>
    </row>
    <row r="15">
      <c r="A15" s="130" t="s">
        <v>33</v>
      </c>
      <c r="B15" s="116" t="s">
        <v>224</v>
      </c>
      <c r="C15" s="76">
        <v>4.6421021E7</v>
      </c>
      <c r="D15" s="116" t="s">
        <v>225</v>
      </c>
      <c r="E15" s="66" t="s">
        <v>226</v>
      </c>
      <c r="F15" s="72" t="s">
        <v>27</v>
      </c>
      <c r="G15" s="72" t="s">
        <v>27</v>
      </c>
      <c r="H15" s="72" t="s">
        <v>27</v>
      </c>
      <c r="I15" s="72" t="s">
        <v>27</v>
      </c>
      <c r="J15" s="75"/>
      <c r="K15" s="75"/>
      <c r="L15" s="75"/>
      <c r="M15" s="72" t="s">
        <v>27</v>
      </c>
      <c r="N15" s="72" t="s">
        <v>27</v>
      </c>
      <c r="O15" s="72" t="s">
        <v>18</v>
      </c>
      <c r="P15" s="75"/>
      <c r="Q15" s="75"/>
      <c r="R15" s="72" t="s">
        <v>27</v>
      </c>
      <c r="S15" s="72" t="s">
        <v>18</v>
      </c>
      <c r="T15" s="72" t="s">
        <v>27</v>
      </c>
      <c r="U15" s="126" t="s">
        <v>19</v>
      </c>
      <c r="V15" s="75"/>
      <c r="W15" s="75"/>
      <c r="X15" s="75"/>
      <c r="Y15" s="96" t="s">
        <v>22</v>
      </c>
      <c r="Z15" s="96" t="s">
        <v>22</v>
      </c>
      <c r="AA15" s="96" t="s">
        <v>22</v>
      </c>
      <c r="AB15" s="96" t="s">
        <v>22</v>
      </c>
      <c r="AC15" s="96" t="s">
        <v>22</v>
      </c>
      <c r="AD15" s="96" t="s">
        <v>22</v>
      </c>
      <c r="AE15" s="96" t="s">
        <v>22</v>
      </c>
      <c r="AF15" s="142"/>
      <c r="AG15" s="126" t="s">
        <v>19</v>
      </c>
      <c r="AH15" s="75"/>
      <c r="AI15" s="75"/>
      <c r="AJ15" s="75"/>
      <c r="AK15" s="82"/>
      <c r="AL15" s="82"/>
      <c r="AM15" s="60" t="str">
        <f t="shared" si="14"/>
        <v>NO CORRESPONDE FRANCO</v>
      </c>
      <c r="AN15" s="60">
        <f t="shared" si="8"/>
        <v>2</v>
      </c>
      <c r="AO15" s="60">
        <f t="shared" si="9"/>
        <v>2</v>
      </c>
      <c r="AP15" s="60">
        <f t="shared" si="10"/>
        <v>0</v>
      </c>
      <c r="AQ15" s="60">
        <f t="shared" si="11"/>
        <v>0</v>
      </c>
      <c r="AR15" s="60">
        <f t="shared" si="12"/>
        <v>7</v>
      </c>
      <c r="AS15" s="60">
        <f t="shared" si="13"/>
        <v>9</v>
      </c>
      <c r="AT15" s="82"/>
      <c r="AU15" s="82"/>
    </row>
    <row r="16">
      <c r="A16" s="130" t="s">
        <v>33</v>
      </c>
      <c r="B16" s="116" t="s">
        <v>239</v>
      </c>
      <c r="C16" s="76">
        <v>2.8612204E7</v>
      </c>
      <c r="D16" s="116" t="s">
        <v>240</v>
      </c>
      <c r="E16" s="66" t="s">
        <v>242</v>
      </c>
      <c r="F16" s="72" t="s">
        <v>27</v>
      </c>
      <c r="G16" s="72" t="s">
        <v>18</v>
      </c>
      <c r="H16" s="72" t="s">
        <v>27</v>
      </c>
      <c r="I16" s="72" t="s">
        <v>27</v>
      </c>
      <c r="J16" s="75"/>
      <c r="K16" s="75"/>
      <c r="L16" s="75"/>
      <c r="M16" s="72" t="s">
        <v>27</v>
      </c>
      <c r="N16" s="72" t="s">
        <v>18</v>
      </c>
      <c r="O16" s="72" t="s">
        <v>18</v>
      </c>
      <c r="P16" s="75"/>
      <c r="Q16" s="75"/>
      <c r="R16" s="72" t="s">
        <v>27</v>
      </c>
      <c r="S16" s="72" t="s">
        <v>27</v>
      </c>
      <c r="T16" s="72" t="s">
        <v>27</v>
      </c>
      <c r="U16" s="72" t="s">
        <v>18</v>
      </c>
      <c r="V16" s="75"/>
      <c r="W16" s="75"/>
      <c r="X16" s="75"/>
      <c r="Y16" s="72" t="s">
        <v>27</v>
      </c>
      <c r="Z16" s="72" t="s">
        <v>27</v>
      </c>
      <c r="AA16" s="72" t="s">
        <v>27</v>
      </c>
      <c r="AB16" s="75"/>
      <c r="AC16" s="75"/>
      <c r="AD16" s="72" t="s">
        <v>120</v>
      </c>
      <c r="AE16" s="72" t="s">
        <v>27</v>
      </c>
      <c r="AF16" s="142"/>
      <c r="AG16" s="72" t="s">
        <v>18</v>
      </c>
      <c r="AH16" s="75"/>
      <c r="AI16" s="75"/>
      <c r="AJ16" s="75"/>
      <c r="AK16" s="82"/>
      <c r="AL16" s="82"/>
      <c r="AM16" s="60" t="str">
        <f t="shared" si="14"/>
        <v>NO CORRESPONDE FRANCO</v>
      </c>
      <c r="AN16" s="60">
        <f t="shared" si="8"/>
        <v>5</v>
      </c>
      <c r="AO16" s="60">
        <f t="shared" si="9"/>
        <v>0</v>
      </c>
      <c r="AP16" s="60">
        <f t="shared" si="10"/>
        <v>0</v>
      </c>
      <c r="AQ16" s="60">
        <f t="shared" si="11"/>
        <v>0</v>
      </c>
      <c r="AR16" s="60">
        <f t="shared" si="12"/>
        <v>0</v>
      </c>
      <c r="AS16" s="60">
        <f t="shared" si="13"/>
        <v>0</v>
      </c>
      <c r="AT16" s="82"/>
      <c r="AU16" s="82"/>
    </row>
    <row r="17">
      <c r="A17" s="38" t="s">
        <v>33</v>
      </c>
      <c r="B17" s="102" t="s">
        <v>246</v>
      </c>
      <c r="C17" s="214">
        <v>3.4210219E7</v>
      </c>
      <c r="D17" s="216" t="s">
        <v>248</v>
      </c>
      <c r="E17" s="218" t="s">
        <v>250</v>
      </c>
      <c r="F17" s="96" t="s">
        <v>22</v>
      </c>
      <c r="G17" s="96" t="s">
        <v>22</v>
      </c>
      <c r="H17" s="96" t="s">
        <v>22</v>
      </c>
      <c r="I17" s="112" t="s">
        <v>79</v>
      </c>
      <c r="J17" s="75"/>
      <c r="K17" s="75"/>
      <c r="L17" s="75"/>
      <c r="M17" s="72" t="s">
        <v>18</v>
      </c>
      <c r="N17" s="138" t="s">
        <v>19</v>
      </c>
      <c r="O17" s="138" t="s">
        <v>19</v>
      </c>
      <c r="P17" s="75"/>
      <c r="Q17" s="75"/>
      <c r="R17" s="72" t="s">
        <v>27</v>
      </c>
      <c r="S17" s="72" t="s">
        <v>27</v>
      </c>
      <c r="T17" s="126" t="s">
        <v>19</v>
      </c>
      <c r="U17" s="72" t="s">
        <v>27</v>
      </c>
      <c r="V17" s="75"/>
      <c r="W17" s="75"/>
      <c r="X17" s="75"/>
      <c r="Y17" s="72" t="s">
        <v>18</v>
      </c>
      <c r="Z17" s="72" t="s">
        <v>27</v>
      </c>
      <c r="AA17" s="72" t="s">
        <v>27</v>
      </c>
      <c r="AB17" s="75"/>
      <c r="AC17" s="75"/>
      <c r="AD17" s="72" t="s">
        <v>27</v>
      </c>
      <c r="AE17" s="105" t="s">
        <v>18</v>
      </c>
      <c r="AF17" s="72" t="s">
        <v>27</v>
      </c>
      <c r="AG17" s="72" t="s">
        <v>27</v>
      </c>
      <c r="AH17" s="75"/>
      <c r="AI17" s="75"/>
      <c r="AJ17" s="105" t="s">
        <v>18</v>
      </c>
      <c r="AK17" s="82"/>
      <c r="AL17" s="82"/>
      <c r="AM17" s="60" t="str">
        <f t="shared" si="14"/>
        <v>NO CORRESPONDE FRANCO</v>
      </c>
      <c r="AN17" s="60">
        <f t="shared" si="8"/>
        <v>4</v>
      </c>
      <c r="AO17" s="60">
        <f t="shared" si="9"/>
        <v>3</v>
      </c>
      <c r="AP17" s="60">
        <f t="shared" si="10"/>
        <v>0</v>
      </c>
      <c r="AQ17" s="60">
        <f t="shared" si="11"/>
        <v>0</v>
      </c>
      <c r="AR17" s="60">
        <f t="shared" si="12"/>
        <v>3</v>
      </c>
      <c r="AS17" s="60">
        <f t="shared" si="13"/>
        <v>6</v>
      </c>
      <c r="AT17" s="82"/>
      <c r="AU17" s="82"/>
    </row>
    <row r="18">
      <c r="A18" s="38" t="s">
        <v>33</v>
      </c>
      <c r="B18" s="102" t="s">
        <v>258</v>
      </c>
      <c r="C18" s="64">
        <v>9.5372579E7</v>
      </c>
      <c r="D18" s="68" t="s">
        <v>259</v>
      </c>
      <c r="E18" s="66" t="s">
        <v>260</v>
      </c>
      <c r="F18" s="96" t="s">
        <v>22</v>
      </c>
      <c r="G18" s="96" t="s">
        <v>22</v>
      </c>
      <c r="H18" s="224" t="s">
        <v>262</v>
      </c>
      <c r="I18" s="6"/>
      <c r="J18" s="6"/>
      <c r="K18" s="6"/>
      <c r="L18" s="6"/>
      <c r="M18" s="6"/>
      <c r="N18" s="6"/>
      <c r="O18" s="6"/>
      <c r="P18" s="6"/>
      <c r="Q18" s="6"/>
      <c r="R18" s="6"/>
      <c r="S18" s="6"/>
      <c r="T18" s="6"/>
      <c r="U18" s="6"/>
      <c r="V18" s="6"/>
      <c r="W18" s="6"/>
      <c r="X18" s="6"/>
      <c r="Y18" s="6"/>
      <c r="Z18" s="6"/>
      <c r="AA18" s="6"/>
      <c r="AB18" s="6"/>
      <c r="AC18" s="6"/>
      <c r="AD18" s="6"/>
      <c r="AE18" s="6"/>
      <c r="AF18" s="6"/>
      <c r="AG18" s="6"/>
      <c r="AH18" s="6"/>
      <c r="AI18" s="6"/>
      <c r="AJ18" s="11"/>
      <c r="AK18" s="82"/>
      <c r="AL18" s="82"/>
      <c r="AM18" s="60" t="str">
        <f t="shared" si="14"/>
        <v>NO CORRESPONDE FRANCO</v>
      </c>
      <c r="AN18" s="60">
        <f t="shared" si="8"/>
        <v>0</v>
      </c>
      <c r="AO18" s="60">
        <f t="shared" si="9"/>
        <v>0</v>
      </c>
      <c r="AP18" s="60">
        <f t="shared" si="10"/>
        <v>0</v>
      </c>
      <c r="AQ18" s="60">
        <f t="shared" si="11"/>
        <v>0</v>
      </c>
      <c r="AR18" s="60">
        <f t="shared" si="12"/>
        <v>2</v>
      </c>
      <c r="AS18" s="60">
        <f t="shared" si="13"/>
        <v>2</v>
      </c>
      <c r="AT18" s="82"/>
      <c r="AU18" s="82"/>
    </row>
    <row r="19" ht="15.75" customHeight="1">
      <c r="A19" s="38" t="s">
        <v>33</v>
      </c>
      <c r="B19" s="102" t="s">
        <v>272</v>
      </c>
      <c r="C19" s="64">
        <v>9.4914642E7</v>
      </c>
      <c r="D19" s="68" t="s">
        <v>274</v>
      </c>
      <c r="E19" s="66" t="s">
        <v>276</v>
      </c>
      <c r="F19" s="72" t="s">
        <v>18</v>
      </c>
      <c r="G19" s="72" t="s">
        <v>27</v>
      </c>
      <c r="H19" s="72" t="s">
        <v>27</v>
      </c>
      <c r="I19" s="72" t="s">
        <v>18</v>
      </c>
      <c r="J19" s="75"/>
      <c r="K19" s="75"/>
      <c r="L19" s="75"/>
      <c r="M19" s="72" t="s">
        <v>27</v>
      </c>
      <c r="N19" s="72" t="s">
        <v>18</v>
      </c>
      <c r="O19" s="72" t="s">
        <v>18</v>
      </c>
      <c r="P19" s="75"/>
      <c r="Q19" s="75"/>
      <c r="R19" s="72" t="s">
        <v>27</v>
      </c>
      <c r="S19" s="72" t="s">
        <v>27</v>
      </c>
      <c r="T19" s="72" t="s">
        <v>18</v>
      </c>
      <c r="U19" s="126" t="s">
        <v>19</v>
      </c>
      <c r="V19" s="96" t="s">
        <v>22</v>
      </c>
      <c r="W19" s="96" t="s">
        <v>22</v>
      </c>
      <c r="X19" s="96" t="s">
        <v>22</v>
      </c>
      <c r="Y19" s="96" t="s">
        <v>22</v>
      </c>
      <c r="Z19" s="96" t="s">
        <v>22</v>
      </c>
      <c r="AA19" s="96" t="s">
        <v>22</v>
      </c>
      <c r="AB19" s="96" t="s">
        <v>22</v>
      </c>
      <c r="AC19" s="96" t="s">
        <v>22</v>
      </c>
      <c r="AD19" s="96" t="s">
        <v>22</v>
      </c>
      <c r="AE19" s="96" t="s">
        <v>22</v>
      </c>
      <c r="AF19" s="126" t="s">
        <v>19</v>
      </c>
      <c r="AG19" s="126" t="s">
        <v>19</v>
      </c>
      <c r="AH19" s="75"/>
      <c r="AI19" s="75"/>
      <c r="AJ19" s="75"/>
      <c r="AK19" s="82"/>
      <c r="AL19" s="82"/>
      <c r="AM19" s="60" t="str">
        <f t="shared" si="14"/>
        <v>NO CORRESPONDE FRANCO</v>
      </c>
      <c r="AN19" s="60">
        <f t="shared" si="8"/>
        <v>5</v>
      </c>
      <c r="AO19" s="60">
        <f t="shared" si="9"/>
        <v>3</v>
      </c>
      <c r="AP19" s="60">
        <f t="shared" si="10"/>
        <v>0</v>
      </c>
      <c r="AQ19" s="60">
        <f t="shared" si="11"/>
        <v>0</v>
      </c>
      <c r="AR19" s="60">
        <f t="shared" si="12"/>
        <v>10</v>
      </c>
      <c r="AS19" s="60">
        <f t="shared" si="13"/>
        <v>13</v>
      </c>
      <c r="AT19" s="82"/>
      <c r="AU19" s="82"/>
    </row>
    <row r="20" ht="15.75" customHeight="1">
      <c r="A20" s="66" t="s">
        <v>33</v>
      </c>
      <c r="B20" s="67" t="s">
        <v>283</v>
      </c>
      <c r="C20" s="130">
        <v>3.3122187E7</v>
      </c>
      <c r="D20" s="68" t="s">
        <v>285</v>
      </c>
      <c r="E20" s="66" t="s">
        <v>286</v>
      </c>
      <c r="F20" s="72" t="s">
        <v>27</v>
      </c>
      <c r="G20" s="72" t="s">
        <v>27</v>
      </c>
      <c r="H20" s="72" t="s">
        <v>27</v>
      </c>
      <c r="I20" s="72" t="s">
        <v>27</v>
      </c>
      <c r="J20" s="75"/>
      <c r="K20" s="75"/>
      <c r="L20" s="75"/>
      <c r="M20" s="72" t="s">
        <v>27</v>
      </c>
      <c r="N20" s="72" t="s">
        <v>27</v>
      </c>
      <c r="O20" s="72" t="s">
        <v>27</v>
      </c>
      <c r="P20" s="75"/>
      <c r="Q20" s="75"/>
      <c r="R20" s="72" t="s">
        <v>27</v>
      </c>
      <c r="S20" s="72" t="s">
        <v>27</v>
      </c>
      <c r="T20" s="72" t="s">
        <v>18</v>
      </c>
      <c r="U20" s="72" t="s">
        <v>27</v>
      </c>
      <c r="V20" s="75"/>
      <c r="W20" s="75"/>
      <c r="X20" s="75"/>
      <c r="Y20" s="96" t="s">
        <v>22</v>
      </c>
      <c r="Z20" s="96" t="s">
        <v>22</v>
      </c>
      <c r="AA20" s="96" t="s">
        <v>22</v>
      </c>
      <c r="AB20" s="96" t="s">
        <v>22</v>
      </c>
      <c r="AC20" s="96" t="s">
        <v>22</v>
      </c>
      <c r="AD20" s="96" t="s">
        <v>22</v>
      </c>
      <c r="AE20" s="96" t="s">
        <v>22</v>
      </c>
      <c r="AF20" s="72" t="s">
        <v>27</v>
      </c>
      <c r="AG20" s="72" t="s">
        <v>27</v>
      </c>
      <c r="AH20" s="75"/>
      <c r="AI20" s="75"/>
      <c r="AJ20" s="75"/>
      <c r="AK20" s="82"/>
      <c r="AL20" s="82"/>
      <c r="AM20" s="60" t="str">
        <f t="shared" si="14"/>
        <v>NO CORRESPONDE FRANCO</v>
      </c>
      <c r="AN20" s="60">
        <f t="shared" si="8"/>
        <v>1</v>
      </c>
      <c r="AO20" s="60">
        <f t="shared" si="9"/>
        <v>0</v>
      </c>
      <c r="AP20" s="60">
        <f t="shared" si="10"/>
        <v>0</v>
      </c>
      <c r="AQ20" s="60">
        <f t="shared" si="11"/>
        <v>0</v>
      </c>
      <c r="AR20" s="60">
        <f t="shared" si="12"/>
        <v>7</v>
      </c>
      <c r="AS20" s="60">
        <f t="shared" si="13"/>
        <v>7</v>
      </c>
      <c r="AT20" s="82"/>
      <c r="AU20" s="82"/>
    </row>
    <row r="21" ht="15.75" customHeight="1">
      <c r="A21" s="66" t="s">
        <v>33</v>
      </c>
      <c r="B21" s="67" t="s">
        <v>291</v>
      </c>
      <c r="C21" s="130">
        <v>4.3629203E7</v>
      </c>
      <c r="D21" s="68" t="s">
        <v>292</v>
      </c>
      <c r="E21" s="66" t="s">
        <v>293</v>
      </c>
      <c r="F21" s="72" t="s">
        <v>27</v>
      </c>
      <c r="G21" s="72" t="s">
        <v>27</v>
      </c>
      <c r="H21" s="224" t="s">
        <v>262</v>
      </c>
      <c r="I21" s="6"/>
      <c r="J21" s="6"/>
      <c r="K21" s="6"/>
      <c r="L21" s="6"/>
      <c r="M21" s="6"/>
      <c r="N21" s="6"/>
      <c r="O21" s="6"/>
      <c r="P21" s="6"/>
      <c r="Q21" s="6"/>
      <c r="R21" s="6"/>
      <c r="S21" s="6"/>
      <c r="T21" s="6"/>
      <c r="U21" s="6"/>
      <c r="V21" s="6"/>
      <c r="W21" s="6"/>
      <c r="X21" s="6"/>
      <c r="Y21" s="6"/>
      <c r="Z21" s="6"/>
      <c r="AA21" s="6"/>
      <c r="AB21" s="6"/>
      <c r="AC21" s="6"/>
      <c r="AD21" s="6"/>
      <c r="AE21" s="6"/>
      <c r="AF21" s="6"/>
      <c r="AG21" s="6"/>
      <c r="AH21" s="6"/>
      <c r="AI21" s="6"/>
      <c r="AJ21" s="11"/>
      <c r="AK21" s="82"/>
      <c r="AL21" s="82"/>
      <c r="AM21" s="60" t="str">
        <f t="shared" si="14"/>
        <v/>
      </c>
      <c r="AN21" s="60">
        <f t="shared" si="8"/>
        <v>0</v>
      </c>
      <c r="AO21" s="60">
        <f t="shared" si="9"/>
        <v>0</v>
      </c>
      <c r="AP21" s="60">
        <f t="shared" si="10"/>
        <v>0</v>
      </c>
      <c r="AQ21" s="60">
        <f t="shared" si="11"/>
        <v>0</v>
      </c>
      <c r="AR21" s="60">
        <f t="shared" si="12"/>
        <v>0</v>
      </c>
      <c r="AS21" s="60">
        <f t="shared" si="13"/>
        <v>0</v>
      </c>
      <c r="AT21" s="82"/>
      <c r="AU21" s="82"/>
    </row>
    <row r="22" ht="15.75" customHeight="1">
      <c r="A22" s="242"/>
      <c r="B22" s="242"/>
      <c r="C22" s="242"/>
      <c r="D22" s="242"/>
      <c r="E22" s="242"/>
      <c r="F22" s="165"/>
      <c r="H22" s="24"/>
      <c r="I22" s="24"/>
      <c r="K22" s="24"/>
      <c r="L22" s="24"/>
      <c r="N22" s="24"/>
      <c r="O22" s="24"/>
      <c r="Q22" s="24"/>
      <c r="R22" s="165"/>
      <c r="S22" s="24"/>
      <c r="T22" s="24"/>
      <c r="U22" s="24"/>
      <c r="W22" s="24"/>
      <c r="X22" s="24"/>
      <c r="AJ22" s="242"/>
      <c r="AK22" s="82"/>
      <c r="AL22" s="82"/>
      <c r="AM22" s="82"/>
      <c r="AN22" s="60"/>
      <c r="AO22" s="60"/>
      <c r="AP22" s="60"/>
      <c r="AQ22" s="60"/>
      <c r="AR22" s="60"/>
      <c r="AS22" s="60"/>
      <c r="AT22" s="82"/>
      <c r="AU22" s="82"/>
    </row>
    <row r="23" ht="15.75" customHeight="1">
      <c r="A23" s="247" t="s">
        <v>297</v>
      </c>
      <c r="B23" s="6"/>
      <c r="C23" s="6"/>
      <c r="D23" s="6"/>
      <c r="E23" s="11"/>
      <c r="F23" s="249">
        <v>1.0</v>
      </c>
      <c r="G23" s="249">
        <v>2.0</v>
      </c>
      <c r="H23" s="249">
        <v>3.0</v>
      </c>
      <c r="I23" s="249">
        <v>4.0</v>
      </c>
      <c r="J23" s="249">
        <v>5.0</v>
      </c>
      <c r="K23" s="249">
        <v>6.0</v>
      </c>
      <c r="L23" s="249">
        <v>7.0</v>
      </c>
      <c r="M23" s="249">
        <v>8.0</v>
      </c>
      <c r="N23" s="249">
        <v>9.0</v>
      </c>
      <c r="O23" s="249">
        <v>10.0</v>
      </c>
      <c r="P23" s="249">
        <v>11.0</v>
      </c>
      <c r="Q23" s="249">
        <v>12.0</v>
      </c>
      <c r="R23" s="249">
        <v>13.0</v>
      </c>
      <c r="S23" s="249">
        <v>14.0</v>
      </c>
      <c r="T23" s="249">
        <v>15.0</v>
      </c>
      <c r="U23" s="249">
        <v>16.0</v>
      </c>
      <c r="V23" s="249">
        <v>17.0</v>
      </c>
      <c r="W23" s="249">
        <v>18.0</v>
      </c>
      <c r="X23" s="249">
        <v>19.0</v>
      </c>
      <c r="Y23" s="249">
        <v>20.0</v>
      </c>
      <c r="Z23" s="249">
        <v>21.0</v>
      </c>
      <c r="AA23" s="249">
        <v>22.0</v>
      </c>
      <c r="AB23" s="249">
        <v>23.0</v>
      </c>
      <c r="AC23" s="249">
        <v>24.0</v>
      </c>
      <c r="AD23" s="249">
        <v>25.0</v>
      </c>
      <c r="AE23" s="249">
        <v>26.0</v>
      </c>
      <c r="AF23" s="249">
        <v>27.0</v>
      </c>
      <c r="AG23" s="249">
        <v>28.0</v>
      </c>
      <c r="AH23" s="249">
        <v>29.0</v>
      </c>
      <c r="AI23" s="249">
        <v>30.0</v>
      </c>
      <c r="AJ23" s="249">
        <v>31.0</v>
      </c>
      <c r="AK23" s="82"/>
      <c r="AL23" s="82"/>
      <c r="AM23" s="82"/>
      <c r="AN23" s="60"/>
      <c r="AO23" s="60"/>
      <c r="AP23" s="60"/>
      <c r="AQ23" s="60"/>
      <c r="AR23" s="60"/>
      <c r="AS23" s="60"/>
      <c r="AT23" s="82"/>
      <c r="AU23" s="82"/>
    </row>
    <row r="24" ht="15.75" customHeight="1">
      <c r="A24" s="258" t="s">
        <v>4</v>
      </c>
      <c r="B24" s="260" t="s">
        <v>5</v>
      </c>
      <c r="C24" s="261" t="s">
        <v>6</v>
      </c>
      <c r="D24" s="262" t="s">
        <v>7</v>
      </c>
      <c r="E24" s="264" t="s">
        <v>8</v>
      </c>
      <c r="F24" s="265" t="s">
        <v>9</v>
      </c>
      <c r="G24" s="265" t="s">
        <v>10</v>
      </c>
      <c r="H24" s="265" t="s">
        <v>11</v>
      </c>
      <c r="I24" s="265" t="s">
        <v>12</v>
      </c>
      <c r="J24" s="265" t="s">
        <v>12</v>
      </c>
      <c r="K24" s="265" t="s">
        <v>13</v>
      </c>
      <c r="L24" s="265" t="s">
        <v>15</v>
      </c>
      <c r="M24" s="265" t="s">
        <v>9</v>
      </c>
      <c r="N24" s="265" t="s">
        <v>10</v>
      </c>
      <c r="O24" s="265" t="s">
        <v>11</v>
      </c>
      <c r="P24" s="265" t="s">
        <v>12</v>
      </c>
      <c r="Q24" s="265" t="s">
        <v>12</v>
      </c>
      <c r="R24" s="265" t="s">
        <v>13</v>
      </c>
      <c r="S24" s="265" t="s">
        <v>15</v>
      </c>
      <c r="T24" s="265" t="s">
        <v>9</v>
      </c>
      <c r="U24" s="265" t="s">
        <v>10</v>
      </c>
      <c r="V24" s="265" t="s">
        <v>11</v>
      </c>
      <c r="W24" s="265" t="s">
        <v>12</v>
      </c>
      <c r="X24" s="265" t="s">
        <v>12</v>
      </c>
      <c r="Y24" s="265" t="s">
        <v>13</v>
      </c>
      <c r="Z24" s="265" t="s">
        <v>15</v>
      </c>
      <c r="AA24" s="265" t="s">
        <v>9</v>
      </c>
      <c r="AB24" s="265" t="s">
        <v>10</v>
      </c>
      <c r="AC24" s="265" t="s">
        <v>11</v>
      </c>
      <c r="AD24" s="265" t="s">
        <v>12</v>
      </c>
      <c r="AE24" s="265" t="s">
        <v>12</v>
      </c>
      <c r="AF24" s="265" t="s">
        <v>13</v>
      </c>
      <c r="AG24" s="268" t="s">
        <v>15</v>
      </c>
      <c r="AH24" s="265" t="s">
        <v>9</v>
      </c>
      <c r="AI24" s="265" t="s">
        <v>10</v>
      </c>
      <c r="AJ24" s="265" t="s">
        <v>11</v>
      </c>
      <c r="AK24" s="82"/>
      <c r="AL24" s="82"/>
      <c r="AM24" s="82"/>
      <c r="AN24" s="60"/>
      <c r="AO24" s="60"/>
      <c r="AP24" s="60"/>
      <c r="AQ24" s="60"/>
      <c r="AR24" s="60"/>
      <c r="AS24" s="60"/>
      <c r="AT24" s="82"/>
      <c r="AU24" s="82"/>
    </row>
    <row r="25" ht="15.75" customHeight="1">
      <c r="A25" s="115" t="s">
        <v>33</v>
      </c>
      <c r="B25" s="67" t="s">
        <v>320</v>
      </c>
      <c r="C25" s="76">
        <v>4.1912932E7</v>
      </c>
      <c r="D25" s="97" t="s">
        <v>324</v>
      </c>
      <c r="E25" s="76" t="s">
        <v>326</v>
      </c>
      <c r="F25" s="44"/>
      <c r="G25" s="44"/>
      <c r="H25" s="44"/>
      <c r="I25" s="45" t="s">
        <v>27</v>
      </c>
      <c r="J25" s="45" t="s">
        <v>18</v>
      </c>
      <c r="K25" s="45" t="s">
        <v>18</v>
      </c>
      <c r="L25" s="44"/>
      <c r="M25" s="44"/>
      <c r="N25" s="103" t="s">
        <v>27</v>
      </c>
      <c r="O25" s="45" t="s">
        <v>18</v>
      </c>
      <c r="P25" s="126" t="s">
        <v>19</v>
      </c>
      <c r="Q25" s="45" t="s">
        <v>27</v>
      </c>
      <c r="R25" s="44"/>
      <c r="S25" s="44"/>
      <c r="T25" s="44"/>
      <c r="U25" s="45" t="s">
        <v>18</v>
      </c>
      <c r="V25" s="103" t="s">
        <v>18</v>
      </c>
      <c r="W25" s="45" t="s">
        <v>27</v>
      </c>
      <c r="X25" s="44"/>
      <c r="Y25" s="44"/>
      <c r="Z25" s="103" t="s">
        <v>18</v>
      </c>
      <c r="AA25" s="45" t="s">
        <v>27</v>
      </c>
      <c r="AB25" s="126" t="s">
        <v>19</v>
      </c>
      <c r="AC25" s="45" t="s">
        <v>18</v>
      </c>
      <c r="AD25" s="44"/>
      <c r="AE25" s="44"/>
      <c r="AF25" s="44"/>
      <c r="AG25" s="126" t="s">
        <v>19</v>
      </c>
      <c r="AH25" s="126" t="s">
        <v>19</v>
      </c>
      <c r="AI25" s="45" t="s">
        <v>27</v>
      </c>
      <c r="AJ25" s="44"/>
      <c r="AK25" s="82"/>
      <c r="AL25" s="82"/>
      <c r="AM25" s="60" t="str">
        <f t="shared" ref="AM25:AM34" si="15">IFS(AN25&gt;3,"NO CORRESPONDE FRANCO",AS25&gt;0,"NO CORRESPONDE FRANCO",AS25=0,"")</f>
        <v>NO CORRESPONDE FRANCO</v>
      </c>
      <c r="AN25" s="60">
        <f t="shared" ref="AN25:AN34" si="16">COUNTIF($F25:$AJ25,"LLT")</f>
        <v>7</v>
      </c>
      <c r="AO25" s="60">
        <f t="shared" ref="AO25:AO34" si="17">COUNTIF($F25:$AJ25,"LM")</f>
        <v>4</v>
      </c>
      <c r="AP25" s="60">
        <f t="shared" ref="AP25:AP34" si="18">COUNTIF($F25:$AJ25,"FaC")</f>
        <v>0</v>
      </c>
      <c r="AQ25" s="60">
        <f t="shared" ref="AQ25:AQ34" si="19">COUNTIF($F25:$AJ25,"LxE")</f>
        <v>0</v>
      </c>
      <c r="AR25" s="60">
        <f t="shared" ref="AR25:AR34" si="20">COUNTIF($F25:$AJ25,"LA")</f>
        <v>0</v>
      </c>
      <c r="AS25" s="60">
        <f t="shared" ref="AS25:AS34" si="21">SUM(AO25:AR25)</f>
        <v>4</v>
      </c>
      <c r="AT25" s="82"/>
      <c r="AU25" s="82"/>
    </row>
    <row r="26" ht="15.75" customHeight="1">
      <c r="A26" s="66" t="s">
        <v>33</v>
      </c>
      <c r="B26" s="67" t="s">
        <v>352</v>
      </c>
      <c r="C26" s="76">
        <v>3.7679065E7</v>
      </c>
      <c r="D26" s="97" t="s">
        <v>353</v>
      </c>
      <c r="E26" s="76" t="s">
        <v>354</v>
      </c>
      <c r="F26" s="44"/>
      <c r="G26" s="44"/>
      <c r="H26" s="44"/>
      <c r="I26" s="45" t="s">
        <v>27</v>
      </c>
      <c r="J26" s="45" t="s">
        <v>18</v>
      </c>
      <c r="K26" s="126" t="s">
        <v>19</v>
      </c>
      <c r="L26" s="126" t="s">
        <v>19</v>
      </c>
      <c r="M26" s="44"/>
      <c r="N26" s="126" t="s">
        <v>19</v>
      </c>
      <c r="O26" s="126" t="s">
        <v>19</v>
      </c>
      <c r="P26" s="126" t="s">
        <v>19</v>
      </c>
      <c r="Q26" s="126" t="s">
        <v>19</v>
      </c>
      <c r="R26" s="44"/>
      <c r="S26" s="44"/>
      <c r="T26" s="44"/>
      <c r="U26" s="45" t="s">
        <v>18</v>
      </c>
      <c r="V26" s="126" t="s">
        <v>19</v>
      </c>
      <c r="W26" s="96" t="s">
        <v>22</v>
      </c>
      <c r="X26" s="96" t="s">
        <v>22</v>
      </c>
      <c r="Y26" s="96" t="s">
        <v>22</v>
      </c>
      <c r="Z26" s="96" t="s">
        <v>22</v>
      </c>
      <c r="AA26" s="96" t="s">
        <v>22</v>
      </c>
      <c r="AB26" s="96" t="s">
        <v>22</v>
      </c>
      <c r="AC26" s="96" t="s">
        <v>22</v>
      </c>
      <c r="AD26" s="44"/>
      <c r="AE26" s="44"/>
      <c r="AF26" s="44"/>
      <c r="AG26" s="45" t="s">
        <v>27</v>
      </c>
      <c r="AH26" s="126" t="s">
        <v>19</v>
      </c>
      <c r="AI26" s="45" t="s">
        <v>27</v>
      </c>
      <c r="AJ26" s="44"/>
      <c r="AK26" s="82"/>
      <c r="AL26" s="82"/>
      <c r="AM26" s="60" t="str">
        <f t="shared" si="15"/>
        <v>NO CORRESPONDE FRANCO</v>
      </c>
      <c r="AN26" s="60">
        <f t="shared" si="16"/>
        <v>2</v>
      </c>
      <c r="AO26" s="60">
        <f t="shared" si="17"/>
        <v>8</v>
      </c>
      <c r="AP26" s="60">
        <f t="shared" si="18"/>
        <v>0</v>
      </c>
      <c r="AQ26" s="60">
        <f t="shared" si="19"/>
        <v>0</v>
      </c>
      <c r="AR26" s="60">
        <f t="shared" si="20"/>
        <v>7</v>
      </c>
      <c r="AS26" s="60">
        <f t="shared" si="21"/>
        <v>15</v>
      </c>
      <c r="AT26" s="82"/>
      <c r="AU26" s="82"/>
    </row>
    <row r="27" ht="15.75" customHeight="1">
      <c r="A27" s="66" t="s">
        <v>33</v>
      </c>
      <c r="B27" s="67" t="s">
        <v>364</v>
      </c>
      <c r="C27" s="76">
        <v>2.2310347E7</v>
      </c>
      <c r="D27" s="97" t="s">
        <v>365</v>
      </c>
      <c r="E27" s="76" t="s">
        <v>366</v>
      </c>
      <c r="F27" s="44"/>
      <c r="G27" s="44"/>
      <c r="H27" s="44"/>
      <c r="I27" s="45" t="s">
        <v>27</v>
      </c>
      <c r="J27" s="45" t="s">
        <v>27</v>
      </c>
      <c r="K27" s="45" t="s">
        <v>27</v>
      </c>
      <c r="L27" s="44"/>
      <c r="M27" s="44"/>
      <c r="N27" s="103" t="s">
        <v>27</v>
      </c>
      <c r="O27" s="45" t="s">
        <v>27</v>
      </c>
      <c r="P27" s="45" t="s">
        <v>27</v>
      </c>
      <c r="Q27" s="45" t="s">
        <v>27</v>
      </c>
      <c r="R27" s="44"/>
      <c r="S27" s="44"/>
      <c r="T27" s="44"/>
      <c r="U27" s="45" t="s">
        <v>27</v>
      </c>
      <c r="V27" s="45" t="s">
        <v>27</v>
      </c>
      <c r="W27" s="45" t="s">
        <v>27</v>
      </c>
      <c r="X27" s="44"/>
      <c r="Y27" s="44"/>
      <c r="Z27" s="103" t="s">
        <v>27</v>
      </c>
      <c r="AA27" s="45" t="s">
        <v>27</v>
      </c>
      <c r="AB27" s="45" t="s">
        <v>27</v>
      </c>
      <c r="AC27" s="45" t="s">
        <v>27</v>
      </c>
      <c r="AD27" s="44"/>
      <c r="AE27" s="44"/>
      <c r="AF27" s="44"/>
      <c r="AG27" s="45" t="s">
        <v>27</v>
      </c>
      <c r="AH27" s="45" t="s">
        <v>27</v>
      </c>
      <c r="AI27" s="126" t="s">
        <v>19</v>
      </c>
      <c r="AJ27" s="126" t="s">
        <v>19</v>
      </c>
      <c r="AK27" s="82"/>
      <c r="AL27" s="82"/>
      <c r="AM27" s="60" t="str">
        <f t="shared" si="15"/>
        <v>NO CORRESPONDE FRANCO</v>
      </c>
      <c r="AN27" s="60">
        <f t="shared" si="16"/>
        <v>0</v>
      </c>
      <c r="AO27" s="60">
        <f t="shared" si="17"/>
        <v>2</v>
      </c>
      <c r="AP27" s="60">
        <f t="shared" si="18"/>
        <v>0</v>
      </c>
      <c r="AQ27" s="60">
        <f t="shared" si="19"/>
        <v>0</v>
      </c>
      <c r="AR27" s="60">
        <f t="shared" si="20"/>
        <v>0</v>
      </c>
      <c r="AS27" s="60">
        <f t="shared" si="21"/>
        <v>2</v>
      </c>
      <c r="AT27" s="82"/>
      <c r="AU27" s="82"/>
    </row>
    <row r="28" ht="15.75" customHeight="1">
      <c r="A28" s="66" t="s">
        <v>381</v>
      </c>
      <c r="B28" s="67" t="s">
        <v>382</v>
      </c>
      <c r="C28" s="76">
        <v>2.8898771E7</v>
      </c>
      <c r="D28" s="97" t="s">
        <v>384</v>
      </c>
      <c r="E28" s="76" t="s">
        <v>385</v>
      </c>
      <c r="F28" s="44"/>
      <c r="G28" s="44"/>
      <c r="H28" s="44"/>
      <c r="I28" s="157" t="s">
        <v>21</v>
      </c>
      <c r="J28" s="45" t="s">
        <v>18</v>
      </c>
      <c r="K28" s="45" t="s">
        <v>27</v>
      </c>
      <c r="L28" s="44"/>
      <c r="M28" s="44"/>
      <c r="N28" s="103" t="s">
        <v>27</v>
      </c>
      <c r="O28" s="45" t="s">
        <v>27</v>
      </c>
      <c r="P28" s="282" t="s">
        <v>19</v>
      </c>
      <c r="Q28" s="282" t="s">
        <v>19</v>
      </c>
      <c r="R28" s="44"/>
      <c r="S28" s="44"/>
      <c r="T28" s="44"/>
      <c r="U28" s="45" t="s">
        <v>18</v>
      </c>
      <c r="V28" s="103" t="s">
        <v>18</v>
      </c>
      <c r="W28" s="45" t="s">
        <v>27</v>
      </c>
      <c r="X28" s="44"/>
      <c r="Y28" s="44"/>
      <c r="Z28" s="284" t="s">
        <v>79</v>
      </c>
      <c r="AA28" s="45" t="s">
        <v>18</v>
      </c>
      <c r="AB28" s="45" t="s">
        <v>18</v>
      </c>
      <c r="AC28" s="45" t="s">
        <v>18</v>
      </c>
      <c r="AD28" s="44"/>
      <c r="AE28" s="103" t="s">
        <v>18</v>
      </c>
      <c r="AF28" s="44"/>
      <c r="AG28" s="45" t="s">
        <v>18</v>
      </c>
      <c r="AH28" s="45" t="s">
        <v>27</v>
      </c>
      <c r="AI28" s="45" t="s">
        <v>27</v>
      </c>
      <c r="AJ28" s="44"/>
      <c r="AK28" s="82"/>
      <c r="AL28" s="82"/>
      <c r="AM28" s="60" t="str">
        <f t="shared" si="15"/>
        <v>NO CORRESPONDE FRANCO</v>
      </c>
      <c r="AN28" s="60">
        <f t="shared" si="16"/>
        <v>8</v>
      </c>
      <c r="AO28" s="60">
        <f t="shared" si="17"/>
        <v>2</v>
      </c>
      <c r="AP28" s="60">
        <f t="shared" si="18"/>
        <v>0</v>
      </c>
      <c r="AQ28" s="60">
        <f t="shared" si="19"/>
        <v>1</v>
      </c>
      <c r="AR28" s="60">
        <f t="shared" si="20"/>
        <v>0</v>
      </c>
      <c r="AS28" s="60">
        <f t="shared" si="21"/>
        <v>3</v>
      </c>
      <c r="AT28" s="82"/>
      <c r="AU28" s="82"/>
    </row>
    <row r="29" ht="15.75" customHeight="1">
      <c r="A29" s="66" t="s">
        <v>33</v>
      </c>
      <c r="B29" s="116" t="s">
        <v>396</v>
      </c>
      <c r="C29" s="76">
        <v>3.802642E7</v>
      </c>
      <c r="D29" s="116" t="s">
        <v>398</v>
      </c>
      <c r="E29" s="76" t="s">
        <v>399</v>
      </c>
      <c r="F29" s="44"/>
      <c r="G29" s="44"/>
      <c r="H29" s="44"/>
      <c r="I29" s="45" t="s">
        <v>27</v>
      </c>
      <c r="J29" s="45" t="s">
        <v>27</v>
      </c>
      <c r="K29" s="45" t="s">
        <v>27</v>
      </c>
      <c r="L29" s="44"/>
      <c r="M29" s="44"/>
      <c r="N29" s="106" t="s">
        <v>32</v>
      </c>
      <c r="O29" s="45" t="s">
        <v>27</v>
      </c>
      <c r="P29" s="45" t="s">
        <v>27</v>
      </c>
      <c r="Q29" s="45" t="s">
        <v>27</v>
      </c>
      <c r="R29" s="44"/>
      <c r="S29" s="44"/>
      <c r="T29" s="44"/>
      <c r="U29" s="45" t="s">
        <v>27</v>
      </c>
      <c r="V29" s="45" t="s">
        <v>27</v>
      </c>
      <c r="W29" s="45" t="s">
        <v>27</v>
      </c>
      <c r="X29" s="44"/>
      <c r="Y29" s="44"/>
      <c r="Z29" s="103" t="s">
        <v>27</v>
      </c>
      <c r="AA29" s="45" t="s">
        <v>27</v>
      </c>
      <c r="AB29" s="45" t="s">
        <v>27</v>
      </c>
      <c r="AC29" s="45" t="s">
        <v>27</v>
      </c>
      <c r="AD29" s="44"/>
      <c r="AE29" s="44"/>
      <c r="AF29" s="44"/>
      <c r="AG29" s="45" t="s">
        <v>27</v>
      </c>
      <c r="AH29" s="45" t="s">
        <v>27</v>
      </c>
      <c r="AI29" s="45" t="s">
        <v>27</v>
      </c>
      <c r="AJ29" s="44"/>
      <c r="AK29" s="82"/>
      <c r="AL29" s="290"/>
      <c r="AM29" s="60" t="str">
        <f t="shared" si="15"/>
        <v/>
      </c>
      <c r="AN29" s="60">
        <f t="shared" si="16"/>
        <v>0</v>
      </c>
      <c r="AO29" s="60">
        <f t="shared" si="17"/>
        <v>0</v>
      </c>
      <c r="AP29" s="60">
        <f t="shared" si="18"/>
        <v>0</v>
      </c>
      <c r="AQ29" s="60">
        <f t="shared" si="19"/>
        <v>0</v>
      </c>
      <c r="AR29" s="60">
        <f t="shared" si="20"/>
        <v>0</v>
      </c>
      <c r="AS29" s="60">
        <f t="shared" si="21"/>
        <v>0</v>
      </c>
      <c r="AT29" s="82"/>
      <c r="AU29" s="82"/>
    </row>
    <row r="30" ht="15.75" customHeight="1">
      <c r="A30" s="76" t="s">
        <v>33</v>
      </c>
      <c r="B30" s="78" t="s">
        <v>406</v>
      </c>
      <c r="C30" s="66">
        <v>3.6845661E7</v>
      </c>
      <c r="D30" s="67" t="s">
        <v>407</v>
      </c>
      <c r="E30" s="66" t="s">
        <v>409</v>
      </c>
      <c r="F30" s="44"/>
      <c r="G30" s="44"/>
      <c r="H30" s="44"/>
      <c r="I30" s="45" t="s">
        <v>27</v>
      </c>
      <c r="J30" s="45" t="s">
        <v>27</v>
      </c>
      <c r="K30" s="45" t="s">
        <v>27</v>
      </c>
      <c r="L30" s="44"/>
      <c r="M30" s="44"/>
      <c r="N30" s="103" t="s">
        <v>27</v>
      </c>
      <c r="O30" s="45" t="s">
        <v>27</v>
      </c>
      <c r="P30" s="45" t="s">
        <v>27</v>
      </c>
      <c r="Q30" s="106" t="s">
        <v>32</v>
      </c>
      <c r="R30" s="44"/>
      <c r="S30" s="44"/>
      <c r="T30" s="44"/>
      <c r="U30" s="45" t="s">
        <v>27</v>
      </c>
      <c r="V30" s="45" t="s">
        <v>27</v>
      </c>
      <c r="W30" s="45" t="s">
        <v>27</v>
      </c>
      <c r="X30" s="44"/>
      <c r="Y30" s="44"/>
      <c r="Z30" s="106" t="s">
        <v>32</v>
      </c>
      <c r="AA30" s="45" t="s">
        <v>27</v>
      </c>
      <c r="AB30" s="45" t="s">
        <v>27</v>
      </c>
      <c r="AC30" s="45" t="s">
        <v>27</v>
      </c>
      <c r="AD30" s="44"/>
      <c r="AE30" s="44"/>
      <c r="AF30" s="44"/>
      <c r="AG30" s="45" t="s">
        <v>27</v>
      </c>
      <c r="AH30" s="45" t="s">
        <v>18</v>
      </c>
      <c r="AI30" s="45" t="s">
        <v>27</v>
      </c>
      <c r="AJ30" s="44"/>
      <c r="AK30" s="82"/>
      <c r="AL30" s="53"/>
      <c r="AM30" s="60" t="str">
        <f t="shared" si="15"/>
        <v/>
      </c>
      <c r="AN30" s="60">
        <f t="shared" si="16"/>
        <v>1</v>
      </c>
      <c r="AO30" s="60">
        <f t="shared" si="17"/>
        <v>0</v>
      </c>
      <c r="AP30" s="60">
        <f t="shared" si="18"/>
        <v>0</v>
      </c>
      <c r="AQ30" s="60">
        <f t="shared" si="19"/>
        <v>0</v>
      </c>
      <c r="AR30" s="60">
        <f t="shared" si="20"/>
        <v>0</v>
      </c>
      <c r="AS30" s="60">
        <f t="shared" si="21"/>
        <v>0</v>
      </c>
      <c r="AT30" s="82"/>
      <c r="AU30" s="82"/>
    </row>
    <row r="31" ht="15.75" customHeight="1">
      <c r="A31" s="70" t="s">
        <v>33</v>
      </c>
      <c r="B31" s="303" t="s">
        <v>419</v>
      </c>
      <c r="C31" s="304">
        <v>3.9561148E7</v>
      </c>
      <c r="D31" s="303" t="s">
        <v>420</v>
      </c>
      <c r="E31" s="304" t="s">
        <v>421</v>
      </c>
      <c r="F31" s="44"/>
      <c r="G31" s="44"/>
      <c r="H31" s="44"/>
      <c r="I31" s="45" t="s">
        <v>27</v>
      </c>
      <c r="J31" s="103" t="s">
        <v>27</v>
      </c>
      <c r="K31" s="45" t="s">
        <v>27</v>
      </c>
      <c r="L31" s="44"/>
      <c r="M31" s="44"/>
      <c r="N31" s="103" t="s">
        <v>27</v>
      </c>
      <c r="O31" s="45" t="s">
        <v>27</v>
      </c>
      <c r="P31" s="45" t="s">
        <v>27</v>
      </c>
      <c r="Q31" s="45" t="s">
        <v>27</v>
      </c>
      <c r="R31" s="44"/>
      <c r="S31" s="44"/>
      <c r="T31" s="44"/>
      <c r="U31" s="106" t="s">
        <v>32</v>
      </c>
      <c r="V31" s="45" t="s">
        <v>27</v>
      </c>
      <c r="W31" s="45" t="s">
        <v>27</v>
      </c>
      <c r="X31" s="44"/>
      <c r="Y31" s="44"/>
      <c r="Z31" s="103" t="s">
        <v>27</v>
      </c>
      <c r="AA31" s="106" t="s">
        <v>32</v>
      </c>
      <c r="AB31" s="45" t="s">
        <v>27</v>
      </c>
      <c r="AC31" s="45" t="s">
        <v>27</v>
      </c>
      <c r="AD31" s="44"/>
      <c r="AE31" s="44"/>
      <c r="AF31" s="44"/>
      <c r="AG31" s="45" t="s">
        <v>27</v>
      </c>
      <c r="AH31" s="45" t="s">
        <v>27</v>
      </c>
      <c r="AI31" s="45" t="s">
        <v>18</v>
      </c>
      <c r="AJ31" s="44"/>
      <c r="AK31" s="82"/>
      <c r="AL31" s="82"/>
      <c r="AM31" s="60" t="str">
        <f t="shared" si="15"/>
        <v/>
      </c>
      <c r="AN31" s="60">
        <f t="shared" si="16"/>
        <v>1</v>
      </c>
      <c r="AO31" s="60">
        <f t="shared" si="17"/>
        <v>0</v>
      </c>
      <c r="AP31" s="60">
        <f t="shared" si="18"/>
        <v>0</v>
      </c>
      <c r="AQ31" s="60">
        <f t="shared" si="19"/>
        <v>0</v>
      </c>
      <c r="AR31" s="60">
        <f t="shared" si="20"/>
        <v>0</v>
      </c>
      <c r="AS31" s="60">
        <f t="shared" si="21"/>
        <v>0</v>
      </c>
      <c r="AT31" s="82"/>
      <c r="AU31" s="82"/>
    </row>
    <row r="32" ht="15.75" customHeight="1">
      <c r="A32" s="314" t="s">
        <v>33</v>
      </c>
      <c r="B32" s="317" t="s">
        <v>432</v>
      </c>
      <c r="C32" s="217">
        <v>4.6252382E7</v>
      </c>
      <c r="D32" s="97" t="s">
        <v>434</v>
      </c>
      <c r="E32" s="217" t="s">
        <v>436</v>
      </c>
      <c r="F32" s="44"/>
      <c r="G32" s="44"/>
      <c r="H32" s="44"/>
      <c r="I32" s="45" t="s">
        <v>18</v>
      </c>
      <c r="J32" s="103" t="s">
        <v>18</v>
      </c>
      <c r="K32" s="45" t="s">
        <v>27</v>
      </c>
      <c r="L32" s="44"/>
      <c r="M32" s="44"/>
      <c r="N32" s="103" t="s">
        <v>18</v>
      </c>
      <c r="O32" s="45" t="s">
        <v>27</v>
      </c>
      <c r="P32" s="103" t="s">
        <v>18</v>
      </c>
      <c r="Q32" s="45" t="s">
        <v>27</v>
      </c>
      <c r="R32" s="328"/>
      <c r="S32" s="328"/>
      <c r="T32" s="328"/>
      <c r="U32" s="328"/>
      <c r="V32" s="328"/>
      <c r="W32" s="328"/>
      <c r="X32" s="328"/>
      <c r="Y32" s="328"/>
      <c r="Z32" s="328"/>
      <c r="AA32" s="328"/>
      <c r="AB32" s="328"/>
      <c r="AC32" s="328"/>
      <c r="AD32" s="328"/>
      <c r="AE32" s="328"/>
      <c r="AF32" s="328"/>
      <c r="AG32" s="328"/>
      <c r="AH32" s="328"/>
      <c r="AI32" s="328"/>
      <c r="AJ32" s="328"/>
      <c r="AK32" s="82"/>
      <c r="AL32" s="82"/>
      <c r="AM32" s="60" t="str">
        <f t="shared" si="15"/>
        <v>NO CORRESPONDE FRANCO</v>
      </c>
      <c r="AN32" s="60">
        <f t="shared" si="16"/>
        <v>4</v>
      </c>
      <c r="AO32" s="60">
        <f t="shared" si="17"/>
        <v>0</v>
      </c>
      <c r="AP32" s="60">
        <f t="shared" si="18"/>
        <v>0</v>
      </c>
      <c r="AQ32" s="60">
        <f t="shared" si="19"/>
        <v>0</v>
      </c>
      <c r="AR32" s="60">
        <f t="shared" si="20"/>
        <v>0</v>
      </c>
      <c r="AS32" s="60">
        <f t="shared" si="21"/>
        <v>0</v>
      </c>
      <c r="AT32" s="82"/>
      <c r="AU32" s="82"/>
    </row>
    <row r="33" ht="15.75" customHeight="1">
      <c r="A33" s="205" t="s">
        <v>33</v>
      </c>
      <c r="B33" s="206" t="s">
        <v>446</v>
      </c>
      <c r="C33" s="205">
        <v>9.6081789E7</v>
      </c>
      <c r="D33" s="339" t="s">
        <v>448</v>
      </c>
      <c r="E33" s="206" t="s">
        <v>450</v>
      </c>
      <c r="F33" s="341" t="s">
        <v>18</v>
      </c>
      <c r="G33" s="341" t="s">
        <v>18</v>
      </c>
      <c r="H33" s="343"/>
      <c r="I33" s="345"/>
      <c r="J33" s="345"/>
      <c r="K33" s="346" t="s">
        <v>32</v>
      </c>
      <c r="L33" s="341" t="s">
        <v>27</v>
      </c>
      <c r="M33" s="341" t="s">
        <v>27</v>
      </c>
      <c r="N33" s="345"/>
      <c r="O33" s="345"/>
      <c r="P33" s="346" t="s">
        <v>27</v>
      </c>
      <c r="Q33" s="346" t="s">
        <v>27</v>
      </c>
      <c r="R33" s="44"/>
      <c r="S33" s="44"/>
      <c r="T33" s="44"/>
      <c r="U33" s="45" t="s">
        <v>27</v>
      </c>
      <c r="V33" s="45" t="s">
        <v>27</v>
      </c>
      <c r="W33" s="45" t="s">
        <v>27</v>
      </c>
      <c r="X33" s="44"/>
      <c r="Y33" s="44"/>
      <c r="Z33" s="103" t="s">
        <v>27</v>
      </c>
      <c r="AA33" s="45" t="s">
        <v>27</v>
      </c>
      <c r="AB33" s="45" t="s">
        <v>27</v>
      </c>
      <c r="AC33" s="106" t="s">
        <v>32</v>
      </c>
      <c r="AD33" s="44"/>
      <c r="AE33" s="44"/>
      <c r="AF33" s="44"/>
      <c r="AG33" s="45" t="s">
        <v>27</v>
      </c>
      <c r="AH33" s="45" t="s">
        <v>18</v>
      </c>
      <c r="AI33" s="45" t="s">
        <v>27</v>
      </c>
      <c r="AJ33" s="44"/>
      <c r="AK33" s="82"/>
      <c r="AL33" s="348"/>
      <c r="AM33" s="60" t="str">
        <f t="shared" si="15"/>
        <v/>
      </c>
      <c r="AN33" s="60">
        <f t="shared" si="16"/>
        <v>3</v>
      </c>
      <c r="AO33" s="60">
        <f t="shared" si="17"/>
        <v>0</v>
      </c>
      <c r="AP33" s="60">
        <f t="shared" si="18"/>
        <v>0</v>
      </c>
      <c r="AQ33" s="60">
        <f t="shared" si="19"/>
        <v>0</v>
      </c>
      <c r="AR33" s="60">
        <f t="shared" si="20"/>
        <v>0</v>
      </c>
      <c r="AS33" s="60">
        <f t="shared" si="21"/>
        <v>0</v>
      </c>
      <c r="AT33" s="82"/>
      <c r="AU33" s="348"/>
    </row>
    <row r="34" ht="15.75" customHeight="1">
      <c r="A34" s="66" t="s">
        <v>33</v>
      </c>
      <c r="B34" s="67" t="s">
        <v>464</v>
      </c>
      <c r="C34" s="66">
        <v>4.1204026E7</v>
      </c>
      <c r="D34" s="67" t="s">
        <v>465</v>
      </c>
      <c r="E34" s="66" t="s">
        <v>466</v>
      </c>
      <c r="F34" s="44"/>
      <c r="G34" s="44"/>
      <c r="H34" s="44"/>
      <c r="I34" s="352" t="s">
        <v>78</v>
      </c>
      <c r="J34" s="352" t="s">
        <v>78</v>
      </c>
      <c r="K34" s="352" t="s">
        <v>78</v>
      </c>
      <c r="L34" s="44"/>
      <c r="M34" s="44"/>
      <c r="N34" s="352" t="s">
        <v>78</v>
      </c>
      <c r="O34" s="352" t="s">
        <v>78</v>
      </c>
      <c r="P34" s="352" t="s">
        <v>78</v>
      </c>
      <c r="Q34" s="352" t="s">
        <v>78</v>
      </c>
      <c r="R34" s="44"/>
      <c r="S34" s="44"/>
      <c r="T34" s="44"/>
      <c r="U34" s="352" t="s">
        <v>78</v>
      </c>
      <c r="V34" s="352" t="s">
        <v>78</v>
      </c>
      <c r="W34" s="121" t="s">
        <v>467</v>
      </c>
      <c r="X34" s="6"/>
      <c r="Y34" s="6"/>
      <c r="Z34" s="6"/>
      <c r="AA34" s="6"/>
      <c r="AB34" s="6"/>
      <c r="AC34" s="6"/>
      <c r="AD34" s="6"/>
      <c r="AE34" s="6"/>
      <c r="AF34" s="6"/>
      <c r="AG34" s="6"/>
      <c r="AH34" s="6"/>
      <c r="AI34" s="6"/>
      <c r="AJ34" s="11"/>
      <c r="AK34" s="82"/>
      <c r="AL34" s="82"/>
      <c r="AM34" s="60" t="str">
        <f t="shared" si="15"/>
        <v/>
      </c>
      <c r="AN34" s="60">
        <f t="shared" si="16"/>
        <v>0</v>
      </c>
      <c r="AO34" s="60">
        <f t="shared" si="17"/>
        <v>0</v>
      </c>
      <c r="AP34" s="60">
        <f t="shared" si="18"/>
        <v>0</v>
      </c>
      <c r="AQ34" s="60">
        <f t="shared" si="19"/>
        <v>0</v>
      </c>
      <c r="AR34" s="60">
        <f t="shared" si="20"/>
        <v>0</v>
      </c>
      <c r="AS34" s="60">
        <f t="shared" si="21"/>
        <v>0</v>
      </c>
      <c r="AT34" s="82"/>
      <c r="AU34" s="82"/>
    </row>
    <row r="35" ht="15.75" customHeight="1">
      <c r="A35" s="356"/>
      <c r="B35" s="356"/>
      <c r="C35" s="356"/>
      <c r="D35" s="357"/>
      <c r="E35" s="356"/>
      <c r="F35" s="165"/>
      <c r="H35" s="24"/>
      <c r="I35" s="24"/>
      <c r="K35" s="24"/>
      <c r="L35" s="24"/>
      <c r="N35" s="24"/>
      <c r="O35" s="24"/>
      <c r="Q35" s="24"/>
      <c r="R35" s="165"/>
      <c r="S35" s="24"/>
      <c r="T35" s="24"/>
      <c r="U35" s="24"/>
      <c r="W35" s="24"/>
      <c r="X35" s="24"/>
      <c r="AJ35" s="242"/>
      <c r="AK35" s="82"/>
      <c r="AL35" s="82"/>
      <c r="AM35" s="82"/>
      <c r="AN35" s="60"/>
      <c r="AO35" s="60"/>
      <c r="AP35" s="60"/>
      <c r="AQ35" s="60"/>
      <c r="AR35" s="60"/>
      <c r="AS35" s="60"/>
      <c r="AT35" s="82"/>
      <c r="AU35" s="82"/>
    </row>
    <row r="36" ht="15.75" customHeight="1">
      <c r="A36" s="360" t="s">
        <v>482</v>
      </c>
      <c r="B36" s="2"/>
      <c r="C36" s="2"/>
      <c r="D36" s="2"/>
      <c r="E36" s="3"/>
      <c r="F36" s="249">
        <v>1.0</v>
      </c>
      <c r="G36" s="249">
        <v>2.0</v>
      </c>
      <c r="H36" s="249">
        <v>3.0</v>
      </c>
      <c r="I36" s="249">
        <v>4.0</v>
      </c>
      <c r="J36" s="249">
        <v>5.0</v>
      </c>
      <c r="K36" s="249">
        <v>6.0</v>
      </c>
      <c r="L36" s="249">
        <v>7.0</v>
      </c>
      <c r="M36" s="249">
        <v>8.0</v>
      </c>
      <c r="N36" s="249">
        <v>9.0</v>
      </c>
      <c r="O36" s="249">
        <v>10.0</v>
      </c>
      <c r="P36" s="249">
        <v>11.0</v>
      </c>
      <c r="Q36" s="249">
        <v>12.0</v>
      </c>
      <c r="R36" s="249">
        <v>13.0</v>
      </c>
      <c r="S36" s="249">
        <v>14.0</v>
      </c>
      <c r="T36" s="249">
        <v>15.0</v>
      </c>
      <c r="U36" s="249">
        <v>16.0</v>
      </c>
      <c r="V36" s="249">
        <v>17.0</v>
      </c>
      <c r="W36" s="249">
        <v>18.0</v>
      </c>
      <c r="X36" s="249">
        <v>19.0</v>
      </c>
      <c r="Y36" s="249">
        <v>20.0</v>
      </c>
      <c r="Z36" s="249">
        <v>21.0</v>
      </c>
      <c r="AA36" s="249">
        <v>22.0</v>
      </c>
      <c r="AB36" s="249">
        <v>23.0</v>
      </c>
      <c r="AC36" s="249">
        <v>24.0</v>
      </c>
      <c r="AD36" s="249">
        <v>25.0</v>
      </c>
      <c r="AE36" s="249">
        <v>26.0</v>
      </c>
      <c r="AF36" s="249">
        <v>27.0</v>
      </c>
      <c r="AG36" s="249">
        <v>28.0</v>
      </c>
      <c r="AH36" s="249">
        <v>29.0</v>
      </c>
      <c r="AI36" s="249">
        <v>30.0</v>
      </c>
      <c r="AJ36" s="249">
        <v>31.0</v>
      </c>
      <c r="AK36" s="82"/>
      <c r="AL36" s="294"/>
      <c r="AM36" s="294"/>
      <c r="AN36" s="60"/>
      <c r="AO36" s="60"/>
      <c r="AP36" s="60"/>
      <c r="AQ36" s="60"/>
      <c r="AR36" s="60"/>
      <c r="AS36" s="60"/>
      <c r="AT36" s="82"/>
      <c r="AU36" s="82"/>
    </row>
    <row r="37" ht="15.75" customHeight="1">
      <c r="A37" s="258" t="s">
        <v>4</v>
      </c>
      <c r="B37" s="260" t="s">
        <v>5</v>
      </c>
      <c r="C37" s="261" t="s">
        <v>6</v>
      </c>
      <c r="D37" s="262" t="s">
        <v>7</v>
      </c>
      <c r="E37" s="264" t="s">
        <v>8</v>
      </c>
      <c r="F37" s="265" t="s">
        <v>9</v>
      </c>
      <c r="G37" s="265" t="s">
        <v>10</v>
      </c>
      <c r="H37" s="265" t="s">
        <v>11</v>
      </c>
      <c r="I37" s="265" t="s">
        <v>12</v>
      </c>
      <c r="J37" s="265" t="s">
        <v>12</v>
      </c>
      <c r="K37" s="265" t="s">
        <v>13</v>
      </c>
      <c r="L37" s="265" t="s">
        <v>15</v>
      </c>
      <c r="M37" s="265" t="s">
        <v>9</v>
      </c>
      <c r="N37" s="265" t="s">
        <v>10</v>
      </c>
      <c r="O37" s="265" t="s">
        <v>11</v>
      </c>
      <c r="P37" s="265" t="s">
        <v>12</v>
      </c>
      <c r="Q37" s="265" t="s">
        <v>12</v>
      </c>
      <c r="R37" s="265" t="s">
        <v>13</v>
      </c>
      <c r="S37" s="265" t="s">
        <v>15</v>
      </c>
      <c r="T37" s="265" t="s">
        <v>9</v>
      </c>
      <c r="U37" s="265" t="s">
        <v>10</v>
      </c>
      <c r="V37" s="265" t="s">
        <v>11</v>
      </c>
      <c r="W37" s="265" t="s">
        <v>12</v>
      </c>
      <c r="X37" s="265" t="s">
        <v>12</v>
      </c>
      <c r="Y37" s="265" t="s">
        <v>13</v>
      </c>
      <c r="Z37" s="265" t="s">
        <v>15</v>
      </c>
      <c r="AA37" s="265" t="s">
        <v>9</v>
      </c>
      <c r="AB37" s="265" t="s">
        <v>10</v>
      </c>
      <c r="AC37" s="265" t="s">
        <v>11</v>
      </c>
      <c r="AD37" s="265" t="s">
        <v>12</v>
      </c>
      <c r="AE37" s="265" t="s">
        <v>12</v>
      </c>
      <c r="AF37" s="265" t="s">
        <v>13</v>
      </c>
      <c r="AG37" s="268" t="s">
        <v>15</v>
      </c>
      <c r="AH37" s="265" t="s">
        <v>9</v>
      </c>
      <c r="AI37" s="265" t="s">
        <v>10</v>
      </c>
      <c r="AJ37" s="265" t="s">
        <v>11</v>
      </c>
      <c r="AK37" s="82"/>
      <c r="AL37" s="294"/>
      <c r="AM37" s="294"/>
      <c r="AN37" s="60"/>
      <c r="AO37" s="60"/>
      <c r="AP37" s="60"/>
      <c r="AQ37" s="60"/>
      <c r="AR37" s="60"/>
      <c r="AS37" s="60"/>
      <c r="AT37" s="82"/>
      <c r="AU37" s="82"/>
    </row>
    <row r="38" ht="15.75" customHeight="1">
      <c r="A38" s="364" t="s">
        <v>33</v>
      </c>
      <c r="B38" s="63" t="s">
        <v>490</v>
      </c>
      <c r="C38" s="366">
        <v>3.4059155E7</v>
      </c>
      <c r="D38" s="63" t="s">
        <v>491</v>
      </c>
      <c r="E38" s="88" t="s">
        <v>492</v>
      </c>
      <c r="F38" s="44"/>
      <c r="G38" s="44"/>
      <c r="H38" s="103" t="s">
        <v>27</v>
      </c>
      <c r="I38" s="45" t="s">
        <v>27</v>
      </c>
      <c r="J38" s="45" t="s">
        <v>27</v>
      </c>
      <c r="K38" s="44"/>
      <c r="L38" s="44"/>
      <c r="M38" s="44"/>
      <c r="N38" s="45" t="s">
        <v>27</v>
      </c>
      <c r="O38" s="45" t="s">
        <v>27</v>
      </c>
      <c r="P38" s="45" t="s">
        <v>27</v>
      </c>
      <c r="Q38" s="106" t="s">
        <v>32</v>
      </c>
      <c r="R38" s="44"/>
      <c r="S38" s="44"/>
      <c r="T38" s="103" t="s">
        <v>27</v>
      </c>
      <c r="U38" s="45" t="s">
        <v>27</v>
      </c>
      <c r="V38" s="103" t="s">
        <v>27</v>
      </c>
      <c r="W38" s="44"/>
      <c r="X38" s="44"/>
      <c r="Y38" s="44"/>
      <c r="Z38" s="45" t="s">
        <v>27</v>
      </c>
      <c r="AA38" s="45" t="s">
        <v>27</v>
      </c>
      <c r="AB38" s="45" t="s">
        <v>27</v>
      </c>
      <c r="AC38" s="45" t="s">
        <v>27</v>
      </c>
      <c r="AD38" s="44"/>
      <c r="AE38" s="44"/>
      <c r="AF38" s="45" t="s">
        <v>27</v>
      </c>
      <c r="AG38" s="45" t="s">
        <v>27</v>
      </c>
      <c r="AH38" s="45" t="s">
        <v>27</v>
      </c>
      <c r="AI38" s="44"/>
      <c r="AJ38" s="44"/>
      <c r="AK38" s="82"/>
      <c r="AL38" s="294"/>
      <c r="AM38" s="60" t="str">
        <f t="shared" ref="AM38:AM45" si="22">IFS(AN38&gt;3,"NO CORRESPONDE FRANCO",AS38&gt;0,"NO CORRESPONDE FRANCO",AS38=0,"")</f>
        <v/>
      </c>
      <c r="AN38" s="60">
        <f t="shared" ref="AN38:AN45" si="23">COUNTIF($F38:$AJ38,"LLT")</f>
        <v>0</v>
      </c>
      <c r="AO38" s="60">
        <f t="shared" ref="AO38:AO45" si="24">COUNTIF($F38:$AJ38,"LM")</f>
        <v>0</v>
      </c>
      <c r="AP38" s="60">
        <f t="shared" ref="AP38:AP45" si="25">COUNTIF($F38:$AJ38,"FaC")</f>
        <v>0</v>
      </c>
      <c r="AQ38" s="60">
        <f t="shared" ref="AQ38:AQ45" si="26">COUNTIF($F38:$AJ38,"LxE")</f>
        <v>0</v>
      </c>
      <c r="AR38" s="60">
        <f t="shared" ref="AR38:AR45" si="27">COUNTIF($F38:$AJ38,"LA")</f>
        <v>0</v>
      </c>
      <c r="AS38" s="60">
        <f t="shared" ref="AS38:AS45" si="28">SUM(AO38:AR38)</f>
        <v>0</v>
      </c>
      <c r="AT38" s="82"/>
      <c r="AU38" s="82"/>
    </row>
    <row r="39" ht="15.75" customHeight="1">
      <c r="A39" s="364" t="s">
        <v>33</v>
      </c>
      <c r="B39" s="63" t="s">
        <v>510</v>
      </c>
      <c r="C39" s="371">
        <v>2.7382983E7</v>
      </c>
      <c r="D39" s="63" t="s">
        <v>512</v>
      </c>
      <c r="E39" s="88" t="s">
        <v>514</v>
      </c>
      <c r="F39" s="44"/>
      <c r="G39" s="44"/>
      <c r="H39" s="103" t="s">
        <v>27</v>
      </c>
      <c r="I39" s="45" t="s">
        <v>27</v>
      </c>
      <c r="J39" s="45" t="s">
        <v>27</v>
      </c>
      <c r="K39" s="44"/>
      <c r="L39" s="44"/>
      <c r="M39" s="44"/>
      <c r="N39" s="45" t="s">
        <v>27</v>
      </c>
      <c r="O39" s="45" t="s">
        <v>27</v>
      </c>
      <c r="P39" s="45" t="s">
        <v>27</v>
      </c>
      <c r="Q39" s="45" t="s">
        <v>27</v>
      </c>
      <c r="R39" s="44"/>
      <c r="S39" s="44"/>
      <c r="T39" s="103" t="s">
        <v>27</v>
      </c>
      <c r="U39" s="45" t="s">
        <v>27</v>
      </c>
      <c r="V39" s="45" t="s">
        <v>27</v>
      </c>
      <c r="W39" s="44"/>
      <c r="X39" s="44"/>
      <c r="Y39" s="44"/>
      <c r="Z39" s="106" t="s">
        <v>32</v>
      </c>
      <c r="AA39" s="45" t="s">
        <v>27</v>
      </c>
      <c r="AB39" s="45" t="s">
        <v>27</v>
      </c>
      <c r="AC39" s="45" t="s">
        <v>27</v>
      </c>
      <c r="AD39" s="44"/>
      <c r="AE39" s="44"/>
      <c r="AF39" s="45" t="s">
        <v>27</v>
      </c>
      <c r="AG39" s="45" t="s">
        <v>27</v>
      </c>
      <c r="AH39" s="45" t="s">
        <v>27</v>
      </c>
      <c r="AI39" s="44"/>
      <c r="AJ39" s="44"/>
      <c r="AK39" s="82"/>
      <c r="AL39" s="294"/>
      <c r="AM39" s="60" t="str">
        <f t="shared" si="22"/>
        <v/>
      </c>
      <c r="AN39" s="60">
        <f t="shared" si="23"/>
        <v>0</v>
      </c>
      <c r="AO39" s="60">
        <f t="shared" si="24"/>
        <v>0</v>
      </c>
      <c r="AP39" s="60">
        <f t="shared" si="25"/>
        <v>0</v>
      </c>
      <c r="AQ39" s="60">
        <f t="shared" si="26"/>
        <v>0</v>
      </c>
      <c r="AR39" s="60">
        <f t="shared" si="27"/>
        <v>0</v>
      </c>
      <c r="AS39" s="60">
        <f t="shared" si="28"/>
        <v>0</v>
      </c>
      <c r="AT39" s="82"/>
      <c r="AU39" s="82"/>
    </row>
    <row r="40" ht="15.75" customHeight="1">
      <c r="A40" s="115" t="s">
        <v>33</v>
      </c>
      <c r="B40" s="63" t="s">
        <v>523</v>
      </c>
      <c r="C40" s="366">
        <v>2.3671702E7</v>
      </c>
      <c r="D40" s="63" t="s">
        <v>524</v>
      </c>
      <c r="E40" s="88" t="s">
        <v>525</v>
      </c>
      <c r="F40" s="44"/>
      <c r="G40" s="44"/>
      <c r="H40" s="126" t="s">
        <v>19</v>
      </c>
      <c r="I40" s="126" t="s">
        <v>19</v>
      </c>
      <c r="J40" s="126" t="s">
        <v>19</v>
      </c>
      <c r="K40" s="126" t="s">
        <v>19</v>
      </c>
      <c r="L40" s="126" t="s">
        <v>19</v>
      </c>
      <c r="M40" s="126" t="s">
        <v>19</v>
      </c>
      <c r="N40" s="126" t="s">
        <v>19</v>
      </c>
      <c r="O40" s="126" t="s">
        <v>19</v>
      </c>
      <c r="P40" s="126" t="s">
        <v>19</v>
      </c>
      <c r="Q40" s="126" t="s">
        <v>19</v>
      </c>
      <c r="R40" s="126" t="s">
        <v>19</v>
      </c>
      <c r="S40" s="126" t="s">
        <v>19</v>
      </c>
      <c r="T40" s="126" t="s">
        <v>19</v>
      </c>
      <c r="U40" s="126" t="s">
        <v>19</v>
      </c>
      <c r="V40" s="126" t="s">
        <v>19</v>
      </c>
      <c r="W40" s="126" t="s">
        <v>19</v>
      </c>
      <c r="X40" s="126" t="s">
        <v>19</v>
      </c>
      <c r="Y40" s="126" t="s">
        <v>19</v>
      </c>
      <c r="Z40" s="126" t="s">
        <v>19</v>
      </c>
      <c r="AA40" s="126" t="s">
        <v>19</v>
      </c>
      <c r="AB40" s="126" t="s">
        <v>19</v>
      </c>
      <c r="AC40" s="126" t="s">
        <v>19</v>
      </c>
      <c r="AD40" s="126" t="s">
        <v>19</v>
      </c>
      <c r="AE40" s="126" t="s">
        <v>19</v>
      </c>
      <c r="AF40" s="126" t="s">
        <v>19</v>
      </c>
      <c r="AG40" s="126" t="s">
        <v>19</v>
      </c>
      <c r="AH40" s="126" t="s">
        <v>19</v>
      </c>
      <c r="AI40" s="126" t="s">
        <v>19</v>
      </c>
      <c r="AJ40" s="126" t="s">
        <v>19</v>
      </c>
      <c r="AK40" s="375" t="s">
        <v>528</v>
      </c>
      <c r="AL40" s="294"/>
      <c r="AM40" s="60" t="str">
        <f t="shared" si="22"/>
        <v>NO CORRESPONDE FRANCO</v>
      </c>
      <c r="AN40" s="60">
        <f t="shared" si="23"/>
        <v>0</v>
      </c>
      <c r="AO40" s="60">
        <f t="shared" si="24"/>
        <v>29</v>
      </c>
      <c r="AP40" s="60">
        <f t="shared" si="25"/>
        <v>0</v>
      </c>
      <c r="AQ40" s="60">
        <f t="shared" si="26"/>
        <v>0</v>
      </c>
      <c r="AR40" s="60">
        <f t="shared" si="27"/>
        <v>0</v>
      </c>
      <c r="AS40" s="60">
        <f t="shared" si="28"/>
        <v>29</v>
      </c>
      <c r="AT40" s="82"/>
      <c r="AU40" s="82"/>
    </row>
    <row r="41" ht="15.75" customHeight="1">
      <c r="A41" s="66" t="s">
        <v>33</v>
      </c>
      <c r="B41" s="116" t="s">
        <v>536</v>
      </c>
      <c r="C41" s="76">
        <v>4.4544554E7</v>
      </c>
      <c r="D41" s="116" t="s">
        <v>539</v>
      </c>
      <c r="E41" s="76" t="s">
        <v>540</v>
      </c>
      <c r="F41" s="44"/>
      <c r="G41" s="44"/>
      <c r="H41" s="103" t="s">
        <v>18</v>
      </c>
      <c r="I41" s="45" t="s">
        <v>27</v>
      </c>
      <c r="J41" s="112" t="s">
        <v>18</v>
      </c>
      <c r="K41" s="44"/>
      <c r="L41" s="44"/>
      <c r="M41" s="45" t="s">
        <v>27</v>
      </c>
      <c r="N41" s="45" t="s">
        <v>27</v>
      </c>
      <c r="O41" s="124" t="s">
        <v>22</v>
      </c>
      <c r="P41" s="124" t="s">
        <v>22</v>
      </c>
      <c r="Q41" s="124" t="s">
        <v>22</v>
      </c>
      <c r="R41" s="124" t="s">
        <v>22</v>
      </c>
      <c r="S41" s="124" t="s">
        <v>22</v>
      </c>
      <c r="T41" s="124" t="s">
        <v>22</v>
      </c>
      <c r="U41" s="124" t="s">
        <v>22</v>
      </c>
      <c r="V41" s="45" t="s">
        <v>27</v>
      </c>
      <c r="W41" s="44"/>
      <c r="X41" s="44"/>
      <c r="Y41" s="44"/>
      <c r="Z41" s="45" t="s">
        <v>27</v>
      </c>
      <c r="AA41" s="45" t="s">
        <v>27</v>
      </c>
      <c r="AB41" s="45" t="s">
        <v>27</v>
      </c>
      <c r="AC41" s="45" t="s">
        <v>18</v>
      </c>
      <c r="AD41" s="44"/>
      <c r="AE41" s="44"/>
      <c r="AF41" s="45" t="s">
        <v>18</v>
      </c>
      <c r="AG41" s="45" t="s">
        <v>18</v>
      </c>
      <c r="AH41" s="45" t="s">
        <v>18</v>
      </c>
      <c r="AI41" s="44"/>
      <c r="AJ41" s="44"/>
      <c r="AK41" s="82"/>
      <c r="AL41" s="294"/>
      <c r="AM41" s="60" t="str">
        <f t="shared" si="22"/>
        <v>NO CORRESPONDE FRANCO</v>
      </c>
      <c r="AN41" s="60">
        <f t="shared" si="23"/>
        <v>6</v>
      </c>
      <c r="AO41" s="60">
        <f t="shared" si="24"/>
        <v>0</v>
      </c>
      <c r="AP41" s="60">
        <f t="shared" si="25"/>
        <v>0</v>
      </c>
      <c r="AQ41" s="60">
        <f t="shared" si="26"/>
        <v>0</v>
      </c>
      <c r="AR41" s="60">
        <f t="shared" si="27"/>
        <v>7</v>
      </c>
      <c r="AS41" s="60">
        <f t="shared" si="28"/>
        <v>7</v>
      </c>
      <c r="AT41" s="82"/>
      <c r="AU41" s="82"/>
    </row>
    <row r="42" ht="15.75" customHeight="1">
      <c r="A42" s="115" t="s">
        <v>33</v>
      </c>
      <c r="B42" s="67" t="s">
        <v>543</v>
      </c>
      <c r="C42" s="76">
        <v>2.5805778E7</v>
      </c>
      <c r="D42" s="67" t="s">
        <v>544</v>
      </c>
      <c r="E42" s="66" t="s">
        <v>545</v>
      </c>
      <c r="F42" s="96" t="s">
        <v>22</v>
      </c>
      <c r="G42" s="96" t="s">
        <v>22</v>
      </c>
      <c r="H42" s="96" t="s">
        <v>22</v>
      </c>
      <c r="I42" s="224" t="s">
        <v>546</v>
      </c>
      <c r="J42" s="6"/>
      <c r="K42" s="6"/>
      <c r="L42" s="6"/>
      <c r="M42" s="6"/>
      <c r="N42" s="6"/>
      <c r="O42" s="6"/>
      <c r="P42" s="6"/>
      <c r="Q42" s="6"/>
      <c r="R42" s="6"/>
      <c r="S42" s="6"/>
      <c r="T42" s="6"/>
      <c r="U42" s="6"/>
      <c r="V42" s="6"/>
      <c r="W42" s="6"/>
      <c r="X42" s="6"/>
      <c r="Y42" s="6"/>
      <c r="Z42" s="6"/>
      <c r="AA42" s="6"/>
      <c r="AB42" s="6"/>
      <c r="AC42" s="6"/>
      <c r="AD42" s="6"/>
      <c r="AE42" s="6"/>
      <c r="AF42" s="6"/>
      <c r="AG42" s="6"/>
      <c r="AH42" s="6"/>
      <c r="AI42" s="6"/>
      <c r="AJ42" s="11"/>
      <c r="AK42" s="82"/>
      <c r="AL42" s="294"/>
      <c r="AM42" s="60" t="str">
        <f t="shared" si="22"/>
        <v>NO CORRESPONDE FRANCO</v>
      </c>
      <c r="AN42" s="60">
        <f t="shared" si="23"/>
        <v>0</v>
      </c>
      <c r="AO42" s="60">
        <f t="shared" si="24"/>
        <v>0</v>
      </c>
      <c r="AP42" s="60">
        <f t="shared" si="25"/>
        <v>0</v>
      </c>
      <c r="AQ42" s="60">
        <f t="shared" si="26"/>
        <v>0</v>
      </c>
      <c r="AR42" s="60">
        <f t="shared" si="27"/>
        <v>3</v>
      </c>
      <c r="AS42" s="60">
        <f t="shared" si="28"/>
        <v>3</v>
      </c>
      <c r="AT42" s="82"/>
      <c r="AU42" s="82"/>
    </row>
    <row r="43" ht="15.75" customHeight="1">
      <c r="A43" s="66" t="s">
        <v>33</v>
      </c>
      <c r="B43" s="67" t="s">
        <v>554</v>
      </c>
      <c r="C43" s="76">
        <v>4.0127613E7</v>
      </c>
      <c r="D43" s="159" t="s">
        <v>555</v>
      </c>
      <c r="E43" s="66" t="s">
        <v>556</v>
      </c>
      <c r="F43" s="44"/>
      <c r="G43" s="44"/>
      <c r="H43" s="103" t="s">
        <v>27</v>
      </c>
      <c r="I43" s="45" t="s">
        <v>27</v>
      </c>
      <c r="J43" s="45" t="s">
        <v>27</v>
      </c>
      <c r="K43" s="44"/>
      <c r="L43" s="44"/>
      <c r="M43" s="44"/>
      <c r="N43" s="45" t="s">
        <v>27</v>
      </c>
      <c r="O43" s="106" t="s">
        <v>32</v>
      </c>
      <c r="P43" s="124" t="s">
        <v>22</v>
      </c>
      <c r="Q43" s="124" t="s">
        <v>22</v>
      </c>
      <c r="R43" s="124" t="s">
        <v>22</v>
      </c>
      <c r="S43" s="124" t="s">
        <v>22</v>
      </c>
      <c r="T43" s="124" t="s">
        <v>22</v>
      </c>
      <c r="U43" s="124" t="s">
        <v>22</v>
      </c>
      <c r="V43" s="124" t="s">
        <v>22</v>
      </c>
      <c r="W43" s="44"/>
      <c r="X43" s="44"/>
      <c r="Y43" s="44"/>
      <c r="Z43" s="45" t="s">
        <v>27</v>
      </c>
      <c r="AA43" s="45" t="s">
        <v>27</v>
      </c>
      <c r="AB43" s="45" t="s">
        <v>27</v>
      </c>
      <c r="AC43" s="45" t="s">
        <v>27</v>
      </c>
      <c r="AD43" s="44"/>
      <c r="AE43" s="44"/>
      <c r="AF43" s="45" t="s">
        <v>27</v>
      </c>
      <c r="AG43" s="106" t="s">
        <v>32</v>
      </c>
      <c r="AH43" s="106" t="s">
        <v>32</v>
      </c>
      <c r="AI43" s="44"/>
      <c r="AJ43" s="44"/>
      <c r="AK43" s="82"/>
      <c r="AL43" s="294"/>
      <c r="AM43" s="60" t="str">
        <f t="shared" si="22"/>
        <v>NO CORRESPONDE FRANCO</v>
      </c>
      <c r="AN43" s="60">
        <f t="shared" si="23"/>
        <v>0</v>
      </c>
      <c r="AO43" s="60">
        <f t="shared" si="24"/>
        <v>0</v>
      </c>
      <c r="AP43" s="60">
        <f t="shared" si="25"/>
        <v>0</v>
      </c>
      <c r="AQ43" s="60">
        <f t="shared" si="26"/>
        <v>0</v>
      </c>
      <c r="AR43" s="60">
        <f t="shared" si="27"/>
        <v>7</v>
      </c>
      <c r="AS43" s="60">
        <f t="shared" si="28"/>
        <v>7</v>
      </c>
      <c r="AT43" s="82"/>
      <c r="AU43" s="82"/>
    </row>
    <row r="44" ht="15.75" customHeight="1">
      <c r="A44" s="66" t="s">
        <v>33</v>
      </c>
      <c r="B44" s="383" t="s">
        <v>560</v>
      </c>
      <c r="C44" s="45">
        <v>4.2590083E7</v>
      </c>
      <c r="D44" s="383" t="s">
        <v>565</v>
      </c>
      <c r="E44" s="383" t="s">
        <v>566</v>
      </c>
      <c r="F44" s="44"/>
      <c r="G44" s="44"/>
      <c r="H44" s="103" t="s">
        <v>18</v>
      </c>
      <c r="I44" s="45" t="s">
        <v>27</v>
      </c>
      <c r="J44" s="45" t="s">
        <v>27</v>
      </c>
      <c r="K44" s="44"/>
      <c r="L44" s="44"/>
      <c r="M44" s="44"/>
      <c r="N44" s="138" t="s">
        <v>19</v>
      </c>
      <c r="O44" s="45" t="s">
        <v>27</v>
      </c>
      <c r="P44" s="103" t="s">
        <v>18</v>
      </c>
      <c r="Q44" s="138" t="s">
        <v>19</v>
      </c>
      <c r="R44" s="44"/>
      <c r="S44" s="44"/>
      <c r="T44" s="103" t="s">
        <v>27</v>
      </c>
      <c r="U44" s="134" t="s">
        <v>19</v>
      </c>
      <c r="V44" s="91" t="s">
        <v>19</v>
      </c>
      <c r="W44" s="44"/>
      <c r="X44" s="44"/>
      <c r="Y44" s="44"/>
      <c r="Z44" s="45" t="s">
        <v>27</v>
      </c>
      <c r="AA44" s="134" t="s">
        <v>19</v>
      </c>
      <c r="AB44" s="134" t="s">
        <v>19</v>
      </c>
      <c r="AC44" s="45" t="s">
        <v>27</v>
      </c>
      <c r="AD44" s="44"/>
      <c r="AE44" s="44"/>
      <c r="AF44" s="45" t="s">
        <v>27</v>
      </c>
      <c r="AG44" s="45" t="s">
        <v>27</v>
      </c>
      <c r="AH44" s="352" t="s">
        <v>78</v>
      </c>
      <c r="AI44" s="44"/>
      <c r="AJ44" s="44"/>
      <c r="AK44" s="82"/>
      <c r="AL44" s="82"/>
      <c r="AM44" s="60" t="str">
        <f t="shared" si="22"/>
        <v>NO CORRESPONDE FRANCO</v>
      </c>
      <c r="AN44" s="60">
        <f t="shared" si="23"/>
        <v>2</v>
      </c>
      <c r="AO44" s="60">
        <f t="shared" si="24"/>
        <v>6</v>
      </c>
      <c r="AP44" s="60">
        <f t="shared" si="25"/>
        <v>0</v>
      </c>
      <c r="AQ44" s="60">
        <f t="shared" si="26"/>
        <v>0</v>
      </c>
      <c r="AR44" s="60">
        <f t="shared" si="27"/>
        <v>0</v>
      </c>
      <c r="AS44" s="60">
        <f t="shared" si="28"/>
        <v>6</v>
      </c>
      <c r="AT44" s="82"/>
      <c r="AU44" s="82"/>
    </row>
    <row r="45" ht="15.75" customHeight="1">
      <c r="A45" s="108" t="s">
        <v>33</v>
      </c>
      <c r="B45" s="385" t="s">
        <v>572</v>
      </c>
      <c r="C45" s="70">
        <v>4.4850611E7</v>
      </c>
      <c r="D45" s="385" t="s">
        <v>573</v>
      </c>
      <c r="E45" s="385" t="s">
        <v>574</v>
      </c>
      <c r="F45" s="44"/>
      <c r="G45" s="44"/>
      <c r="H45" s="103" t="s">
        <v>18</v>
      </c>
      <c r="I45" s="45" t="s">
        <v>27</v>
      </c>
      <c r="J45" s="45" t="s">
        <v>27</v>
      </c>
      <c r="K45" s="44"/>
      <c r="L45" s="44"/>
      <c r="M45" s="44"/>
      <c r="N45" s="45" t="s">
        <v>27</v>
      </c>
      <c r="O45" s="45" t="s">
        <v>27</v>
      </c>
      <c r="P45" s="45" t="s">
        <v>27</v>
      </c>
      <c r="Q45" s="45" t="s">
        <v>27</v>
      </c>
      <c r="R45" s="44"/>
      <c r="S45" s="44"/>
      <c r="T45" s="106" t="s">
        <v>32</v>
      </c>
      <c r="U45" s="45" t="s">
        <v>27</v>
      </c>
      <c r="V45" s="45" t="s">
        <v>27</v>
      </c>
      <c r="W45" s="44"/>
      <c r="X45" s="44"/>
      <c r="Y45" s="44"/>
      <c r="Z45" s="45" t="s">
        <v>27</v>
      </c>
      <c r="AA45" s="45" t="s">
        <v>27</v>
      </c>
      <c r="AB45" s="45" t="s">
        <v>27</v>
      </c>
      <c r="AC45" s="45" t="s">
        <v>27</v>
      </c>
      <c r="AD45" s="44"/>
      <c r="AE45" s="44"/>
      <c r="AF45" s="352" t="s">
        <v>78</v>
      </c>
      <c r="AG45" s="352" t="s">
        <v>78</v>
      </c>
      <c r="AH45" s="45" t="s">
        <v>27</v>
      </c>
      <c r="AI45" s="44"/>
      <c r="AJ45" s="44"/>
      <c r="AK45" s="82"/>
      <c r="AL45" s="82"/>
      <c r="AM45" s="60" t="str">
        <f t="shared" si="22"/>
        <v/>
      </c>
      <c r="AN45" s="60">
        <f t="shared" si="23"/>
        <v>1</v>
      </c>
      <c r="AO45" s="60">
        <f t="shared" si="24"/>
        <v>0</v>
      </c>
      <c r="AP45" s="60">
        <f t="shared" si="25"/>
        <v>0</v>
      </c>
      <c r="AQ45" s="60">
        <f t="shared" si="26"/>
        <v>0</v>
      </c>
      <c r="AR45" s="60">
        <f t="shared" si="27"/>
        <v>0</v>
      </c>
      <c r="AS45" s="60">
        <f t="shared" si="28"/>
        <v>0</v>
      </c>
      <c r="AT45" s="82"/>
      <c r="AU45" s="82"/>
    </row>
    <row r="46" ht="15.75" customHeight="1">
      <c r="A46" s="163"/>
      <c r="B46" s="163"/>
      <c r="C46" s="163"/>
      <c r="D46" s="163"/>
      <c r="E46" s="163"/>
      <c r="F46" s="165"/>
      <c r="H46" s="24"/>
      <c r="I46" s="24"/>
      <c r="K46" s="24"/>
      <c r="L46" s="24"/>
      <c r="N46" s="24"/>
      <c r="O46" s="24"/>
      <c r="Q46" s="24"/>
      <c r="R46" s="165"/>
      <c r="S46" s="24"/>
      <c r="T46" s="24"/>
      <c r="U46" s="24"/>
      <c r="W46" s="24"/>
      <c r="X46" s="24"/>
      <c r="AJ46" s="242"/>
      <c r="AK46" s="82"/>
      <c r="AL46" s="82"/>
      <c r="AM46" s="82"/>
      <c r="AN46" s="60"/>
      <c r="AO46" s="60"/>
      <c r="AP46" s="60"/>
      <c r="AQ46" s="60"/>
      <c r="AR46" s="82"/>
      <c r="AS46" s="82"/>
      <c r="AT46" s="82"/>
      <c r="AU46" s="82"/>
    </row>
    <row r="47" ht="15.75" customHeight="1">
      <c r="A47" s="388" t="s">
        <v>579</v>
      </c>
      <c r="B47" s="6"/>
      <c r="C47" s="6"/>
      <c r="D47" s="6"/>
      <c r="E47" s="11"/>
      <c r="F47" s="9">
        <v>1.0</v>
      </c>
      <c r="G47" s="9">
        <v>2.0</v>
      </c>
      <c r="H47" s="9">
        <v>3.0</v>
      </c>
      <c r="I47" s="9">
        <v>4.0</v>
      </c>
      <c r="J47" s="9">
        <v>5.0</v>
      </c>
      <c r="K47" s="9">
        <v>6.0</v>
      </c>
      <c r="L47" s="9">
        <v>7.0</v>
      </c>
      <c r="M47" s="9">
        <v>8.0</v>
      </c>
      <c r="N47" s="9">
        <v>9.0</v>
      </c>
      <c r="O47" s="9">
        <v>10.0</v>
      </c>
      <c r="P47" s="9">
        <v>11.0</v>
      </c>
      <c r="Q47" s="9">
        <v>12.0</v>
      </c>
      <c r="R47" s="9">
        <v>13.0</v>
      </c>
      <c r="S47" s="9">
        <v>14.0</v>
      </c>
      <c r="T47" s="9">
        <v>15.0</v>
      </c>
      <c r="U47" s="9">
        <v>16.0</v>
      </c>
      <c r="V47" s="9">
        <v>17.0</v>
      </c>
      <c r="W47" s="9">
        <v>18.0</v>
      </c>
      <c r="X47" s="9">
        <v>19.0</v>
      </c>
      <c r="Y47" s="9">
        <v>20.0</v>
      </c>
      <c r="Z47" s="9">
        <v>21.0</v>
      </c>
      <c r="AA47" s="9">
        <v>22.0</v>
      </c>
      <c r="AB47" s="9">
        <v>23.0</v>
      </c>
      <c r="AC47" s="9">
        <v>24.0</v>
      </c>
      <c r="AD47" s="9">
        <v>25.0</v>
      </c>
      <c r="AE47" s="9">
        <v>26.0</v>
      </c>
      <c r="AF47" s="9">
        <v>27.0</v>
      </c>
      <c r="AG47" s="9">
        <v>28.0</v>
      </c>
      <c r="AH47" s="9">
        <v>29.0</v>
      </c>
      <c r="AI47" s="9">
        <v>30.0</v>
      </c>
      <c r="AJ47" s="9">
        <v>31.0</v>
      </c>
      <c r="AK47" s="82"/>
      <c r="AL47" s="290"/>
      <c r="AM47" s="290"/>
      <c r="AN47" s="60"/>
      <c r="AO47" s="60"/>
      <c r="AP47" s="60"/>
      <c r="AQ47" s="60"/>
      <c r="AR47" s="82"/>
      <c r="AS47" s="82"/>
      <c r="AT47" s="82"/>
      <c r="AU47" s="82"/>
    </row>
    <row r="48" ht="15.75" customHeight="1">
      <c r="A48" s="30" t="s">
        <v>4</v>
      </c>
      <c r="B48" s="32" t="s">
        <v>5</v>
      </c>
      <c r="C48" s="35" t="s">
        <v>6</v>
      </c>
      <c r="D48" s="41" t="s">
        <v>7</v>
      </c>
      <c r="E48" s="43" t="s">
        <v>8</v>
      </c>
      <c r="F48" s="9" t="s">
        <v>9</v>
      </c>
      <c r="G48" s="9" t="s">
        <v>10</v>
      </c>
      <c r="H48" s="9" t="s">
        <v>11</v>
      </c>
      <c r="I48" s="9" t="s">
        <v>12</v>
      </c>
      <c r="J48" s="9" t="s">
        <v>12</v>
      </c>
      <c r="K48" s="9" t="s">
        <v>13</v>
      </c>
      <c r="L48" s="9" t="s">
        <v>15</v>
      </c>
      <c r="M48" s="9" t="s">
        <v>9</v>
      </c>
      <c r="N48" s="9" t="s">
        <v>10</v>
      </c>
      <c r="O48" s="9" t="s">
        <v>11</v>
      </c>
      <c r="P48" s="9" t="s">
        <v>12</v>
      </c>
      <c r="Q48" s="9" t="s">
        <v>12</v>
      </c>
      <c r="R48" s="9" t="s">
        <v>13</v>
      </c>
      <c r="S48" s="9" t="s">
        <v>15</v>
      </c>
      <c r="T48" s="9" t="s">
        <v>9</v>
      </c>
      <c r="U48" s="9" t="s">
        <v>10</v>
      </c>
      <c r="V48" s="9" t="s">
        <v>11</v>
      </c>
      <c r="W48" s="9" t="s">
        <v>12</v>
      </c>
      <c r="X48" s="9" t="s">
        <v>12</v>
      </c>
      <c r="Y48" s="9" t="s">
        <v>13</v>
      </c>
      <c r="Z48" s="9" t="s">
        <v>15</v>
      </c>
      <c r="AA48" s="9" t="s">
        <v>9</v>
      </c>
      <c r="AB48" s="9" t="s">
        <v>10</v>
      </c>
      <c r="AC48" s="9" t="s">
        <v>11</v>
      </c>
      <c r="AD48" s="9" t="s">
        <v>12</v>
      </c>
      <c r="AE48" s="9" t="s">
        <v>12</v>
      </c>
      <c r="AF48" s="9" t="s">
        <v>13</v>
      </c>
      <c r="AG48" s="13" t="s">
        <v>15</v>
      </c>
      <c r="AH48" s="9" t="s">
        <v>9</v>
      </c>
      <c r="AI48" s="9" t="s">
        <v>10</v>
      </c>
      <c r="AJ48" s="9" t="s">
        <v>11</v>
      </c>
      <c r="AK48" s="82"/>
      <c r="AL48" s="290"/>
      <c r="AM48" s="290"/>
      <c r="AN48" s="60"/>
      <c r="AO48" s="60"/>
      <c r="AP48" s="60"/>
      <c r="AQ48" s="60"/>
      <c r="AR48" s="60"/>
      <c r="AS48" s="60"/>
      <c r="AT48" s="82"/>
      <c r="AU48" s="82"/>
    </row>
    <row r="49" ht="15.75" customHeight="1">
      <c r="A49" s="364" t="s">
        <v>33</v>
      </c>
      <c r="B49" s="63" t="s">
        <v>589</v>
      </c>
      <c r="C49" s="64">
        <v>4.331136E7</v>
      </c>
      <c r="D49" s="63" t="s">
        <v>590</v>
      </c>
      <c r="E49" s="88" t="s">
        <v>591</v>
      </c>
      <c r="F49" s="72" t="s">
        <v>18</v>
      </c>
      <c r="G49" s="75"/>
      <c r="H49" s="75"/>
      <c r="I49" s="75"/>
      <c r="J49" s="72" t="s">
        <v>18</v>
      </c>
      <c r="K49" s="72" t="s">
        <v>18</v>
      </c>
      <c r="L49" s="72" t="s">
        <v>18</v>
      </c>
      <c r="M49" s="72" t="s">
        <v>18</v>
      </c>
      <c r="N49" s="75"/>
      <c r="O49" s="75"/>
      <c r="P49" s="72" t="s">
        <v>27</v>
      </c>
      <c r="Q49" s="72" t="s">
        <v>27</v>
      </c>
      <c r="R49" s="72" t="s">
        <v>18</v>
      </c>
      <c r="S49" s="75"/>
      <c r="T49" s="75"/>
      <c r="U49" s="75"/>
      <c r="V49" s="142"/>
      <c r="W49" s="72" t="s">
        <v>18</v>
      </c>
      <c r="X49" s="72" t="s">
        <v>27</v>
      </c>
      <c r="Y49" s="72" t="s">
        <v>27</v>
      </c>
      <c r="Z49" s="75"/>
      <c r="AA49" s="75"/>
      <c r="AB49" s="392" t="s">
        <v>32</v>
      </c>
      <c r="AC49" s="72" t="s">
        <v>18</v>
      </c>
      <c r="AD49" s="72" t="s">
        <v>120</v>
      </c>
      <c r="AE49" s="75"/>
      <c r="AF49" s="75"/>
      <c r="AG49" s="75"/>
      <c r="AH49" s="72" t="s">
        <v>18</v>
      </c>
      <c r="AI49" s="72" t="s">
        <v>27</v>
      </c>
      <c r="AJ49" s="72" t="s">
        <v>27</v>
      </c>
      <c r="AK49" s="394"/>
      <c r="AL49" s="290"/>
      <c r="AM49" s="60" t="str">
        <f t="shared" ref="AM49:AM57" si="29">IFS(AN49&gt;3,"NO CORRESPONDE FRANCO",AS49&gt;0,"NO CORRESPONDE FRANCO",AS49=0,"")</f>
        <v>NO CORRESPONDE FRANCO</v>
      </c>
      <c r="AN49" s="60">
        <f t="shared" ref="AN49:AN57" si="30">COUNTIF($F49:$AJ49,"LLT")</f>
        <v>9</v>
      </c>
      <c r="AO49" s="60">
        <f t="shared" ref="AO49:AO57" si="31">COUNTIF($F49:$AJ49,"LM")</f>
        <v>0</v>
      </c>
      <c r="AP49" s="60">
        <f t="shared" ref="AP49:AP57" si="32">COUNTIF($F49:$AJ49,"FaC")</f>
        <v>0</v>
      </c>
      <c r="AQ49" s="60">
        <f t="shared" ref="AQ49:AQ57" si="33">COUNTIF($F49:$AJ49,"LxE")</f>
        <v>0</v>
      </c>
      <c r="AR49" s="60">
        <f t="shared" ref="AR49:AR57" si="34">COUNTIF($F49:$AJ49,"LA")</f>
        <v>0</v>
      </c>
      <c r="AS49" s="60">
        <f t="shared" ref="AS49:AS54" si="35">SUM(AO49:AR49)</f>
        <v>0</v>
      </c>
      <c r="AT49" s="82"/>
      <c r="AU49" s="82"/>
    </row>
    <row r="50" ht="15.75" customHeight="1">
      <c r="A50" s="66" t="s">
        <v>33</v>
      </c>
      <c r="B50" s="116" t="s">
        <v>601</v>
      </c>
      <c r="C50" s="76">
        <v>9.4624772E7</v>
      </c>
      <c r="D50" s="97" t="s">
        <v>602</v>
      </c>
      <c r="E50" s="76" t="s">
        <v>603</v>
      </c>
      <c r="F50" s="138" t="s">
        <v>19</v>
      </c>
      <c r="G50" s="75"/>
      <c r="H50" s="75"/>
      <c r="I50" s="75"/>
      <c r="J50" s="72" t="s">
        <v>18</v>
      </c>
      <c r="K50" s="72" t="s">
        <v>27</v>
      </c>
      <c r="L50" s="138" t="s">
        <v>19</v>
      </c>
      <c r="M50" s="138" t="s">
        <v>19</v>
      </c>
      <c r="N50" s="75"/>
      <c r="O50" s="75"/>
      <c r="P50" s="400" t="s">
        <v>604</v>
      </c>
      <c r="Q50" s="400" t="s">
        <v>604</v>
      </c>
      <c r="R50" s="400" t="s">
        <v>604</v>
      </c>
      <c r="S50" s="75"/>
      <c r="T50" s="75"/>
      <c r="U50" s="75"/>
      <c r="V50" s="105" t="s">
        <v>18</v>
      </c>
      <c r="W50" s="138" t="s">
        <v>19</v>
      </c>
      <c r="X50" s="138" t="s">
        <v>19</v>
      </c>
      <c r="Y50" s="138" t="s">
        <v>19</v>
      </c>
      <c r="Z50" s="138" t="s">
        <v>19</v>
      </c>
      <c r="AA50" s="75"/>
      <c r="AB50" s="72" t="s">
        <v>27</v>
      </c>
      <c r="AC50" s="72" t="s">
        <v>18</v>
      </c>
      <c r="AD50" s="72" t="s">
        <v>18</v>
      </c>
      <c r="AE50" s="75"/>
      <c r="AF50" s="75"/>
      <c r="AG50" s="75"/>
      <c r="AH50" s="401" t="s">
        <v>20</v>
      </c>
      <c r="AI50" s="72" t="s">
        <v>27</v>
      </c>
      <c r="AJ50" s="124" t="s">
        <v>22</v>
      </c>
      <c r="AK50" s="403" t="s">
        <v>610</v>
      </c>
      <c r="AL50" s="290"/>
      <c r="AM50" s="60" t="str">
        <f t="shared" si="29"/>
        <v>NO CORRESPONDE FRANCO</v>
      </c>
      <c r="AN50" s="60">
        <f t="shared" si="30"/>
        <v>4</v>
      </c>
      <c r="AO50" s="60">
        <f t="shared" si="31"/>
        <v>7</v>
      </c>
      <c r="AP50" s="60">
        <f t="shared" si="32"/>
        <v>4</v>
      </c>
      <c r="AQ50" s="60">
        <f t="shared" si="33"/>
        <v>0</v>
      </c>
      <c r="AR50" s="60">
        <f t="shared" si="34"/>
        <v>1</v>
      </c>
      <c r="AS50" s="60">
        <f t="shared" si="35"/>
        <v>12</v>
      </c>
      <c r="AT50" s="82"/>
      <c r="AU50" s="82"/>
    </row>
    <row r="51" ht="15.75" customHeight="1">
      <c r="A51" s="66" t="s">
        <v>33</v>
      </c>
      <c r="B51" s="116" t="s">
        <v>612</v>
      </c>
      <c r="C51" s="76">
        <v>4.7113903E7</v>
      </c>
      <c r="D51" s="116" t="s">
        <v>613</v>
      </c>
      <c r="E51" s="76" t="s">
        <v>614</v>
      </c>
      <c r="F51" s="72" t="s">
        <v>27</v>
      </c>
      <c r="G51" s="75"/>
      <c r="H51" s="75"/>
      <c r="I51" s="75"/>
      <c r="J51" s="72" t="s">
        <v>27</v>
      </c>
      <c r="K51" s="72" t="s">
        <v>18</v>
      </c>
      <c r="L51" s="72" t="s">
        <v>18</v>
      </c>
      <c r="M51" s="138" t="s">
        <v>19</v>
      </c>
      <c r="N51" s="75"/>
      <c r="O51" s="75"/>
      <c r="P51" s="72" t="s">
        <v>27</v>
      </c>
      <c r="Q51" s="72" t="s">
        <v>27</v>
      </c>
      <c r="R51" s="72" t="s">
        <v>27</v>
      </c>
      <c r="S51" s="75"/>
      <c r="T51" s="75"/>
      <c r="U51" s="75"/>
      <c r="V51" s="72" t="s">
        <v>27</v>
      </c>
      <c r="W51" s="72" t="s">
        <v>27</v>
      </c>
      <c r="X51" s="72" t="s">
        <v>27</v>
      </c>
      <c r="Y51" s="72" t="s">
        <v>27</v>
      </c>
      <c r="Z51" s="75"/>
      <c r="AA51" s="75"/>
      <c r="AB51" s="138" t="s">
        <v>19</v>
      </c>
      <c r="AC51" s="72" t="s">
        <v>18</v>
      </c>
      <c r="AD51" s="72" t="s">
        <v>27</v>
      </c>
      <c r="AE51" s="75"/>
      <c r="AF51" s="75"/>
      <c r="AG51" s="75"/>
      <c r="AH51" s="72" t="s">
        <v>27</v>
      </c>
      <c r="AI51" s="72" t="s">
        <v>18</v>
      </c>
      <c r="AJ51" s="72" t="s">
        <v>27</v>
      </c>
      <c r="AK51" s="82"/>
      <c r="AL51" s="290"/>
      <c r="AM51" s="60" t="str">
        <f t="shared" si="29"/>
        <v>NO CORRESPONDE FRANCO</v>
      </c>
      <c r="AN51" s="60">
        <f t="shared" si="30"/>
        <v>4</v>
      </c>
      <c r="AO51" s="60">
        <f t="shared" si="31"/>
        <v>2</v>
      </c>
      <c r="AP51" s="60">
        <f t="shared" si="32"/>
        <v>0</v>
      </c>
      <c r="AQ51" s="60">
        <f t="shared" si="33"/>
        <v>0</v>
      </c>
      <c r="AR51" s="60">
        <f t="shared" si="34"/>
        <v>0</v>
      </c>
      <c r="AS51" s="60">
        <f t="shared" si="35"/>
        <v>2</v>
      </c>
      <c r="AT51" s="82"/>
      <c r="AU51" s="82"/>
    </row>
    <row r="52" ht="15.0" customHeight="1">
      <c r="A52" s="66" t="s">
        <v>33</v>
      </c>
      <c r="B52" s="116" t="s">
        <v>618</v>
      </c>
      <c r="C52" s="76">
        <v>4.001571E7</v>
      </c>
      <c r="D52" s="116" t="s">
        <v>619</v>
      </c>
      <c r="E52" s="76" t="s">
        <v>620</v>
      </c>
      <c r="F52" s="72" t="s">
        <v>18</v>
      </c>
      <c r="G52" s="72" t="s">
        <v>18</v>
      </c>
      <c r="H52" s="75"/>
      <c r="I52" s="75"/>
      <c r="J52" s="72" t="s">
        <v>27</v>
      </c>
      <c r="K52" s="72" t="s">
        <v>27</v>
      </c>
      <c r="L52" s="72" t="s">
        <v>18</v>
      </c>
      <c r="M52" s="72" t="s">
        <v>18</v>
      </c>
      <c r="N52" s="75"/>
      <c r="O52" s="75"/>
      <c r="P52" s="103" t="s">
        <v>18</v>
      </c>
      <c r="Q52" s="138" t="s">
        <v>19</v>
      </c>
      <c r="R52" s="72" t="s">
        <v>27</v>
      </c>
      <c r="S52" s="75"/>
      <c r="T52" s="75"/>
      <c r="U52" s="75"/>
      <c r="V52" s="72" t="s">
        <v>27</v>
      </c>
      <c r="W52" s="72" t="s">
        <v>27</v>
      </c>
      <c r="X52" s="138" t="s">
        <v>19</v>
      </c>
      <c r="Y52" s="72" t="s">
        <v>18</v>
      </c>
      <c r="Z52" s="75"/>
      <c r="AA52" s="75"/>
      <c r="AB52" s="105" t="s">
        <v>18</v>
      </c>
      <c r="AC52" s="72" t="s">
        <v>18</v>
      </c>
      <c r="AD52" s="138" t="s">
        <v>19</v>
      </c>
      <c r="AE52" s="75"/>
      <c r="AF52" s="75"/>
      <c r="AG52" s="75"/>
      <c r="AH52" s="284" t="s">
        <v>79</v>
      </c>
      <c r="AI52" s="72" t="s">
        <v>18</v>
      </c>
      <c r="AJ52" s="72" t="s">
        <v>18</v>
      </c>
      <c r="AK52" s="82"/>
      <c r="AL52" s="290"/>
      <c r="AM52" s="60" t="str">
        <f t="shared" si="29"/>
        <v>NO CORRESPONDE FRANCO</v>
      </c>
      <c r="AN52" s="60">
        <f t="shared" si="30"/>
        <v>10</v>
      </c>
      <c r="AO52" s="60">
        <f t="shared" si="31"/>
        <v>3</v>
      </c>
      <c r="AP52" s="60">
        <f t="shared" si="32"/>
        <v>0</v>
      </c>
      <c r="AQ52" s="60">
        <f t="shared" si="33"/>
        <v>0</v>
      </c>
      <c r="AR52" s="60">
        <f t="shared" si="34"/>
        <v>0</v>
      </c>
      <c r="AS52" s="60">
        <f t="shared" si="35"/>
        <v>3</v>
      </c>
      <c r="AT52" s="82"/>
      <c r="AU52" s="82"/>
    </row>
    <row r="53" ht="15.75" customHeight="1">
      <c r="A53" s="409" t="s">
        <v>33</v>
      </c>
      <c r="B53" s="410" t="s">
        <v>627</v>
      </c>
      <c r="C53" s="409">
        <v>4.5428311E7</v>
      </c>
      <c r="D53" s="410" t="s">
        <v>628</v>
      </c>
      <c r="E53" s="409" t="s">
        <v>629</v>
      </c>
      <c r="F53" s="72" t="s">
        <v>27</v>
      </c>
      <c r="G53" s="75"/>
      <c r="H53" s="75"/>
      <c r="I53" s="75"/>
      <c r="J53" s="72" t="s">
        <v>18</v>
      </c>
      <c r="K53" s="72" t="s">
        <v>27</v>
      </c>
      <c r="L53" s="72" t="s">
        <v>18</v>
      </c>
      <c r="M53" s="72" t="s">
        <v>27</v>
      </c>
      <c r="N53" s="75"/>
      <c r="O53" s="75"/>
      <c r="P53" s="72" t="s">
        <v>27</v>
      </c>
      <c r="Q53" s="72" t="s">
        <v>27</v>
      </c>
      <c r="R53" s="72" t="s">
        <v>27</v>
      </c>
      <c r="S53" s="75"/>
      <c r="T53" s="75"/>
      <c r="U53" s="75"/>
      <c r="V53" s="72" t="s">
        <v>27</v>
      </c>
      <c r="W53" s="72" t="s">
        <v>27</v>
      </c>
      <c r="X53" s="72" t="s">
        <v>27</v>
      </c>
      <c r="Y53" s="72" t="s">
        <v>27</v>
      </c>
      <c r="Z53" s="411" t="s">
        <v>630</v>
      </c>
      <c r="AA53" s="6"/>
      <c r="AB53" s="6"/>
      <c r="AC53" s="6"/>
      <c r="AD53" s="6"/>
      <c r="AE53" s="6"/>
      <c r="AF53" s="6"/>
      <c r="AG53" s="11"/>
      <c r="AH53" s="413" t="s">
        <v>32</v>
      </c>
      <c r="AI53" s="414"/>
      <c r="AJ53" s="414"/>
      <c r="AK53" s="415" t="s">
        <v>635</v>
      </c>
      <c r="AL53" s="290"/>
      <c r="AM53" s="60" t="str">
        <f t="shared" si="29"/>
        <v/>
      </c>
      <c r="AN53" s="60">
        <f t="shared" si="30"/>
        <v>2</v>
      </c>
      <c r="AO53" s="60">
        <f t="shared" si="31"/>
        <v>0</v>
      </c>
      <c r="AP53" s="60">
        <f t="shared" si="32"/>
        <v>0</v>
      </c>
      <c r="AQ53" s="60">
        <f t="shared" si="33"/>
        <v>0</v>
      </c>
      <c r="AR53" s="60">
        <f t="shared" si="34"/>
        <v>0</v>
      </c>
      <c r="AS53" s="60">
        <f t="shared" si="35"/>
        <v>0</v>
      </c>
      <c r="AT53" s="82"/>
      <c r="AU53" s="82"/>
    </row>
    <row r="54" ht="15.75" customHeight="1">
      <c r="A54" s="66" t="s">
        <v>33</v>
      </c>
      <c r="B54" s="67" t="s">
        <v>639</v>
      </c>
      <c r="C54" s="66">
        <v>4.2118147E7</v>
      </c>
      <c r="D54" s="67" t="s">
        <v>465</v>
      </c>
      <c r="E54" s="66" t="s">
        <v>640</v>
      </c>
      <c r="F54" s="72" t="s">
        <v>27</v>
      </c>
      <c r="G54" s="75"/>
      <c r="H54" s="75"/>
      <c r="I54" s="75"/>
      <c r="J54" s="72" t="s">
        <v>18</v>
      </c>
      <c r="K54" s="72" t="s">
        <v>27</v>
      </c>
      <c r="L54" s="72" t="s">
        <v>18</v>
      </c>
      <c r="M54" s="72" t="s">
        <v>27</v>
      </c>
      <c r="N54" s="75"/>
      <c r="O54" s="75"/>
      <c r="P54" s="72" t="s">
        <v>27</v>
      </c>
      <c r="Q54" s="72" t="s">
        <v>27</v>
      </c>
      <c r="R54" s="72" t="s">
        <v>27</v>
      </c>
      <c r="S54" s="75"/>
      <c r="T54" s="75"/>
      <c r="U54" s="75"/>
      <c r="V54" s="72" t="s">
        <v>27</v>
      </c>
      <c r="W54" s="72" t="s">
        <v>27</v>
      </c>
      <c r="X54" s="72" t="s">
        <v>27</v>
      </c>
      <c r="Y54" s="72" t="s">
        <v>27</v>
      </c>
      <c r="Z54" s="411" t="s">
        <v>630</v>
      </c>
      <c r="AA54" s="6"/>
      <c r="AB54" s="6"/>
      <c r="AC54" s="6"/>
      <c r="AD54" s="6"/>
      <c r="AE54" s="6"/>
      <c r="AF54" s="6"/>
      <c r="AG54" s="11"/>
      <c r="AH54" s="414"/>
      <c r="AI54" s="414"/>
      <c r="AJ54" s="414"/>
      <c r="AK54" s="82"/>
      <c r="AL54" s="290"/>
      <c r="AM54" s="60" t="str">
        <f t="shared" si="29"/>
        <v/>
      </c>
      <c r="AN54" s="60">
        <f t="shared" si="30"/>
        <v>2</v>
      </c>
      <c r="AO54" s="60">
        <f t="shared" si="31"/>
        <v>0</v>
      </c>
      <c r="AP54" s="60">
        <f t="shared" si="32"/>
        <v>0</v>
      </c>
      <c r="AQ54" s="60">
        <f t="shared" si="33"/>
        <v>0</v>
      </c>
      <c r="AR54" s="60">
        <f t="shared" si="34"/>
        <v>0</v>
      </c>
      <c r="AS54" s="60">
        <f t="shared" si="35"/>
        <v>0</v>
      </c>
      <c r="AT54" s="82"/>
      <c r="AU54" s="82"/>
    </row>
    <row r="55" ht="15.75" customHeight="1">
      <c r="A55" s="76" t="s">
        <v>33</v>
      </c>
      <c r="B55" s="383" t="s">
        <v>446</v>
      </c>
      <c r="C55" s="76">
        <v>9.6081789E7</v>
      </c>
      <c r="D55" s="383" t="s">
        <v>448</v>
      </c>
      <c r="E55" s="383" t="s">
        <v>450</v>
      </c>
      <c r="F55" s="72" t="s">
        <v>18</v>
      </c>
      <c r="G55" s="72" t="s">
        <v>18</v>
      </c>
      <c r="H55" s="162"/>
      <c r="I55" s="162"/>
      <c r="J55" s="162"/>
      <c r="K55" s="420" t="s">
        <v>32</v>
      </c>
      <c r="L55" s="72" t="s">
        <v>27</v>
      </c>
      <c r="M55" s="72" t="s">
        <v>27</v>
      </c>
      <c r="N55" s="75"/>
      <c r="O55" s="75"/>
      <c r="P55" s="72" t="s">
        <v>27</v>
      </c>
      <c r="Q55" s="72" t="s">
        <v>27</v>
      </c>
      <c r="R55" s="392" t="s">
        <v>32</v>
      </c>
      <c r="S55" s="414"/>
      <c r="T55" s="414"/>
      <c r="U55" s="414"/>
      <c r="V55" s="414"/>
      <c r="W55" s="414"/>
      <c r="X55" s="414"/>
      <c r="Y55" s="414"/>
      <c r="Z55" s="414"/>
      <c r="AA55" s="414"/>
      <c r="AB55" s="414"/>
      <c r="AC55" s="414"/>
      <c r="AD55" s="414"/>
      <c r="AE55" s="414"/>
      <c r="AF55" s="414"/>
      <c r="AG55" s="414"/>
      <c r="AH55" s="414"/>
      <c r="AI55" s="414"/>
      <c r="AJ55" s="414"/>
      <c r="AK55" s="82"/>
      <c r="AL55" s="290"/>
      <c r="AM55" s="60" t="str">
        <f t="shared" si="29"/>
        <v/>
      </c>
      <c r="AN55" s="60">
        <f t="shared" si="30"/>
        <v>2</v>
      </c>
      <c r="AO55" s="60">
        <f t="shared" si="31"/>
        <v>0</v>
      </c>
      <c r="AP55" s="60">
        <f t="shared" si="32"/>
        <v>0</v>
      </c>
      <c r="AQ55" s="60">
        <f t="shared" si="33"/>
        <v>0</v>
      </c>
      <c r="AR55" s="60">
        <f t="shared" si="34"/>
        <v>0</v>
      </c>
      <c r="AS55" s="60"/>
      <c r="AT55" s="82"/>
      <c r="AU55" s="82"/>
    </row>
    <row r="56" ht="15.75" customHeight="1">
      <c r="A56" s="314" t="s">
        <v>33</v>
      </c>
      <c r="B56" s="317" t="s">
        <v>432</v>
      </c>
      <c r="C56" s="217">
        <v>4.6252382E7</v>
      </c>
      <c r="D56" s="97" t="s">
        <v>434</v>
      </c>
      <c r="E56" s="425" t="s">
        <v>656</v>
      </c>
      <c r="F56" s="162" t="s">
        <v>18</v>
      </c>
      <c r="G56" s="414"/>
      <c r="H56" s="414"/>
      <c r="I56" s="414"/>
      <c r="J56" s="162" t="s">
        <v>18</v>
      </c>
      <c r="K56" s="162" t="s">
        <v>27</v>
      </c>
      <c r="L56" s="162" t="s">
        <v>18</v>
      </c>
      <c r="M56" s="162" t="s">
        <v>18</v>
      </c>
      <c r="N56" s="414"/>
      <c r="O56" s="414"/>
      <c r="P56" s="162" t="s">
        <v>27</v>
      </c>
      <c r="Q56" s="162" t="s">
        <v>27</v>
      </c>
      <c r="R56" s="138" t="s">
        <v>19</v>
      </c>
      <c r="S56" s="124" t="s">
        <v>22</v>
      </c>
      <c r="T56" s="124" t="s">
        <v>22</v>
      </c>
      <c r="U56" s="124" t="s">
        <v>22</v>
      </c>
      <c r="V56" s="124" t="s">
        <v>22</v>
      </c>
      <c r="W56" s="124" t="s">
        <v>22</v>
      </c>
      <c r="X56" s="124" t="s">
        <v>22</v>
      </c>
      <c r="Y56" s="124" t="s">
        <v>22</v>
      </c>
      <c r="Z56" s="75"/>
      <c r="AA56" s="75"/>
      <c r="AB56" s="72" t="s">
        <v>27</v>
      </c>
      <c r="AC56" s="45" t="s">
        <v>27</v>
      </c>
      <c r="AD56" s="72" t="s">
        <v>27</v>
      </c>
      <c r="AE56" s="75"/>
      <c r="AF56" s="75"/>
      <c r="AG56" s="75"/>
      <c r="AH56" s="72" t="s">
        <v>27</v>
      </c>
      <c r="AI56" s="72" t="s">
        <v>27</v>
      </c>
      <c r="AJ56" s="72" t="s">
        <v>198</v>
      </c>
      <c r="AK56" s="82"/>
      <c r="AL56" s="82"/>
      <c r="AM56" s="60" t="str">
        <f t="shared" si="29"/>
        <v>NO CORRESPONDE FRANCO</v>
      </c>
      <c r="AN56" s="60">
        <f t="shared" si="30"/>
        <v>4</v>
      </c>
      <c r="AO56" s="60">
        <f t="shared" si="31"/>
        <v>1</v>
      </c>
      <c r="AP56" s="60">
        <f t="shared" si="32"/>
        <v>0</v>
      </c>
      <c r="AQ56" s="60">
        <f t="shared" si="33"/>
        <v>0</v>
      </c>
      <c r="AR56" s="60">
        <f t="shared" si="34"/>
        <v>7</v>
      </c>
      <c r="AS56" s="60">
        <f t="shared" ref="AS56:AS57" si="36">SUM(AO56:AR56)</f>
        <v>8</v>
      </c>
      <c r="AT56" s="82"/>
      <c r="AU56" s="82"/>
    </row>
    <row r="57" ht="15.75" customHeight="1">
      <c r="A57" s="66" t="s">
        <v>33</v>
      </c>
      <c r="B57" s="116" t="s">
        <v>667</v>
      </c>
      <c r="C57" s="76">
        <v>2.7259537E7</v>
      </c>
      <c r="D57" s="67" t="s">
        <v>668</v>
      </c>
      <c r="E57" s="76" t="s">
        <v>669</v>
      </c>
      <c r="F57" s="72" t="s">
        <v>27</v>
      </c>
      <c r="G57" s="75"/>
      <c r="H57" s="75"/>
      <c r="I57" s="75"/>
      <c r="J57" s="72" t="s">
        <v>27</v>
      </c>
      <c r="K57" s="72" t="s">
        <v>27</v>
      </c>
      <c r="L57" s="72" t="s">
        <v>27</v>
      </c>
      <c r="M57" s="72" t="s">
        <v>27</v>
      </c>
      <c r="N57" s="75"/>
      <c r="O57" s="75"/>
      <c r="P57" s="72" t="s">
        <v>27</v>
      </c>
      <c r="Q57" s="72" t="s">
        <v>27</v>
      </c>
      <c r="R57" s="72" t="s">
        <v>18</v>
      </c>
      <c r="S57" s="75"/>
      <c r="T57" s="75"/>
      <c r="U57" s="75"/>
      <c r="V57" s="72" t="s">
        <v>27</v>
      </c>
      <c r="W57" s="72" t="s">
        <v>27</v>
      </c>
      <c r="X57" s="72" t="s">
        <v>27</v>
      </c>
      <c r="Y57" s="72" t="s">
        <v>27</v>
      </c>
      <c r="Z57" s="75"/>
      <c r="AA57" s="429"/>
      <c r="AB57" s="430" t="s">
        <v>27</v>
      </c>
      <c r="AC57" s="430" t="s">
        <v>18</v>
      </c>
      <c r="AD57" s="430" t="s">
        <v>18</v>
      </c>
      <c r="AE57" s="429"/>
      <c r="AF57" s="429"/>
      <c r="AG57" s="429"/>
      <c r="AH57" s="431" t="s">
        <v>18</v>
      </c>
      <c r="AI57" s="430" t="s">
        <v>18</v>
      </c>
      <c r="AJ57" s="430" t="s">
        <v>27</v>
      </c>
      <c r="AK57" s="82"/>
      <c r="AL57" s="290"/>
      <c r="AM57" s="60" t="str">
        <f t="shared" si="29"/>
        <v>NO CORRESPONDE FRANCO</v>
      </c>
      <c r="AN57" s="60">
        <f t="shared" si="30"/>
        <v>5</v>
      </c>
      <c r="AO57" s="60">
        <f t="shared" si="31"/>
        <v>0</v>
      </c>
      <c r="AP57" s="60">
        <f t="shared" si="32"/>
        <v>0</v>
      </c>
      <c r="AQ57" s="60">
        <f t="shared" si="33"/>
        <v>0</v>
      </c>
      <c r="AR57" s="60">
        <f t="shared" si="34"/>
        <v>0</v>
      </c>
      <c r="AS57" s="60">
        <f t="shared" si="36"/>
        <v>0</v>
      </c>
      <c r="AT57" s="82"/>
      <c r="AU57" s="82"/>
    </row>
    <row r="58" ht="15.75" customHeight="1">
      <c r="A58" s="66" t="s">
        <v>33</v>
      </c>
      <c r="B58" s="78" t="s">
        <v>679</v>
      </c>
      <c r="C58" s="76">
        <v>2.9382472E7</v>
      </c>
      <c r="D58" s="434" t="s">
        <v>680</v>
      </c>
      <c r="E58" s="144" t="s">
        <v>681</v>
      </c>
      <c r="F58" s="435" t="s">
        <v>680</v>
      </c>
      <c r="G58" s="131" t="s">
        <v>682</v>
      </c>
      <c r="H58" s="131" t="s">
        <v>27</v>
      </c>
      <c r="I58" s="79"/>
      <c r="J58" s="437" t="s">
        <v>20</v>
      </c>
      <c r="K58" s="437" t="s">
        <v>20</v>
      </c>
      <c r="L58" s="437" t="s">
        <v>20</v>
      </c>
      <c r="M58" s="437" t="s">
        <v>20</v>
      </c>
      <c r="N58" s="79"/>
      <c r="O58" s="79"/>
      <c r="P58" s="131" t="s">
        <v>18</v>
      </c>
      <c r="Q58" s="79"/>
      <c r="R58" s="79"/>
      <c r="S58" s="131" t="s">
        <v>18</v>
      </c>
      <c r="T58" s="79"/>
      <c r="U58" s="131" t="s">
        <v>18</v>
      </c>
      <c r="V58" s="131" t="s">
        <v>18</v>
      </c>
      <c r="W58" s="79"/>
      <c r="X58" s="79"/>
      <c r="Y58" s="131" t="s">
        <v>27</v>
      </c>
      <c r="Z58" s="83"/>
      <c r="AA58" s="75"/>
      <c r="AB58" s="72" t="s">
        <v>27</v>
      </c>
      <c r="AC58" s="72" t="s">
        <v>27</v>
      </c>
      <c r="AD58" s="72" t="s">
        <v>27</v>
      </c>
      <c r="AE58" s="75"/>
      <c r="AF58" s="75"/>
      <c r="AG58" s="75"/>
      <c r="AH58" s="392" t="s">
        <v>32</v>
      </c>
      <c r="AI58" s="72" t="s">
        <v>27</v>
      </c>
      <c r="AJ58" s="72" t="s">
        <v>18</v>
      </c>
      <c r="AK58" s="82"/>
      <c r="AL58" s="24"/>
      <c r="AN58" s="211" t="str">
        <f>IFS(AO58&gt;3,"NO CORRESPONDE FRANCO",AT58&gt;0,"NO CORRESPONDE FRANCO",AT58=0,"")</f>
        <v>NO CORRESPONDE FRANCO</v>
      </c>
      <c r="AO58" s="60">
        <f>COUNTIF($G58:$AK58,"LLT")</f>
        <v>5</v>
      </c>
      <c r="AP58" s="60">
        <f>COUNTIF($G58:$AK58,"LM")</f>
        <v>0</v>
      </c>
      <c r="AQ58" s="60">
        <f>COUNTIF($G58:$AK58,"FaC")</f>
        <v>4</v>
      </c>
      <c r="AR58" s="60">
        <f>COUNTIF($G58:$AK58,"LxE")</f>
        <v>0</v>
      </c>
      <c r="AS58" s="60">
        <f>COUNTIF($G58:$AK58,"LA")</f>
        <v>0</v>
      </c>
      <c r="AT58" s="221">
        <f>SUM(AP58:AS58)</f>
        <v>4</v>
      </c>
      <c r="AU58" s="36"/>
    </row>
    <row r="59" ht="15.75" customHeight="1">
      <c r="A59" s="356"/>
      <c r="B59" s="356"/>
      <c r="C59" s="356"/>
      <c r="D59" s="356"/>
      <c r="E59" s="356"/>
      <c r="F59" s="165"/>
      <c r="H59" s="24"/>
      <c r="I59" s="24"/>
      <c r="K59" s="24"/>
      <c r="L59" s="24"/>
      <c r="N59" s="24"/>
      <c r="O59" s="24"/>
      <c r="Q59" s="24"/>
      <c r="R59" s="165"/>
      <c r="S59" s="24"/>
      <c r="T59" s="24"/>
      <c r="U59" s="24"/>
      <c r="W59" s="24"/>
      <c r="X59" s="24"/>
      <c r="AJ59" s="242"/>
      <c r="AK59" s="82"/>
      <c r="AL59" s="290"/>
      <c r="AM59" s="290"/>
      <c r="AN59" s="60"/>
      <c r="AO59" s="60"/>
      <c r="AP59" s="60"/>
      <c r="AQ59" s="60"/>
      <c r="AR59" s="60"/>
      <c r="AS59" s="60"/>
      <c r="AT59" s="82"/>
      <c r="AU59" s="82"/>
    </row>
    <row r="60" ht="15.75" customHeight="1">
      <c r="A60" s="446" t="s">
        <v>704</v>
      </c>
      <c r="B60" s="2"/>
      <c r="C60" s="2"/>
      <c r="D60" s="2"/>
      <c r="E60" s="3"/>
      <c r="F60" s="9">
        <v>1.0</v>
      </c>
      <c r="G60" s="9">
        <v>2.0</v>
      </c>
      <c r="H60" s="9">
        <v>3.0</v>
      </c>
      <c r="I60" s="9">
        <v>4.0</v>
      </c>
      <c r="J60" s="9">
        <v>5.0</v>
      </c>
      <c r="K60" s="9">
        <v>6.0</v>
      </c>
      <c r="L60" s="9">
        <v>7.0</v>
      </c>
      <c r="M60" s="9">
        <v>8.0</v>
      </c>
      <c r="N60" s="9">
        <v>9.0</v>
      </c>
      <c r="O60" s="9">
        <v>10.0</v>
      </c>
      <c r="P60" s="9">
        <v>11.0</v>
      </c>
      <c r="Q60" s="9">
        <v>12.0</v>
      </c>
      <c r="R60" s="9">
        <v>13.0</v>
      </c>
      <c r="S60" s="9">
        <v>14.0</v>
      </c>
      <c r="T60" s="9">
        <v>15.0</v>
      </c>
      <c r="U60" s="9">
        <v>16.0</v>
      </c>
      <c r="V60" s="9">
        <v>17.0</v>
      </c>
      <c r="W60" s="9">
        <v>18.0</v>
      </c>
      <c r="X60" s="9">
        <v>19.0</v>
      </c>
      <c r="Y60" s="9">
        <v>20.0</v>
      </c>
      <c r="Z60" s="9">
        <v>21.0</v>
      </c>
      <c r="AA60" s="9">
        <v>22.0</v>
      </c>
      <c r="AB60" s="9">
        <v>23.0</v>
      </c>
      <c r="AC60" s="9">
        <v>24.0</v>
      </c>
      <c r="AD60" s="9">
        <v>25.0</v>
      </c>
      <c r="AE60" s="9">
        <v>26.0</v>
      </c>
      <c r="AF60" s="9">
        <v>27.0</v>
      </c>
      <c r="AG60" s="9">
        <v>28.0</v>
      </c>
      <c r="AH60" s="9">
        <v>29.0</v>
      </c>
      <c r="AI60" s="9">
        <v>30.0</v>
      </c>
      <c r="AJ60" s="9">
        <v>31.0</v>
      </c>
      <c r="AK60" s="82"/>
      <c r="AL60" s="290"/>
      <c r="AM60" s="290"/>
      <c r="AN60" s="60"/>
      <c r="AO60" s="60"/>
      <c r="AP60" s="60"/>
      <c r="AQ60" s="60"/>
      <c r="AR60" s="60"/>
      <c r="AS60" s="60"/>
      <c r="AT60" s="82"/>
      <c r="AU60" s="82"/>
    </row>
    <row r="61" ht="15.75" customHeight="1">
      <c r="A61" s="183" t="s">
        <v>4</v>
      </c>
      <c r="B61" s="185" t="s">
        <v>5</v>
      </c>
      <c r="C61" s="187" t="s">
        <v>6</v>
      </c>
      <c r="D61" s="188" t="s">
        <v>7</v>
      </c>
      <c r="E61" s="189" t="s">
        <v>8</v>
      </c>
      <c r="F61" s="9" t="s">
        <v>9</v>
      </c>
      <c r="G61" s="9" t="s">
        <v>10</v>
      </c>
      <c r="H61" s="9" t="s">
        <v>11</v>
      </c>
      <c r="I61" s="9" t="s">
        <v>12</v>
      </c>
      <c r="J61" s="9" t="s">
        <v>12</v>
      </c>
      <c r="K61" s="9" t="s">
        <v>13</v>
      </c>
      <c r="L61" s="9" t="s">
        <v>15</v>
      </c>
      <c r="M61" s="9" t="s">
        <v>9</v>
      </c>
      <c r="N61" s="9" t="s">
        <v>10</v>
      </c>
      <c r="O61" s="9" t="s">
        <v>11</v>
      </c>
      <c r="P61" s="9" t="s">
        <v>12</v>
      </c>
      <c r="Q61" s="9" t="s">
        <v>12</v>
      </c>
      <c r="R61" s="9" t="s">
        <v>13</v>
      </c>
      <c r="S61" s="9" t="s">
        <v>15</v>
      </c>
      <c r="T61" s="9" t="s">
        <v>9</v>
      </c>
      <c r="U61" s="9" t="s">
        <v>10</v>
      </c>
      <c r="V61" s="9" t="s">
        <v>11</v>
      </c>
      <c r="W61" s="9" t="s">
        <v>12</v>
      </c>
      <c r="X61" s="9" t="s">
        <v>12</v>
      </c>
      <c r="Y61" s="9" t="s">
        <v>13</v>
      </c>
      <c r="Z61" s="9" t="s">
        <v>15</v>
      </c>
      <c r="AA61" s="9" t="s">
        <v>9</v>
      </c>
      <c r="AB61" s="9" t="s">
        <v>10</v>
      </c>
      <c r="AC61" s="9" t="s">
        <v>11</v>
      </c>
      <c r="AD61" s="9" t="s">
        <v>12</v>
      </c>
      <c r="AE61" s="9" t="s">
        <v>12</v>
      </c>
      <c r="AF61" s="9" t="s">
        <v>13</v>
      </c>
      <c r="AG61" s="13" t="s">
        <v>15</v>
      </c>
      <c r="AH61" s="9" t="s">
        <v>9</v>
      </c>
      <c r="AI61" s="9" t="s">
        <v>10</v>
      </c>
      <c r="AJ61" s="9" t="s">
        <v>11</v>
      </c>
      <c r="AK61" s="82"/>
      <c r="AL61" s="290"/>
      <c r="AM61" s="290"/>
      <c r="AN61" s="60"/>
      <c r="AO61" s="60"/>
      <c r="AP61" s="60"/>
      <c r="AQ61" s="60"/>
      <c r="AR61" s="60"/>
      <c r="AS61" s="60"/>
      <c r="AT61" s="82"/>
      <c r="AU61" s="82"/>
    </row>
    <row r="62" ht="15.75" customHeight="1">
      <c r="A62" s="194" t="s">
        <v>33</v>
      </c>
      <c r="B62" s="63" t="s">
        <v>715</v>
      </c>
      <c r="C62" s="64">
        <v>3.9469837E7</v>
      </c>
      <c r="D62" s="453" t="s">
        <v>717</v>
      </c>
      <c r="E62" s="40" t="s">
        <v>720</v>
      </c>
      <c r="F62" s="138" t="s">
        <v>19</v>
      </c>
      <c r="G62" s="105" t="s">
        <v>18</v>
      </c>
      <c r="H62" s="75"/>
      <c r="I62" s="75"/>
      <c r="J62" s="75"/>
      <c r="K62" s="72" t="s">
        <v>18</v>
      </c>
      <c r="L62" s="72" t="s">
        <v>18</v>
      </c>
      <c r="M62" s="72" t="s">
        <v>18</v>
      </c>
      <c r="N62" s="75"/>
      <c r="O62" s="75"/>
      <c r="P62" s="72" t="s">
        <v>27</v>
      </c>
      <c r="Q62" s="72" t="s">
        <v>27</v>
      </c>
      <c r="R62" s="72" t="s">
        <v>27</v>
      </c>
      <c r="S62" s="72" t="s">
        <v>18</v>
      </c>
      <c r="T62" s="75"/>
      <c r="U62" s="75"/>
      <c r="V62" s="75"/>
      <c r="W62" s="72" t="s">
        <v>18</v>
      </c>
      <c r="X62" s="72" t="s">
        <v>18</v>
      </c>
      <c r="Y62" s="72" t="s">
        <v>18</v>
      </c>
      <c r="Z62" s="75"/>
      <c r="AA62" s="75"/>
      <c r="AB62" s="72" t="s">
        <v>18</v>
      </c>
      <c r="AC62" s="45" t="s">
        <v>27</v>
      </c>
      <c r="AD62" s="72" t="s">
        <v>27</v>
      </c>
      <c r="AE62" s="72" t="s">
        <v>27</v>
      </c>
      <c r="AF62" s="75"/>
      <c r="AG62" s="75"/>
      <c r="AH62" s="75"/>
      <c r="AI62" s="72" t="s">
        <v>18</v>
      </c>
      <c r="AJ62" s="72" t="s">
        <v>18</v>
      </c>
      <c r="AK62" s="82"/>
      <c r="AL62" s="290"/>
      <c r="AM62" s="60" t="str">
        <f t="shared" ref="AM62:AM70" si="37">IFS(AN62&gt;3,"NO CORRESPONDE FRANCO",AS62&gt;0,"NO CORRESPONDE FRANCO",AS62=0,"")</f>
        <v>NO CORRESPONDE FRANCO</v>
      </c>
      <c r="AN62" s="60">
        <f t="shared" ref="AN62:AN70" si="38">COUNTIF($F62:$AJ62,"LLT")</f>
        <v>11</v>
      </c>
      <c r="AO62" s="60">
        <f t="shared" ref="AO62:AO70" si="39">COUNTIF($F62:$AJ62,"LM")</f>
        <v>1</v>
      </c>
      <c r="AP62" s="60">
        <f t="shared" ref="AP62:AP70" si="40">COUNTIF($F62:$AJ62,"FaC")</f>
        <v>0</v>
      </c>
      <c r="AQ62" s="60">
        <f t="shared" ref="AQ62:AQ70" si="41">COUNTIF($F62:$AJ62,"LxE")</f>
        <v>0</v>
      </c>
      <c r="AR62" s="60">
        <f t="shared" ref="AR62:AR70" si="42">COUNTIF($F62:$AJ62,"LA")</f>
        <v>0</v>
      </c>
      <c r="AS62" s="60">
        <f t="shared" ref="AS62:AS70" si="43">SUM(AO62:AR62)</f>
        <v>1</v>
      </c>
      <c r="AT62" s="82"/>
      <c r="AU62" s="82"/>
    </row>
    <row r="63" ht="15.75" customHeight="1">
      <c r="A63" s="38" t="s">
        <v>33</v>
      </c>
      <c r="B63" s="63" t="s">
        <v>728</v>
      </c>
      <c r="C63" s="197"/>
      <c r="D63" s="63" t="s">
        <v>730</v>
      </c>
      <c r="E63" s="88" t="s">
        <v>731</v>
      </c>
      <c r="F63" s="138" t="s">
        <v>19</v>
      </c>
      <c r="G63" s="138" t="s">
        <v>19</v>
      </c>
      <c r="H63" s="138" t="s">
        <v>19</v>
      </c>
      <c r="I63" s="75"/>
      <c r="J63" s="75"/>
      <c r="K63" s="138" t="s">
        <v>19</v>
      </c>
      <c r="L63" s="138" t="s">
        <v>19</v>
      </c>
      <c r="M63" s="138" t="s">
        <v>19</v>
      </c>
      <c r="N63" s="75"/>
      <c r="O63" s="75"/>
      <c r="P63" s="138" t="s">
        <v>19</v>
      </c>
      <c r="Q63" s="138" t="s">
        <v>19</v>
      </c>
      <c r="R63" s="138" t="s">
        <v>19</v>
      </c>
      <c r="S63" s="138" t="s">
        <v>19</v>
      </c>
      <c r="T63" s="138" t="s">
        <v>19</v>
      </c>
      <c r="U63" s="75"/>
      <c r="V63" s="75"/>
      <c r="W63" s="72" t="s">
        <v>27</v>
      </c>
      <c r="X63" s="72" t="s">
        <v>27</v>
      </c>
      <c r="Y63" s="138" t="s">
        <v>19</v>
      </c>
      <c r="Z63" s="273" t="s">
        <v>27</v>
      </c>
      <c r="AA63" s="75"/>
      <c r="AB63" s="72" t="s">
        <v>27</v>
      </c>
      <c r="AC63" s="72" t="s">
        <v>27</v>
      </c>
      <c r="AD63" s="401" t="s">
        <v>20</v>
      </c>
      <c r="AE63" s="401" t="s">
        <v>20</v>
      </c>
      <c r="AF63" s="75"/>
      <c r="AG63" s="75"/>
      <c r="AH63" s="75"/>
      <c r="AI63" s="138" t="s">
        <v>19</v>
      </c>
      <c r="AJ63" s="401" t="s">
        <v>20</v>
      </c>
      <c r="AK63" s="82"/>
      <c r="AL63" s="290"/>
      <c r="AM63" s="60" t="str">
        <f t="shared" si="37"/>
        <v>NO CORRESPONDE FRANCO</v>
      </c>
      <c r="AN63" s="60">
        <f t="shared" si="38"/>
        <v>0</v>
      </c>
      <c r="AO63" s="60">
        <f t="shared" si="39"/>
        <v>13</v>
      </c>
      <c r="AP63" s="60">
        <f t="shared" si="40"/>
        <v>3</v>
      </c>
      <c r="AQ63" s="60">
        <f t="shared" si="41"/>
        <v>0</v>
      </c>
      <c r="AR63" s="60">
        <f t="shared" si="42"/>
        <v>0</v>
      </c>
      <c r="AS63" s="60">
        <f t="shared" si="43"/>
        <v>16</v>
      </c>
      <c r="AT63" s="82"/>
      <c r="AU63" s="82"/>
    </row>
    <row r="64" ht="15.75" customHeight="1">
      <c r="A64" s="38" t="s">
        <v>33</v>
      </c>
      <c r="B64" s="67" t="s">
        <v>740</v>
      </c>
      <c r="C64" s="466">
        <v>5.2413549E7</v>
      </c>
      <c r="D64" s="67" t="s">
        <v>742</v>
      </c>
      <c r="E64" s="66" t="s">
        <v>743</v>
      </c>
      <c r="F64" s="72" t="s">
        <v>27</v>
      </c>
      <c r="G64" s="72" t="s">
        <v>27</v>
      </c>
      <c r="H64" s="75"/>
      <c r="I64" s="75"/>
      <c r="J64" s="75"/>
      <c r="K64" s="138" t="s">
        <v>19</v>
      </c>
      <c r="L64" s="72" t="s">
        <v>27</v>
      </c>
      <c r="M64" s="72" t="s">
        <v>27</v>
      </c>
      <c r="N64" s="75"/>
      <c r="O64" s="75"/>
      <c r="P64" s="72" t="s">
        <v>27</v>
      </c>
      <c r="Q64" s="72" t="s">
        <v>27</v>
      </c>
      <c r="R64" s="72" t="s">
        <v>27</v>
      </c>
      <c r="S64" s="138" t="s">
        <v>19</v>
      </c>
      <c r="T64" s="75"/>
      <c r="U64" s="75"/>
      <c r="V64" s="75"/>
      <c r="W64" s="72" t="s">
        <v>27</v>
      </c>
      <c r="X64" s="72" t="s">
        <v>27</v>
      </c>
      <c r="Y64" s="72" t="s">
        <v>27</v>
      </c>
      <c r="Z64" s="75"/>
      <c r="AA64" s="75"/>
      <c r="AB64" s="72" t="s">
        <v>27</v>
      </c>
      <c r="AC64" s="45" t="s">
        <v>27</v>
      </c>
      <c r="AD64" s="72" t="s">
        <v>27</v>
      </c>
      <c r="AE64" s="72" t="s">
        <v>27</v>
      </c>
      <c r="AF64" s="75"/>
      <c r="AG64" s="75"/>
      <c r="AH64" s="75"/>
      <c r="AI64" s="138" t="s">
        <v>19</v>
      </c>
      <c r="AJ64" s="72" t="s">
        <v>27</v>
      </c>
      <c r="AK64" s="82"/>
      <c r="AL64" s="290"/>
      <c r="AM64" s="60" t="str">
        <f t="shared" si="37"/>
        <v>NO CORRESPONDE FRANCO</v>
      </c>
      <c r="AN64" s="60">
        <f t="shared" si="38"/>
        <v>0</v>
      </c>
      <c r="AO64" s="60">
        <f t="shared" si="39"/>
        <v>3</v>
      </c>
      <c r="AP64" s="60">
        <f t="shared" si="40"/>
        <v>0</v>
      </c>
      <c r="AQ64" s="60">
        <f t="shared" si="41"/>
        <v>0</v>
      </c>
      <c r="AR64" s="60">
        <f t="shared" si="42"/>
        <v>0</v>
      </c>
      <c r="AS64" s="60">
        <f t="shared" si="43"/>
        <v>3</v>
      </c>
      <c r="AT64" s="82"/>
      <c r="AU64" s="82"/>
    </row>
    <row r="65" ht="15.75" customHeight="1">
      <c r="A65" s="76" t="s">
        <v>33</v>
      </c>
      <c r="B65" s="116" t="s">
        <v>746</v>
      </c>
      <c r="C65" s="76">
        <v>3.7667255E7</v>
      </c>
      <c r="D65" s="116" t="s">
        <v>748</v>
      </c>
      <c r="E65" s="76" t="s">
        <v>749</v>
      </c>
      <c r="F65" s="138" t="s">
        <v>19</v>
      </c>
      <c r="G65" s="138" t="s">
        <v>19</v>
      </c>
      <c r="H65" s="138" t="s">
        <v>19</v>
      </c>
      <c r="I65" s="138" t="s">
        <v>19</v>
      </c>
      <c r="J65" s="138" t="s">
        <v>19</v>
      </c>
      <c r="K65" s="138" t="s">
        <v>19</v>
      </c>
      <c r="L65" s="138" t="s">
        <v>19</v>
      </c>
      <c r="M65" s="138" t="s">
        <v>19</v>
      </c>
      <c r="N65" s="138" t="s">
        <v>19</v>
      </c>
      <c r="O65" s="138" t="s">
        <v>19</v>
      </c>
      <c r="P65" s="138" t="s">
        <v>19</v>
      </c>
      <c r="Q65" s="138" t="s">
        <v>19</v>
      </c>
      <c r="R65" s="138" t="s">
        <v>19</v>
      </c>
      <c r="S65" s="138" t="s">
        <v>19</v>
      </c>
      <c r="T65" s="138" t="s">
        <v>19</v>
      </c>
      <c r="U65" s="138" t="s">
        <v>19</v>
      </c>
      <c r="V65" s="138" t="s">
        <v>19</v>
      </c>
      <c r="W65" s="401" t="s">
        <v>20</v>
      </c>
      <c r="X65" s="401" t="s">
        <v>20</v>
      </c>
      <c r="Y65" s="138" t="s">
        <v>19</v>
      </c>
      <c r="Z65" s="138" t="s">
        <v>19</v>
      </c>
      <c r="AA65" s="138" t="s">
        <v>19</v>
      </c>
      <c r="AB65" s="138" t="s">
        <v>19</v>
      </c>
      <c r="AC65" s="138" t="s">
        <v>19</v>
      </c>
      <c r="AD65" s="138" t="s">
        <v>19</v>
      </c>
      <c r="AE65" s="138" t="s">
        <v>19</v>
      </c>
      <c r="AF65" s="138" t="s">
        <v>19</v>
      </c>
      <c r="AG65" s="138" t="s">
        <v>19</v>
      </c>
      <c r="AH65" s="138" t="s">
        <v>19</v>
      </c>
      <c r="AI65" s="138" t="s">
        <v>19</v>
      </c>
      <c r="AJ65" s="138" t="s">
        <v>19</v>
      </c>
      <c r="AK65" s="82"/>
      <c r="AL65" s="290"/>
      <c r="AM65" s="60" t="str">
        <f t="shared" si="37"/>
        <v>NO CORRESPONDE FRANCO</v>
      </c>
      <c r="AN65" s="60">
        <f t="shared" si="38"/>
        <v>0</v>
      </c>
      <c r="AO65" s="60">
        <f t="shared" si="39"/>
        <v>29</v>
      </c>
      <c r="AP65" s="60">
        <f t="shared" si="40"/>
        <v>2</v>
      </c>
      <c r="AQ65" s="60">
        <f t="shared" si="41"/>
        <v>0</v>
      </c>
      <c r="AR65" s="60">
        <f t="shared" si="42"/>
        <v>0</v>
      </c>
      <c r="AS65" s="60">
        <f t="shared" si="43"/>
        <v>31</v>
      </c>
      <c r="AT65" s="82"/>
      <c r="AU65" s="82"/>
    </row>
    <row r="66" ht="15.75" customHeight="1">
      <c r="A66" s="76" t="s">
        <v>33</v>
      </c>
      <c r="B66" s="116" t="s">
        <v>750</v>
      </c>
      <c r="C66" s="76">
        <v>2.1594484E7</v>
      </c>
      <c r="D66" s="116" t="s">
        <v>751</v>
      </c>
      <c r="E66" s="66" t="s">
        <v>752</v>
      </c>
      <c r="F66" s="72" t="s">
        <v>27</v>
      </c>
      <c r="G66" s="72" t="s">
        <v>27</v>
      </c>
      <c r="H66" s="75"/>
      <c r="I66" s="75"/>
      <c r="J66" s="75"/>
      <c r="K66" s="72" t="s">
        <v>120</v>
      </c>
      <c r="L66" s="72" t="s">
        <v>18</v>
      </c>
      <c r="M66" s="72" t="s">
        <v>18</v>
      </c>
      <c r="N66" s="75"/>
      <c r="O66" s="75"/>
      <c r="P66" s="72" t="s">
        <v>27</v>
      </c>
      <c r="Q66" s="72" t="s">
        <v>27</v>
      </c>
      <c r="R66" s="72" t="s">
        <v>27</v>
      </c>
      <c r="S66" s="72" t="s">
        <v>27</v>
      </c>
      <c r="T66" s="75"/>
      <c r="U66" s="75"/>
      <c r="V66" s="75"/>
      <c r="W66" s="72" t="s">
        <v>27</v>
      </c>
      <c r="X66" s="72" t="s">
        <v>27</v>
      </c>
      <c r="Y66" s="72" t="s">
        <v>27</v>
      </c>
      <c r="Z66" s="411" t="s">
        <v>757</v>
      </c>
      <c r="AA66" s="6"/>
      <c r="AB66" s="6"/>
      <c r="AC66" s="6"/>
      <c r="AD66" s="6"/>
      <c r="AE66" s="6"/>
      <c r="AF66" s="6"/>
      <c r="AG66" s="6"/>
      <c r="AH66" s="6"/>
      <c r="AI66" s="6"/>
      <c r="AJ66" s="11"/>
      <c r="AK66" s="82"/>
      <c r="AL66" s="290"/>
      <c r="AM66" s="60" t="str">
        <f t="shared" si="37"/>
        <v/>
      </c>
      <c r="AN66" s="60">
        <f t="shared" si="38"/>
        <v>2</v>
      </c>
      <c r="AO66" s="60">
        <f t="shared" si="39"/>
        <v>0</v>
      </c>
      <c r="AP66" s="60">
        <f t="shared" si="40"/>
        <v>0</v>
      </c>
      <c r="AQ66" s="60">
        <f t="shared" si="41"/>
        <v>0</v>
      </c>
      <c r="AR66" s="60">
        <f t="shared" si="42"/>
        <v>0</v>
      </c>
      <c r="AS66" s="60">
        <f t="shared" si="43"/>
        <v>0</v>
      </c>
      <c r="AT66" s="82"/>
      <c r="AU66" s="82"/>
    </row>
    <row r="67" ht="15.75" customHeight="1">
      <c r="A67" s="409" t="s">
        <v>33</v>
      </c>
      <c r="B67" s="410" t="s">
        <v>758</v>
      </c>
      <c r="C67" s="471">
        <v>4.4503176E7</v>
      </c>
      <c r="D67" s="410" t="s">
        <v>759</v>
      </c>
      <c r="E67" s="409" t="s">
        <v>760</v>
      </c>
      <c r="F67" s="72" t="s">
        <v>27</v>
      </c>
      <c r="G67" s="72" t="s">
        <v>27</v>
      </c>
      <c r="H67" s="75"/>
      <c r="I67" s="75"/>
      <c r="J67" s="75"/>
      <c r="K67" s="72" t="s">
        <v>18</v>
      </c>
      <c r="L67" s="72" t="s">
        <v>18</v>
      </c>
      <c r="M67" s="72" t="s">
        <v>27</v>
      </c>
      <c r="N67" s="75"/>
      <c r="O67" s="75"/>
      <c r="P67" s="72" t="s">
        <v>27</v>
      </c>
      <c r="Q67" s="72" t="s">
        <v>27</v>
      </c>
      <c r="R67" s="72" t="s">
        <v>27</v>
      </c>
      <c r="S67" s="392" t="s">
        <v>32</v>
      </c>
      <c r="T67" s="75"/>
      <c r="U67" s="75"/>
      <c r="V67" s="75"/>
      <c r="W67" s="72" t="s">
        <v>27</v>
      </c>
      <c r="X67" s="72" t="s">
        <v>27</v>
      </c>
      <c r="Y67" s="72" t="s">
        <v>27</v>
      </c>
      <c r="Z67" s="75"/>
      <c r="AA67" s="75"/>
      <c r="AB67" s="138" t="s">
        <v>19</v>
      </c>
      <c r="AC67" s="138" t="s">
        <v>19</v>
      </c>
      <c r="AD67" s="138" t="s">
        <v>19</v>
      </c>
      <c r="AE67" s="392" t="s">
        <v>32</v>
      </c>
      <c r="AF67" s="75"/>
      <c r="AG67" s="75"/>
      <c r="AH67" s="75"/>
      <c r="AI67" s="72" t="s">
        <v>18</v>
      </c>
      <c r="AJ67" s="72" t="s">
        <v>120</v>
      </c>
      <c r="AK67" s="82"/>
      <c r="AL67" s="290"/>
      <c r="AM67" s="60" t="str">
        <f t="shared" si="37"/>
        <v>NO CORRESPONDE FRANCO</v>
      </c>
      <c r="AN67" s="60">
        <f t="shared" si="38"/>
        <v>3</v>
      </c>
      <c r="AO67" s="60">
        <f t="shared" si="39"/>
        <v>3</v>
      </c>
      <c r="AP67" s="60">
        <f t="shared" si="40"/>
        <v>0</v>
      </c>
      <c r="AQ67" s="60">
        <f t="shared" si="41"/>
        <v>0</v>
      </c>
      <c r="AR67" s="60">
        <f t="shared" si="42"/>
        <v>0</v>
      </c>
      <c r="AS67" s="60">
        <f t="shared" si="43"/>
        <v>3</v>
      </c>
      <c r="AT67" s="82"/>
      <c r="AU67" s="82"/>
    </row>
    <row r="68" ht="15.75" customHeight="1">
      <c r="A68" s="66" t="s">
        <v>33</v>
      </c>
      <c r="B68" s="67" t="s">
        <v>768</v>
      </c>
      <c r="C68" s="66">
        <v>4.3091973E7</v>
      </c>
      <c r="D68" s="67" t="s">
        <v>769</v>
      </c>
      <c r="E68" s="66" t="s">
        <v>770</v>
      </c>
      <c r="F68" s="72" t="s">
        <v>27</v>
      </c>
      <c r="G68" s="72" t="s">
        <v>18</v>
      </c>
      <c r="H68" s="75"/>
      <c r="I68" s="75"/>
      <c r="J68" s="75"/>
      <c r="K68" s="72" t="s">
        <v>27</v>
      </c>
      <c r="L68" s="72" t="s">
        <v>18</v>
      </c>
      <c r="M68" s="72" t="s">
        <v>27</v>
      </c>
      <c r="N68" s="75"/>
      <c r="O68" s="75"/>
      <c r="P68" s="72" t="s">
        <v>27</v>
      </c>
      <c r="Q68" s="392" t="s">
        <v>32</v>
      </c>
      <c r="R68" s="392" t="s">
        <v>32</v>
      </c>
      <c r="S68" s="392" t="s">
        <v>32</v>
      </c>
      <c r="T68" s="75"/>
      <c r="U68" s="75"/>
      <c r="V68" s="75"/>
      <c r="W68" s="72" t="s">
        <v>18</v>
      </c>
      <c r="X68" s="72" t="s">
        <v>27</v>
      </c>
      <c r="Y68" s="72" t="s">
        <v>27</v>
      </c>
      <c r="Z68" s="75"/>
      <c r="AA68" s="75"/>
      <c r="AB68" s="72" t="s">
        <v>27</v>
      </c>
      <c r="AC68" s="45" t="s">
        <v>27</v>
      </c>
      <c r="AD68" s="72" t="s">
        <v>27</v>
      </c>
      <c r="AE68" s="72" t="s">
        <v>27</v>
      </c>
      <c r="AF68" s="75"/>
      <c r="AG68" s="75"/>
      <c r="AH68" s="75"/>
      <c r="AI68" s="72" t="s">
        <v>27</v>
      </c>
      <c r="AJ68" s="72" t="s">
        <v>120</v>
      </c>
      <c r="AK68" s="82"/>
      <c r="AL68" s="290"/>
      <c r="AM68" s="60" t="str">
        <f t="shared" si="37"/>
        <v/>
      </c>
      <c r="AN68" s="60">
        <f t="shared" si="38"/>
        <v>3</v>
      </c>
      <c r="AO68" s="60">
        <f t="shared" si="39"/>
        <v>0</v>
      </c>
      <c r="AP68" s="60">
        <f t="shared" si="40"/>
        <v>0</v>
      </c>
      <c r="AQ68" s="60">
        <f t="shared" si="41"/>
        <v>0</v>
      </c>
      <c r="AR68" s="60">
        <f t="shared" si="42"/>
        <v>0</v>
      </c>
      <c r="AS68" s="60">
        <f t="shared" si="43"/>
        <v>0</v>
      </c>
      <c r="AT68" s="82"/>
      <c r="AU68" s="82"/>
    </row>
    <row r="69" ht="15.0" customHeight="1">
      <c r="A69" s="477" t="s">
        <v>33</v>
      </c>
      <c r="B69" s="479" t="s">
        <v>772</v>
      </c>
      <c r="C69" s="481">
        <v>4.7689313E7</v>
      </c>
      <c r="D69" s="479" t="s">
        <v>774</v>
      </c>
      <c r="E69" s="481" t="s">
        <v>775</v>
      </c>
      <c r="F69" s="72" t="s">
        <v>18</v>
      </c>
      <c r="G69" s="72" t="s">
        <v>27</v>
      </c>
      <c r="H69" s="75"/>
      <c r="I69" s="75"/>
      <c r="J69" s="75"/>
      <c r="K69" s="72" t="s">
        <v>27</v>
      </c>
      <c r="L69" s="72" t="s">
        <v>18</v>
      </c>
      <c r="M69" s="72" t="s">
        <v>27</v>
      </c>
      <c r="N69" s="75"/>
      <c r="O69" s="75"/>
      <c r="P69" s="72" t="s">
        <v>27</v>
      </c>
      <c r="Q69" s="72" t="s">
        <v>27</v>
      </c>
      <c r="R69" s="72" t="s">
        <v>18</v>
      </c>
      <c r="S69" s="72" t="s">
        <v>27</v>
      </c>
      <c r="T69" s="75"/>
      <c r="U69" s="75"/>
      <c r="V69" s="75"/>
      <c r="W69" s="72" t="s">
        <v>27</v>
      </c>
      <c r="X69" s="72" t="s">
        <v>27</v>
      </c>
      <c r="Y69" s="72" t="s">
        <v>27</v>
      </c>
      <c r="Z69" s="75"/>
      <c r="AA69" s="75"/>
      <c r="AB69" s="72" t="s">
        <v>27</v>
      </c>
      <c r="AC69" s="72" t="s">
        <v>18</v>
      </c>
      <c r="AD69" s="72" t="s">
        <v>18</v>
      </c>
      <c r="AE69" s="105" t="s">
        <v>18</v>
      </c>
      <c r="AF69" s="75"/>
      <c r="AG69" s="75"/>
      <c r="AH69" s="75"/>
      <c r="AI69" s="72" t="s">
        <v>27</v>
      </c>
      <c r="AJ69" s="72" t="s">
        <v>18</v>
      </c>
      <c r="AK69" s="82"/>
      <c r="AL69" s="290"/>
      <c r="AM69" s="60" t="str">
        <f t="shared" si="37"/>
        <v>NO CORRESPONDE FRANCO</v>
      </c>
      <c r="AN69" s="60">
        <f t="shared" si="38"/>
        <v>7</v>
      </c>
      <c r="AO69" s="60">
        <f t="shared" si="39"/>
        <v>0</v>
      </c>
      <c r="AP69" s="60">
        <f t="shared" si="40"/>
        <v>0</v>
      </c>
      <c r="AQ69" s="60">
        <f t="shared" si="41"/>
        <v>0</v>
      </c>
      <c r="AR69" s="60">
        <f t="shared" si="42"/>
        <v>0</v>
      </c>
      <c r="AS69" s="60">
        <f t="shared" si="43"/>
        <v>0</v>
      </c>
      <c r="AT69" s="82"/>
      <c r="AU69" s="82"/>
    </row>
    <row r="70" ht="15.0" customHeight="1">
      <c r="A70" s="76" t="s">
        <v>33</v>
      </c>
      <c r="B70" s="116" t="s">
        <v>781</v>
      </c>
      <c r="C70" s="76">
        <v>4.6703873E7</v>
      </c>
      <c r="D70" s="116" t="s">
        <v>782</v>
      </c>
      <c r="E70" s="66" t="s">
        <v>783</v>
      </c>
      <c r="F70" s="72" t="s">
        <v>27</v>
      </c>
      <c r="G70" s="284" t="s">
        <v>79</v>
      </c>
      <c r="H70" s="75"/>
      <c r="I70" s="75"/>
      <c r="J70" s="75"/>
      <c r="K70" s="124" t="s">
        <v>22</v>
      </c>
      <c r="L70" s="124" t="s">
        <v>22</v>
      </c>
      <c r="M70" s="124" t="s">
        <v>22</v>
      </c>
      <c r="N70" s="124" t="s">
        <v>22</v>
      </c>
      <c r="O70" s="124" t="s">
        <v>22</v>
      </c>
      <c r="P70" s="124" t="s">
        <v>22</v>
      </c>
      <c r="Q70" s="124" t="s">
        <v>22</v>
      </c>
      <c r="R70" s="138" t="s">
        <v>19</v>
      </c>
      <c r="S70" s="138" t="s">
        <v>19</v>
      </c>
      <c r="T70" s="75"/>
      <c r="U70" s="75"/>
      <c r="V70" s="75"/>
      <c r="W70" s="72" t="s">
        <v>27</v>
      </c>
      <c r="X70" s="72" t="s">
        <v>27</v>
      </c>
      <c r="Y70" s="72" t="s">
        <v>27</v>
      </c>
      <c r="Z70" s="75"/>
      <c r="AA70" s="75"/>
      <c r="AB70" s="105" t="s">
        <v>18</v>
      </c>
      <c r="AC70" s="138" t="s">
        <v>19</v>
      </c>
      <c r="AD70" s="138" t="s">
        <v>19</v>
      </c>
      <c r="AE70" s="138" t="s">
        <v>19</v>
      </c>
      <c r="AF70" s="75"/>
      <c r="AG70" s="75"/>
      <c r="AH70" s="72" t="s">
        <v>27</v>
      </c>
      <c r="AI70" s="72" t="s">
        <v>27</v>
      </c>
      <c r="AJ70" s="72" t="s">
        <v>120</v>
      </c>
      <c r="AK70" s="82"/>
      <c r="AL70" s="290"/>
      <c r="AM70" s="60" t="str">
        <f t="shared" si="37"/>
        <v>NO CORRESPONDE FRANCO</v>
      </c>
      <c r="AN70" s="60">
        <f t="shared" si="38"/>
        <v>1</v>
      </c>
      <c r="AO70" s="60">
        <f t="shared" si="39"/>
        <v>5</v>
      </c>
      <c r="AP70" s="60">
        <f t="shared" si="40"/>
        <v>0</v>
      </c>
      <c r="AQ70" s="60">
        <f t="shared" si="41"/>
        <v>0</v>
      </c>
      <c r="AR70" s="60">
        <f t="shared" si="42"/>
        <v>7</v>
      </c>
      <c r="AS70" s="60">
        <f t="shared" si="43"/>
        <v>12</v>
      </c>
      <c r="AT70" s="82"/>
      <c r="AU70" s="82"/>
    </row>
    <row r="71" ht="15.75" customHeight="1">
      <c r="F71" s="486">
        <f t="shared" ref="F71:AJ71" si="44">COUNTIF(F3:F70,"P") + COUNTIF(F3:F70, "LLT")</f>
        <v>27</v>
      </c>
      <c r="G71" s="486">
        <f t="shared" si="44"/>
        <v>22</v>
      </c>
      <c r="H71" s="486">
        <f t="shared" si="44"/>
        <v>19</v>
      </c>
      <c r="I71" s="486">
        <f t="shared" si="44"/>
        <v>19</v>
      </c>
      <c r="J71" s="486">
        <f t="shared" si="44"/>
        <v>23</v>
      </c>
      <c r="K71" s="486">
        <f t="shared" si="44"/>
        <v>20</v>
      </c>
      <c r="L71" s="486">
        <f t="shared" si="44"/>
        <v>22</v>
      </c>
      <c r="M71" s="486">
        <f t="shared" si="44"/>
        <v>27</v>
      </c>
      <c r="N71" s="486">
        <f t="shared" si="44"/>
        <v>22</v>
      </c>
      <c r="O71" s="486">
        <f t="shared" si="44"/>
        <v>22</v>
      </c>
      <c r="P71" s="486">
        <f t="shared" si="44"/>
        <v>25</v>
      </c>
      <c r="Q71" s="486">
        <f t="shared" si="44"/>
        <v>20</v>
      </c>
      <c r="R71" s="486">
        <f t="shared" si="44"/>
        <v>23</v>
      </c>
      <c r="S71" s="486">
        <f t="shared" si="44"/>
        <v>16</v>
      </c>
      <c r="T71" s="486">
        <f t="shared" si="44"/>
        <v>13</v>
      </c>
      <c r="U71" s="486">
        <f t="shared" si="44"/>
        <v>15</v>
      </c>
      <c r="V71" s="486">
        <f t="shared" si="44"/>
        <v>18</v>
      </c>
      <c r="W71" s="486">
        <f t="shared" si="44"/>
        <v>21</v>
      </c>
      <c r="X71" s="486">
        <f t="shared" si="44"/>
        <v>19</v>
      </c>
      <c r="Y71" s="486">
        <f t="shared" si="44"/>
        <v>23</v>
      </c>
      <c r="Z71" s="486">
        <f t="shared" si="44"/>
        <v>20</v>
      </c>
      <c r="AA71" s="486">
        <f t="shared" si="44"/>
        <v>19</v>
      </c>
      <c r="AB71" s="486">
        <f t="shared" si="44"/>
        <v>22</v>
      </c>
      <c r="AC71" s="486">
        <f t="shared" si="44"/>
        <v>24</v>
      </c>
      <c r="AD71" s="486">
        <f t="shared" si="44"/>
        <v>19</v>
      </c>
      <c r="AE71" s="486">
        <f t="shared" si="44"/>
        <v>15</v>
      </c>
      <c r="AF71" s="486">
        <f t="shared" si="44"/>
        <v>16</v>
      </c>
      <c r="AG71" s="486">
        <f t="shared" si="44"/>
        <v>15</v>
      </c>
      <c r="AH71" s="486">
        <f t="shared" si="44"/>
        <v>15</v>
      </c>
      <c r="AI71" s="486">
        <f t="shared" si="44"/>
        <v>19</v>
      </c>
      <c r="AJ71" s="486">
        <f t="shared" si="44"/>
        <v>19</v>
      </c>
      <c r="AK71" s="489"/>
      <c r="AL71" s="294"/>
      <c r="AM71" s="294"/>
      <c r="AN71" s="60"/>
      <c r="AO71" s="60"/>
      <c r="AP71" s="60"/>
      <c r="AQ71" s="60"/>
      <c r="AR71" s="60"/>
      <c r="AS71" s="60"/>
      <c r="AT71" s="82"/>
      <c r="AU71" s="82"/>
    </row>
    <row r="72" ht="15.75" customHeight="1">
      <c r="F72" s="165">
        <f t="shared" ref="F72:AJ72" si="45">COUNTIF(F5:F262,"P") + COUNTIF(F5:F262, "LLT") + COUNTIF(F5:F262, "FA") + COUNTIF(F5:F262, "A") + COUNTIF(F5:F262, "LM") + COUNTIF(F5:F262, "LA") + COUNTIF(F5:F262, "FAC") + COUNTIF(F5:F262, "LXF") + COUNTIF(F5:F262, "LXE") + COUNTIF(F5:F262, "LXM")</f>
        <v>34</v>
      </c>
      <c r="G72" s="165">
        <f t="shared" si="45"/>
        <v>26</v>
      </c>
      <c r="H72" s="165">
        <f t="shared" si="45"/>
        <v>23</v>
      </c>
      <c r="I72" s="165">
        <f t="shared" si="45"/>
        <v>22</v>
      </c>
      <c r="J72" s="165">
        <f t="shared" si="45"/>
        <v>27</v>
      </c>
      <c r="K72" s="165">
        <f t="shared" si="45"/>
        <v>30</v>
      </c>
      <c r="L72" s="165">
        <f t="shared" si="45"/>
        <v>28</v>
      </c>
      <c r="M72" s="165">
        <f t="shared" si="45"/>
        <v>33</v>
      </c>
      <c r="N72" s="165">
        <f t="shared" si="45"/>
        <v>30</v>
      </c>
      <c r="O72" s="165">
        <f t="shared" si="45"/>
        <v>30</v>
      </c>
      <c r="P72" s="165">
        <f t="shared" si="45"/>
        <v>37</v>
      </c>
      <c r="Q72" s="165">
        <f t="shared" si="45"/>
        <v>36</v>
      </c>
      <c r="R72" s="165">
        <f t="shared" si="45"/>
        <v>33</v>
      </c>
      <c r="S72" s="165">
        <f t="shared" si="45"/>
        <v>25</v>
      </c>
      <c r="T72" s="165">
        <f t="shared" si="45"/>
        <v>21</v>
      </c>
      <c r="U72" s="165">
        <f t="shared" si="45"/>
        <v>25</v>
      </c>
      <c r="V72" s="165">
        <f t="shared" si="45"/>
        <v>26</v>
      </c>
      <c r="W72" s="165">
        <f t="shared" si="45"/>
        <v>27</v>
      </c>
      <c r="X72" s="165">
        <f t="shared" si="45"/>
        <v>26</v>
      </c>
      <c r="Y72" s="165">
        <f t="shared" si="45"/>
        <v>31</v>
      </c>
      <c r="Z72" s="165">
        <f t="shared" si="45"/>
        <v>29</v>
      </c>
      <c r="AA72" s="165">
        <f t="shared" si="45"/>
        <v>28</v>
      </c>
      <c r="AB72" s="165">
        <f t="shared" si="45"/>
        <v>34</v>
      </c>
      <c r="AC72" s="165">
        <f t="shared" si="45"/>
        <v>34</v>
      </c>
      <c r="AD72" s="165">
        <f t="shared" si="45"/>
        <v>28</v>
      </c>
      <c r="AE72" s="165">
        <f t="shared" si="45"/>
        <v>22</v>
      </c>
      <c r="AF72" s="165">
        <f t="shared" si="45"/>
        <v>18</v>
      </c>
      <c r="AG72" s="165">
        <f t="shared" si="45"/>
        <v>22</v>
      </c>
      <c r="AH72" s="165">
        <f t="shared" si="45"/>
        <v>24</v>
      </c>
      <c r="AI72" s="165">
        <f t="shared" si="45"/>
        <v>24</v>
      </c>
      <c r="AJ72" s="165">
        <f t="shared" si="45"/>
        <v>23</v>
      </c>
      <c r="AK72" s="489"/>
      <c r="AL72" s="294"/>
      <c r="AM72" s="294"/>
      <c r="AN72" s="294"/>
      <c r="AO72" s="294"/>
      <c r="AP72" s="294"/>
      <c r="AQ72" s="294"/>
      <c r="AR72" s="60"/>
      <c r="AS72" s="60"/>
      <c r="AT72" s="82"/>
      <c r="AU72" s="82"/>
    </row>
    <row r="73" ht="15.75" customHeight="1">
      <c r="F73" s="165"/>
      <c r="H73" s="24"/>
      <c r="I73" s="24"/>
      <c r="K73" s="24"/>
      <c r="L73" s="24"/>
      <c r="N73" s="24"/>
      <c r="O73" s="24"/>
      <c r="Q73" s="24"/>
      <c r="R73" s="165"/>
      <c r="S73" s="24"/>
      <c r="T73" s="24"/>
      <c r="U73" s="24"/>
      <c r="W73" s="24"/>
      <c r="X73" s="24"/>
      <c r="AK73" s="489"/>
      <c r="AL73" s="294"/>
      <c r="AM73" s="294"/>
      <c r="AN73" s="294"/>
      <c r="AO73" s="294"/>
      <c r="AP73" s="294"/>
      <c r="AQ73" s="294"/>
      <c r="AR73" s="60"/>
      <c r="AS73" s="60"/>
      <c r="AT73" s="82"/>
      <c r="AU73" s="82"/>
    </row>
    <row r="74" ht="15.75" customHeight="1">
      <c r="F74" s="165"/>
      <c r="H74" s="24"/>
      <c r="I74" s="24"/>
      <c r="K74" s="24"/>
      <c r="L74" s="24"/>
      <c r="N74" s="24"/>
      <c r="O74" s="24"/>
      <c r="Q74" s="24"/>
      <c r="R74" s="165"/>
      <c r="S74" s="24"/>
      <c r="T74" s="24"/>
      <c r="U74" s="24"/>
      <c r="W74" s="24"/>
      <c r="X74" s="24"/>
      <c r="AK74" s="48"/>
      <c r="AL74" s="82"/>
      <c r="AM74" s="82"/>
      <c r="AN74" s="82"/>
      <c r="AO74" s="82"/>
      <c r="AP74" s="82"/>
      <c r="AQ74" s="82"/>
      <c r="AR74" s="60"/>
      <c r="AS74" s="60"/>
      <c r="AT74" s="82"/>
      <c r="AU74" s="82"/>
    </row>
    <row r="75" ht="15.75" customHeight="1">
      <c r="F75" s="165"/>
      <c r="H75" s="24"/>
      <c r="I75" s="24"/>
      <c r="K75" s="24"/>
      <c r="L75" s="24"/>
      <c r="N75" s="24"/>
      <c r="O75" s="24"/>
      <c r="Q75" s="24"/>
      <c r="R75" s="165"/>
      <c r="S75" s="24"/>
      <c r="T75" s="24"/>
      <c r="U75" s="24"/>
      <c r="W75" s="24"/>
      <c r="X75" s="24"/>
      <c r="AK75" s="489"/>
      <c r="AL75" s="294"/>
      <c r="AM75" s="294"/>
      <c r="AN75" s="294"/>
      <c r="AO75" s="294"/>
      <c r="AP75" s="294"/>
      <c r="AQ75" s="294"/>
      <c r="AR75" s="60"/>
      <c r="AS75" s="60"/>
      <c r="AT75" s="140"/>
      <c r="AU75" s="140"/>
    </row>
    <row r="76" ht="15.75" customHeight="1">
      <c r="F76" s="165"/>
      <c r="H76" s="24"/>
      <c r="I76" s="24"/>
      <c r="K76" s="24"/>
      <c r="L76" s="24"/>
      <c r="N76" s="24"/>
      <c r="O76" s="24"/>
      <c r="Q76" s="24"/>
      <c r="R76" s="165"/>
      <c r="S76" s="24"/>
      <c r="T76" s="24"/>
      <c r="U76" s="24"/>
      <c r="W76" s="24"/>
      <c r="X76" s="24"/>
      <c r="AK76" s="499"/>
      <c r="AL76" s="290"/>
      <c r="AM76" s="290"/>
      <c r="AN76" s="290"/>
      <c r="AO76" s="290"/>
      <c r="AP76" s="290"/>
      <c r="AQ76" s="290"/>
      <c r="AR76" s="82"/>
      <c r="AS76" s="82"/>
      <c r="AT76" s="82"/>
      <c r="AU76" s="82"/>
    </row>
    <row r="77" ht="15.75" customHeight="1">
      <c r="F77" s="165"/>
      <c r="H77" s="24"/>
      <c r="I77" s="24"/>
      <c r="K77" s="24"/>
      <c r="L77" s="24"/>
      <c r="N77" s="24"/>
      <c r="O77" s="24"/>
      <c r="Q77" s="24"/>
      <c r="R77" s="165"/>
      <c r="S77" s="24"/>
      <c r="T77" s="24"/>
      <c r="U77" s="24"/>
      <c r="W77" s="24"/>
      <c r="X77" s="24"/>
      <c r="AK77" s="499"/>
      <c r="AL77" s="290"/>
      <c r="AM77" s="290"/>
      <c r="AN77" s="290"/>
      <c r="AO77" s="290"/>
      <c r="AP77" s="290"/>
      <c r="AQ77" s="290"/>
      <c r="AR77" s="82"/>
      <c r="AS77" s="82"/>
      <c r="AT77" s="82"/>
      <c r="AU77" s="82"/>
    </row>
    <row r="78" ht="15.75" customHeight="1">
      <c r="F78" s="165"/>
      <c r="H78" s="24"/>
      <c r="I78" s="24"/>
      <c r="K78" s="24"/>
      <c r="L78" s="24"/>
      <c r="N78" s="24"/>
      <c r="O78" s="24"/>
      <c r="Q78" s="24"/>
      <c r="R78" s="165"/>
      <c r="S78" s="24"/>
      <c r="T78" s="24"/>
      <c r="U78" s="24"/>
      <c r="W78" s="24"/>
      <c r="X78" s="24"/>
      <c r="AK78" s="499"/>
      <c r="AL78" s="290"/>
      <c r="AM78" s="290"/>
      <c r="AN78" s="290"/>
      <c r="AO78" s="290"/>
      <c r="AP78" s="290"/>
      <c r="AQ78" s="290"/>
      <c r="AR78" s="82"/>
      <c r="AS78" s="82"/>
      <c r="AT78" s="82"/>
      <c r="AU78" s="82"/>
    </row>
    <row r="79" ht="15.75" customHeight="1">
      <c r="F79" s="165"/>
      <c r="H79" s="24"/>
      <c r="I79" s="24"/>
      <c r="K79" s="24"/>
      <c r="L79" s="24"/>
      <c r="N79" s="24"/>
      <c r="O79" s="24"/>
      <c r="Q79" s="24"/>
      <c r="R79" s="165"/>
      <c r="S79" s="24"/>
      <c r="T79" s="24"/>
      <c r="U79" s="24"/>
      <c r="W79" s="24"/>
      <c r="X79" s="24"/>
      <c r="AK79" s="499"/>
      <c r="AL79" s="290"/>
      <c r="AM79" s="290"/>
      <c r="AN79" s="290"/>
      <c r="AO79" s="290"/>
      <c r="AP79" s="290"/>
      <c r="AQ79" s="290"/>
      <c r="AR79" s="60"/>
      <c r="AS79" s="60"/>
      <c r="AT79" s="82"/>
      <c r="AU79" s="82"/>
    </row>
    <row r="80" ht="15.75" customHeight="1">
      <c r="F80" s="165"/>
      <c r="H80" s="24"/>
      <c r="I80" s="24"/>
      <c r="K80" s="24"/>
      <c r="L80" s="24"/>
      <c r="N80" s="24"/>
      <c r="O80" s="24"/>
      <c r="Q80" s="24"/>
      <c r="R80" s="165"/>
      <c r="S80" s="24"/>
      <c r="T80" s="24"/>
      <c r="U80" s="24"/>
      <c r="W80" s="24"/>
      <c r="X80" s="24"/>
      <c r="AK80" s="48"/>
      <c r="AL80" s="82"/>
      <c r="AM80" s="82"/>
      <c r="AN80" s="82"/>
      <c r="AO80" s="82"/>
      <c r="AP80" s="82"/>
      <c r="AQ80" s="82"/>
      <c r="AR80" s="60"/>
      <c r="AS80" s="60"/>
      <c r="AT80" s="82"/>
      <c r="AU80" s="82"/>
    </row>
    <row r="81" ht="15.75" customHeight="1">
      <c r="F81" s="165"/>
      <c r="H81" s="24"/>
      <c r="I81" s="24"/>
      <c r="K81" s="24"/>
      <c r="L81" s="24"/>
      <c r="N81" s="24"/>
      <c r="O81" s="24"/>
      <c r="Q81" s="24"/>
      <c r="R81" s="165"/>
      <c r="S81" s="24"/>
      <c r="T81" s="24"/>
      <c r="U81" s="24"/>
      <c r="W81" s="24"/>
      <c r="X81" s="24"/>
      <c r="AK81" s="48"/>
      <c r="AL81" s="82"/>
      <c r="AM81" s="82"/>
      <c r="AN81" s="82"/>
      <c r="AO81" s="82"/>
      <c r="AP81" s="82"/>
      <c r="AQ81" s="82"/>
      <c r="AR81" s="60"/>
      <c r="AS81" s="60"/>
      <c r="AT81" s="82"/>
      <c r="AU81" s="82"/>
    </row>
    <row r="82" ht="15.75" customHeight="1">
      <c r="F82" s="165"/>
      <c r="H82" s="24"/>
      <c r="I82" s="24"/>
      <c r="K82" s="24"/>
      <c r="L82" s="24"/>
      <c r="N82" s="24"/>
      <c r="O82" s="24"/>
      <c r="Q82" s="24"/>
      <c r="R82" s="165"/>
      <c r="S82" s="24"/>
      <c r="T82" s="24"/>
      <c r="U82" s="24"/>
      <c r="W82" s="24"/>
      <c r="X82" s="24"/>
      <c r="AK82" s="48"/>
      <c r="AL82" s="82"/>
      <c r="AM82" s="82"/>
      <c r="AN82" s="82"/>
      <c r="AO82" s="82"/>
      <c r="AP82" s="82"/>
      <c r="AQ82" s="82"/>
      <c r="AR82" s="60"/>
      <c r="AS82" s="60"/>
      <c r="AT82" s="82"/>
      <c r="AU82" s="82"/>
    </row>
    <row r="83" ht="15.75" customHeight="1">
      <c r="F83" s="165"/>
      <c r="H83" s="24"/>
      <c r="I83" s="24"/>
      <c r="K83" s="24"/>
      <c r="L83" s="24"/>
      <c r="N83" s="24"/>
      <c r="O83" s="24"/>
      <c r="Q83" s="24"/>
      <c r="R83" s="165"/>
      <c r="S83" s="24"/>
      <c r="T83" s="24"/>
      <c r="U83" s="24"/>
      <c r="W83" s="24"/>
      <c r="X83" s="24"/>
      <c r="AK83" s="48"/>
      <c r="AL83" s="82"/>
      <c r="AM83" s="82"/>
      <c r="AN83" s="82"/>
      <c r="AO83" s="82"/>
      <c r="AP83" s="82"/>
      <c r="AQ83" s="82"/>
      <c r="AR83" s="60"/>
      <c r="AS83" s="60"/>
      <c r="AT83" s="82"/>
      <c r="AU83" s="82"/>
    </row>
    <row r="84" ht="15.75" customHeight="1">
      <c r="F84" s="165"/>
      <c r="H84" s="24"/>
      <c r="I84" s="24"/>
      <c r="K84" s="24"/>
      <c r="L84" s="24"/>
      <c r="N84" s="24"/>
      <c r="O84" s="24"/>
      <c r="Q84" s="24"/>
      <c r="R84" s="165"/>
      <c r="S84" s="24"/>
      <c r="T84" s="24"/>
      <c r="U84" s="24"/>
      <c r="W84" s="24"/>
      <c r="X84" s="24"/>
      <c r="AK84" s="48"/>
      <c r="AL84" s="82"/>
      <c r="AM84" s="82"/>
      <c r="AN84" s="82"/>
      <c r="AO84" s="82"/>
      <c r="AP84" s="82"/>
      <c r="AQ84" s="82"/>
      <c r="AR84" s="60"/>
      <c r="AS84" s="60"/>
      <c r="AT84" s="82"/>
      <c r="AU84" s="82"/>
    </row>
    <row r="85" ht="15.75" customHeight="1">
      <c r="F85" s="165"/>
      <c r="H85" s="24"/>
      <c r="I85" s="24"/>
      <c r="K85" s="24"/>
      <c r="L85" s="24"/>
      <c r="N85" s="24"/>
      <c r="O85" s="24"/>
      <c r="Q85" s="24"/>
      <c r="R85" s="165"/>
      <c r="S85" s="24"/>
      <c r="T85" s="24"/>
      <c r="U85" s="24"/>
      <c r="W85" s="24"/>
      <c r="X85" s="24"/>
      <c r="AK85" s="499"/>
      <c r="AL85" s="290"/>
      <c r="AM85" s="290"/>
      <c r="AN85" s="290"/>
      <c r="AO85" s="290"/>
      <c r="AP85" s="290"/>
      <c r="AQ85" s="290"/>
      <c r="AR85" s="60"/>
      <c r="AS85" s="60"/>
      <c r="AT85" s="82"/>
      <c r="AU85" s="82"/>
    </row>
    <row r="86" ht="15.75" customHeight="1">
      <c r="F86" s="165"/>
      <c r="H86" s="24"/>
      <c r="I86" s="24"/>
      <c r="K86" s="24"/>
      <c r="L86" s="24"/>
      <c r="N86" s="24"/>
      <c r="O86" s="24"/>
      <c r="Q86" s="24"/>
      <c r="R86" s="165"/>
      <c r="S86" s="24"/>
      <c r="T86" s="24"/>
      <c r="U86" s="24"/>
      <c r="W86" s="24"/>
      <c r="X86" s="24"/>
      <c r="AK86" s="48"/>
      <c r="AL86" s="82"/>
      <c r="AM86" s="82"/>
      <c r="AN86" s="82"/>
      <c r="AO86" s="82"/>
      <c r="AP86" s="82"/>
      <c r="AQ86" s="82"/>
      <c r="AR86" s="60"/>
      <c r="AS86" s="60"/>
      <c r="AT86" s="82"/>
      <c r="AU86" s="82"/>
    </row>
    <row r="87" ht="15.75" customHeight="1">
      <c r="F87" s="165"/>
      <c r="H87" s="24"/>
      <c r="I87" s="24"/>
      <c r="K87" s="24"/>
      <c r="L87" s="24"/>
      <c r="N87" s="24"/>
      <c r="O87" s="24"/>
      <c r="Q87" s="24"/>
      <c r="R87" s="165"/>
      <c r="S87" s="24"/>
      <c r="T87" s="24"/>
      <c r="U87" s="24"/>
      <c r="W87" s="24"/>
      <c r="X87" s="24"/>
      <c r="AK87" s="48"/>
      <c r="AL87" s="82"/>
      <c r="AM87" s="82"/>
      <c r="AN87" s="82"/>
      <c r="AO87" s="82"/>
      <c r="AP87" s="82"/>
      <c r="AQ87" s="82"/>
      <c r="AR87" s="60"/>
      <c r="AS87" s="60"/>
      <c r="AT87" s="82"/>
      <c r="AU87" s="82"/>
    </row>
    <row r="88" ht="15.75" customHeight="1">
      <c r="F88" s="165"/>
      <c r="H88" s="24"/>
      <c r="I88" s="24"/>
      <c r="K88" s="24"/>
      <c r="L88" s="24"/>
      <c r="N88" s="24"/>
      <c r="O88" s="24"/>
      <c r="Q88" s="24"/>
      <c r="R88" s="165"/>
      <c r="S88" s="24"/>
      <c r="T88" s="24"/>
      <c r="U88" s="24"/>
      <c r="W88" s="24"/>
      <c r="X88" s="24"/>
      <c r="AK88" s="48"/>
      <c r="AL88" s="82"/>
      <c r="AM88" s="82"/>
      <c r="AN88" s="82"/>
      <c r="AO88" s="82"/>
      <c r="AP88" s="82"/>
      <c r="AQ88" s="82"/>
      <c r="AR88" s="60"/>
      <c r="AS88" s="60"/>
      <c r="AT88" s="82"/>
      <c r="AU88" s="82"/>
    </row>
    <row r="89" ht="15.75" customHeight="1">
      <c r="F89" s="165"/>
      <c r="H89" s="24"/>
      <c r="I89" s="24"/>
      <c r="K89" s="24"/>
      <c r="L89" s="24"/>
      <c r="N89" s="24"/>
      <c r="O89" s="24"/>
      <c r="Q89" s="24"/>
      <c r="R89" s="165"/>
      <c r="S89" s="24"/>
      <c r="T89" s="24"/>
      <c r="U89" s="24"/>
      <c r="W89" s="24"/>
      <c r="X89" s="24"/>
      <c r="AK89" s="48"/>
      <c r="AL89" s="82"/>
      <c r="AM89" s="82"/>
      <c r="AN89" s="82"/>
      <c r="AO89" s="82"/>
      <c r="AP89" s="82"/>
      <c r="AQ89" s="82"/>
      <c r="AR89" s="60"/>
      <c r="AS89" s="60"/>
      <c r="AT89" s="82"/>
      <c r="AU89" s="82"/>
    </row>
    <row r="90" ht="15.75" customHeight="1">
      <c r="F90" s="165"/>
      <c r="H90" s="24"/>
      <c r="I90" s="24"/>
      <c r="K90" s="24"/>
      <c r="L90" s="24"/>
      <c r="N90" s="24"/>
      <c r="O90" s="24"/>
      <c r="Q90" s="24"/>
      <c r="R90" s="165"/>
      <c r="S90" s="24"/>
      <c r="T90" s="24"/>
      <c r="U90" s="24"/>
      <c r="W90" s="24"/>
      <c r="X90" s="24"/>
      <c r="AK90" s="48"/>
      <c r="AL90" s="82"/>
      <c r="AM90" s="82"/>
      <c r="AN90" s="82"/>
      <c r="AO90" s="82"/>
      <c r="AP90" s="82"/>
      <c r="AQ90" s="82"/>
      <c r="AR90" s="60"/>
      <c r="AS90" s="60"/>
      <c r="AT90" s="82"/>
      <c r="AU90" s="82"/>
    </row>
    <row r="91" ht="15.75" customHeight="1">
      <c r="F91" s="165"/>
      <c r="H91" s="24"/>
      <c r="I91" s="24"/>
      <c r="K91" s="24"/>
      <c r="L91" s="24"/>
      <c r="N91" s="24"/>
      <c r="O91" s="24"/>
      <c r="Q91" s="24"/>
      <c r="R91" s="165"/>
      <c r="S91" s="24"/>
      <c r="T91" s="24"/>
      <c r="U91" s="24"/>
      <c r="W91" s="24"/>
      <c r="X91" s="24"/>
      <c r="AK91" s="499"/>
      <c r="AL91" s="290"/>
      <c r="AM91" s="290"/>
      <c r="AN91" s="290"/>
      <c r="AO91" s="290"/>
      <c r="AP91" s="290"/>
      <c r="AQ91" s="290"/>
      <c r="AR91" s="82"/>
      <c r="AS91" s="82"/>
      <c r="AT91" s="82"/>
      <c r="AU91" s="82"/>
    </row>
    <row r="92" ht="15.75" customHeight="1">
      <c r="F92" s="165"/>
      <c r="H92" s="24"/>
      <c r="I92" s="24"/>
      <c r="K92" s="24"/>
      <c r="L92" s="24"/>
      <c r="N92" s="24"/>
      <c r="O92" s="24"/>
      <c r="Q92" s="24"/>
      <c r="R92" s="165"/>
      <c r="S92" s="24"/>
      <c r="T92" s="24"/>
      <c r="U92" s="24"/>
      <c r="W92" s="24"/>
      <c r="X92" s="24"/>
      <c r="AK92" s="499"/>
      <c r="AL92" s="290"/>
      <c r="AM92" s="290"/>
      <c r="AN92" s="290"/>
      <c r="AO92" s="290"/>
      <c r="AP92" s="290"/>
      <c r="AQ92" s="290"/>
      <c r="AR92" s="82"/>
      <c r="AS92" s="82"/>
      <c r="AT92" s="82"/>
      <c r="AU92" s="82"/>
    </row>
    <row r="93" ht="15.75" customHeight="1">
      <c r="F93" s="165"/>
      <c r="H93" s="24"/>
      <c r="I93" s="24"/>
      <c r="K93" s="24"/>
      <c r="L93" s="24"/>
      <c r="N93" s="24"/>
      <c r="O93" s="24"/>
      <c r="Q93" s="24"/>
      <c r="R93" s="165"/>
      <c r="S93" s="24"/>
      <c r="T93" s="24"/>
      <c r="U93" s="24"/>
      <c r="W93" s="24"/>
      <c r="X93" s="24"/>
      <c r="AK93" s="499"/>
      <c r="AL93" s="290"/>
      <c r="AM93" s="290"/>
      <c r="AN93" s="290"/>
      <c r="AO93" s="290"/>
      <c r="AP93" s="290"/>
      <c r="AQ93" s="290"/>
      <c r="AR93" s="82"/>
      <c r="AS93" s="82"/>
      <c r="AT93" s="82"/>
      <c r="AU93" s="82"/>
    </row>
    <row r="94" ht="15.75" customHeight="1">
      <c r="F94" s="165"/>
      <c r="H94" s="24"/>
      <c r="I94" s="24"/>
      <c r="K94" s="24"/>
      <c r="L94" s="24"/>
      <c r="N94" s="24"/>
      <c r="O94" s="24"/>
      <c r="Q94" s="24"/>
      <c r="R94" s="165"/>
      <c r="S94" s="24"/>
      <c r="T94" s="24"/>
      <c r="U94" s="24"/>
      <c r="W94" s="24"/>
      <c r="X94" s="24"/>
      <c r="AK94" s="499"/>
      <c r="AL94" s="290"/>
      <c r="AM94" s="290"/>
      <c r="AN94" s="290"/>
      <c r="AO94" s="290"/>
      <c r="AP94" s="290"/>
      <c r="AQ94" s="290"/>
      <c r="AR94" s="60"/>
      <c r="AS94" s="60"/>
    </row>
    <row r="95" ht="15.75" customHeight="1">
      <c r="F95" s="165"/>
      <c r="H95" s="24"/>
      <c r="I95" s="24"/>
      <c r="K95" s="24"/>
      <c r="L95" s="24"/>
      <c r="N95" s="24"/>
      <c r="O95" s="24"/>
      <c r="Q95" s="24"/>
      <c r="R95" s="165"/>
      <c r="S95" s="24"/>
      <c r="T95" s="24"/>
      <c r="U95" s="24"/>
      <c r="W95" s="24"/>
      <c r="X95" s="24"/>
      <c r="AK95" s="499"/>
      <c r="AL95" s="290"/>
      <c r="AM95" s="290"/>
      <c r="AN95" s="290"/>
      <c r="AO95" s="290"/>
      <c r="AP95" s="290"/>
      <c r="AQ95" s="290"/>
    </row>
    <row r="96" ht="15.75" customHeight="1">
      <c r="F96" s="165"/>
      <c r="H96" s="24"/>
      <c r="I96" s="24"/>
      <c r="K96" s="24"/>
      <c r="L96" s="24"/>
      <c r="N96" s="24"/>
      <c r="O96" s="24"/>
      <c r="Q96" s="24"/>
      <c r="R96" s="165"/>
      <c r="S96" s="24"/>
      <c r="T96" s="24"/>
      <c r="U96" s="24"/>
      <c r="W96" s="24"/>
      <c r="X96" s="24"/>
      <c r="AK96" s="499"/>
      <c r="AL96" s="290"/>
      <c r="AM96" s="290"/>
      <c r="AN96" s="290"/>
      <c r="AO96" s="290"/>
      <c r="AP96" s="290"/>
      <c r="AQ96" s="290"/>
    </row>
    <row r="97" ht="15.75" customHeight="1">
      <c r="F97" s="165"/>
      <c r="H97" s="24"/>
      <c r="I97" s="24"/>
      <c r="K97" s="24"/>
      <c r="L97" s="24"/>
      <c r="N97" s="24"/>
      <c r="O97" s="24"/>
      <c r="Q97" s="24"/>
      <c r="R97" s="165"/>
      <c r="S97" s="24"/>
      <c r="T97" s="24"/>
      <c r="U97" s="24"/>
      <c r="W97" s="24"/>
      <c r="X97" s="24"/>
      <c r="AK97" s="499"/>
      <c r="AL97" s="290"/>
      <c r="AM97" s="290"/>
      <c r="AN97" s="290"/>
      <c r="AO97" s="290"/>
      <c r="AP97" s="290"/>
      <c r="AQ97" s="290"/>
    </row>
    <row r="98" ht="15.75" customHeight="1">
      <c r="F98" s="165"/>
      <c r="H98" s="24"/>
      <c r="I98" s="24"/>
      <c r="K98" s="24"/>
      <c r="L98" s="24"/>
      <c r="N98" s="24"/>
      <c r="O98" s="24"/>
      <c r="Q98" s="24"/>
      <c r="R98" s="165"/>
      <c r="S98" s="24"/>
      <c r="T98" s="24"/>
      <c r="U98" s="24"/>
      <c r="W98" s="24"/>
      <c r="X98" s="24"/>
      <c r="AK98" s="499"/>
      <c r="AL98" s="290"/>
      <c r="AM98" s="290"/>
      <c r="AN98" s="290"/>
      <c r="AO98" s="290"/>
      <c r="AP98" s="290"/>
      <c r="AQ98" s="290"/>
      <c r="AR98" s="60"/>
      <c r="AS98" s="60"/>
    </row>
    <row r="99" ht="15.75" customHeight="1">
      <c r="F99" s="165"/>
      <c r="H99" s="24"/>
      <c r="I99" s="24"/>
      <c r="K99" s="24"/>
      <c r="L99" s="24"/>
      <c r="N99" s="24"/>
      <c r="O99" s="24"/>
      <c r="Q99" s="24"/>
      <c r="R99" s="165"/>
      <c r="S99" s="24"/>
      <c r="T99" s="24"/>
      <c r="U99" s="24"/>
      <c r="W99" s="24"/>
      <c r="X99" s="24"/>
    </row>
    <row r="100" ht="15.75" customHeight="1">
      <c r="F100" s="165"/>
      <c r="H100" s="24"/>
      <c r="I100" s="24"/>
      <c r="K100" s="24"/>
      <c r="L100" s="24"/>
      <c r="N100" s="24"/>
      <c r="O100" s="24"/>
      <c r="Q100" s="24"/>
      <c r="R100" s="165"/>
      <c r="S100" s="24"/>
      <c r="T100" s="24"/>
      <c r="U100" s="24"/>
      <c r="W100" s="24"/>
      <c r="X100" s="24"/>
    </row>
    <row r="101" ht="15.75" customHeight="1">
      <c r="F101" s="165"/>
      <c r="H101" s="24"/>
      <c r="I101" s="24"/>
      <c r="K101" s="24"/>
      <c r="L101" s="24"/>
      <c r="N101" s="24"/>
      <c r="O101" s="24"/>
      <c r="Q101" s="24"/>
      <c r="R101" s="165"/>
      <c r="S101" s="24"/>
      <c r="T101" s="24"/>
      <c r="U101" s="24"/>
      <c r="W101" s="24"/>
      <c r="X101" s="24"/>
    </row>
    <row r="102" ht="15.75" customHeight="1">
      <c r="F102" s="165"/>
      <c r="H102" s="24"/>
      <c r="I102" s="24"/>
      <c r="K102" s="24"/>
      <c r="L102" s="24"/>
      <c r="N102" s="24"/>
      <c r="O102" s="24"/>
      <c r="Q102" s="24"/>
      <c r="R102" s="165"/>
      <c r="S102" s="24"/>
      <c r="T102" s="24"/>
      <c r="U102" s="24"/>
      <c r="W102" s="24"/>
      <c r="X102" s="24"/>
    </row>
    <row r="103" ht="15.75" customHeight="1">
      <c r="F103" s="165"/>
      <c r="H103" s="24"/>
      <c r="I103" s="24"/>
      <c r="K103" s="24"/>
      <c r="L103" s="24"/>
      <c r="N103" s="24"/>
      <c r="O103" s="24"/>
      <c r="Q103" s="24"/>
      <c r="R103" s="165"/>
      <c r="S103" s="24"/>
      <c r="T103" s="24"/>
      <c r="U103" s="24"/>
      <c r="W103" s="24"/>
      <c r="X103" s="24"/>
    </row>
    <row r="104" ht="15.75" customHeight="1">
      <c r="F104" s="165"/>
      <c r="H104" s="24"/>
      <c r="I104" s="24"/>
      <c r="K104" s="24"/>
      <c r="L104" s="24"/>
      <c r="N104" s="24"/>
      <c r="O104" s="24"/>
      <c r="Q104" s="24"/>
      <c r="R104" s="165"/>
      <c r="S104" s="24"/>
      <c r="T104" s="24"/>
      <c r="U104" s="24"/>
      <c r="W104" s="24"/>
      <c r="X104" s="24"/>
    </row>
    <row r="105" ht="15.75" customHeight="1">
      <c r="F105" s="165"/>
      <c r="H105" s="24"/>
      <c r="I105" s="24"/>
      <c r="K105" s="24"/>
      <c r="L105" s="24"/>
      <c r="N105" s="24"/>
      <c r="O105" s="24"/>
      <c r="Q105" s="24"/>
      <c r="R105" s="165"/>
      <c r="S105" s="24"/>
      <c r="T105" s="24"/>
      <c r="U105" s="24"/>
      <c r="W105" s="24"/>
      <c r="X105" s="24"/>
    </row>
    <row r="106" ht="15.75" customHeight="1">
      <c r="F106" s="165"/>
      <c r="H106" s="24"/>
      <c r="I106" s="24"/>
      <c r="K106" s="24"/>
      <c r="L106" s="24"/>
      <c r="N106" s="24"/>
      <c r="O106" s="24"/>
      <c r="Q106" s="24"/>
      <c r="R106" s="165"/>
      <c r="S106" s="24"/>
      <c r="T106" s="24"/>
      <c r="U106" s="24"/>
      <c r="W106" s="24"/>
      <c r="X106" s="24"/>
    </row>
    <row r="107" ht="15.75" customHeight="1">
      <c r="F107" s="165"/>
      <c r="H107" s="24"/>
      <c r="I107" s="24"/>
      <c r="K107" s="24"/>
      <c r="L107" s="24"/>
      <c r="N107" s="24"/>
      <c r="O107" s="24"/>
      <c r="Q107" s="24"/>
      <c r="R107" s="165"/>
      <c r="S107" s="24"/>
      <c r="T107" s="24"/>
      <c r="U107" s="24"/>
      <c r="W107" s="24"/>
      <c r="X107" s="24"/>
    </row>
    <row r="108" ht="15.75" customHeight="1">
      <c r="F108" s="165"/>
      <c r="H108" s="24"/>
      <c r="I108" s="24"/>
      <c r="K108" s="24"/>
      <c r="L108" s="24"/>
      <c r="N108" s="24"/>
      <c r="O108" s="24"/>
      <c r="Q108" s="24"/>
      <c r="R108" s="165"/>
      <c r="S108" s="24"/>
      <c r="T108" s="24"/>
      <c r="U108" s="24"/>
      <c r="W108" s="24"/>
      <c r="X108" s="24"/>
    </row>
    <row r="109" ht="15.75" customHeight="1">
      <c r="F109" s="165"/>
      <c r="H109" s="24"/>
      <c r="I109" s="24"/>
      <c r="K109" s="24"/>
      <c r="L109" s="24"/>
      <c r="N109" s="24"/>
      <c r="O109" s="24"/>
      <c r="Q109" s="24"/>
      <c r="R109" s="165"/>
      <c r="S109" s="24"/>
      <c r="T109" s="24"/>
      <c r="U109" s="24"/>
      <c r="W109" s="24"/>
      <c r="X109" s="24"/>
    </row>
    <row r="110" ht="15.75" customHeight="1">
      <c r="F110" s="165"/>
      <c r="H110" s="24"/>
      <c r="I110" s="24"/>
      <c r="K110" s="24"/>
      <c r="L110" s="24"/>
      <c r="N110" s="24"/>
      <c r="O110" s="24"/>
      <c r="Q110" s="24"/>
      <c r="R110" s="165"/>
      <c r="S110" s="24"/>
      <c r="T110" s="24"/>
      <c r="U110" s="24"/>
      <c r="W110" s="24"/>
      <c r="X110" s="24"/>
    </row>
    <row r="111" ht="15.75" customHeight="1">
      <c r="F111" s="165"/>
      <c r="H111" s="24"/>
      <c r="I111" s="24"/>
      <c r="K111" s="24"/>
      <c r="L111" s="24"/>
      <c r="N111" s="24"/>
      <c r="O111" s="24"/>
      <c r="Q111" s="24"/>
      <c r="R111" s="165"/>
      <c r="S111" s="24"/>
      <c r="T111" s="24"/>
      <c r="U111" s="24"/>
      <c r="W111" s="24"/>
      <c r="X111" s="24"/>
    </row>
    <row r="112" ht="15.75" customHeight="1">
      <c r="F112" s="165"/>
      <c r="H112" s="24"/>
      <c r="I112" s="24"/>
      <c r="K112" s="24"/>
      <c r="L112" s="24"/>
      <c r="N112" s="24"/>
      <c r="O112" s="24"/>
      <c r="Q112" s="24"/>
      <c r="R112" s="165"/>
      <c r="S112" s="24"/>
      <c r="T112" s="24"/>
      <c r="U112" s="24"/>
      <c r="W112" s="24"/>
      <c r="X112" s="24"/>
    </row>
    <row r="113" ht="15.75" customHeight="1">
      <c r="F113" s="165"/>
      <c r="H113" s="24"/>
      <c r="I113" s="24"/>
      <c r="K113" s="24"/>
      <c r="L113" s="24"/>
      <c r="N113" s="24"/>
      <c r="O113" s="24"/>
      <c r="Q113" s="24"/>
      <c r="R113" s="165"/>
      <c r="S113" s="24"/>
      <c r="T113" s="24"/>
      <c r="U113" s="24"/>
      <c r="W113" s="24"/>
      <c r="X113" s="24"/>
    </row>
    <row r="114" ht="15.75" customHeight="1">
      <c r="F114" s="165"/>
      <c r="H114" s="24"/>
      <c r="I114" s="24"/>
      <c r="K114" s="24"/>
      <c r="L114" s="24"/>
      <c r="N114" s="24"/>
      <c r="O114" s="24"/>
      <c r="Q114" s="24"/>
      <c r="R114" s="165"/>
      <c r="S114" s="24"/>
      <c r="T114" s="24"/>
      <c r="U114" s="24"/>
      <c r="W114" s="24"/>
      <c r="X114" s="24"/>
    </row>
    <row r="115" ht="15.75" customHeight="1">
      <c r="F115" s="165"/>
      <c r="H115" s="24"/>
      <c r="I115" s="24"/>
      <c r="K115" s="24"/>
      <c r="L115" s="24"/>
      <c r="N115" s="24"/>
      <c r="O115" s="24"/>
      <c r="Q115" s="24"/>
      <c r="R115" s="165"/>
      <c r="S115" s="24"/>
      <c r="T115" s="24"/>
      <c r="U115" s="24"/>
      <c r="W115" s="24"/>
      <c r="X115" s="24"/>
    </row>
    <row r="116" ht="15.75" customHeight="1">
      <c r="F116" s="165"/>
      <c r="H116" s="24"/>
      <c r="I116" s="24"/>
      <c r="K116" s="24"/>
      <c r="L116" s="24"/>
      <c r="N116" s="24"/>
      <c r="O116" s="24"/>
      <c r="Q116" s="24"/>
      <c r="R116" s="165"/>
      <c r="S116" s="24"/>
      <c r="T116" s="24"/>
      <c r="U116" s="24"/>
      <c r="W116" s="24"/>
      <c r="X116" s="24"/>
    </row>
    <row r="117" ht="15.75" customHeight="1">
      <c r="F117" s="165"/>
      <c r="H117" s="24"/>
      <c r="I117" s="24"/>
      <c r="K117" s="24"/>
      <c r="L117" s="24"/>
      <c r="N117" s="24"/>
      <c r="O117" s="24"/>
      <c r="Q117" s="24"/>
      <c r="R117" s="165"/>
      <c r="S117" s="24"/>
      <c r="T117" s="24"/>
      <c r="U117" s="24"/>
      <c r="W117" s="24"/>
      <c r="X117" s="24"/>
    </row>
    <row r="118" ht="15.75" customHeight="1">
      <c r="F118" s="165"/>
      <c r="H118" s="24"/>
      <c r="I118" s="24"/>
      <c r="K118" s="24"/>
      <c r="L118" s="24"/>
      <c r="N118" s="24"/>
      <c r="O118" s="24"/>
      <c r="Q118" s="24"/>
      <c r="R118" s="165"/>
      <c r="S118" s="24"/>
      <c r="T118" s="24"/>
      <c r="U118" s="24"/>
      <c r="W118" s="24"/>
      <c r="X118" s="24"/>
    </row>
    <row r="119" ht="15.75" customHeight="1">
      <c r="F119" s="165"/>
      <c r="H119" s="24"/>
      <c r="I119" s="24"/>
      <c r="K119" s="24"/>
      <c r="L119" s="24"/>
      <c r="N119" s="24"/>
      <c r="O119" s="24"/>
      <c r="Q119" s="24"/>
      <c r="R119" s="165"/>
      <c r="S119" s="24"/>
      <c r="T119" s="24"/>
      <c r="U119" s="24"/>
      <c r="W119" s="24"/>
      <c r="X119" s="24"/>
    </row>
    <row r="120" ht="15.75" customHeight="1">
      <c r="F120" s="165"/>
      <c r="H120" s="24"/>
      <c r="I120" s="24"/>
      <c r="K120" s="24"/>
      <c r="L120" s="24"/>
      <c r="N120" s="24"/>
      <c r="O120" s="24"/>
      <c r="Q120" s="24"/>
      <c r="R120" s="165"/>
      <c r="S120" s="24"/>
      <c r="T120" s="24"/>
      <c r="U120" s="24"/>
      <c r="W120" s="24"/>
      <c r="X120" s="24"/>
    </row>
    <row r="121" ht="15.75" customHeight="1">
      <c r="F121" s="165"/>
      <c r="H121" s="24"/>
      <c r="I121" s="24"/>
      <c r="K121" s="24"/>
      <c r="L121" s="24"/>
      <c r="N121" s="24"/>
      <c r="O121" s="24"/>
      <c r="Q121" s="24"/>
      <c r="R121" s="165"/>
      <c r="S121" s="24"/>
      <c r="T121" s="24"/>
      <c r="U121" s="24"/>
      <c r="W121" s="24"/>
      <c r="X121" s="24"/>
    </row>
    <row r="122" ht="15.75" customHeight="1">
      <c r="F122" s="165"/>
      <c r="H122" s="24"/>
      <c r="I122" s="24"/>
      <c r="K122" s="24"/>
      <c r="L122" s="24"/>
      <c r="N122" s="24"/>
      <c r="O122" s="24"/>
      <c r="Q122" s="24"/>
      <c r="R122" s="165"/>
      <c r="S122" s="24"/>
      <c r="T122" s="24"/>
      <c r="U122" s="24"/>
      <c r="W122" s="24"/>
      <c r="X122" s="24"/>
    </row>
    <row r="123" ht="15.75" customHeight="1">
      <c r="F123" s="165"/>
      <c r="H123" s="24"/>
      <c r="I123" s="24"/>
      <c r="K123" s="24"/>
      <c r="L123" s="24"/>
      <c r="N123" s="24"/>
      <c r="O123" s="24"/>
      <c r="Q123" s="24"/>
      <c r="R123" s="165"/>
      <c r="S123" s="24"/>
      <c r="T123" s="24"/>
      <c r="U123" s="24"/>
      <c r="W123" s="24"/>
      <c r="X123" s="24"/>
    </row>
    <row r="124" ht="15.75" customHeight="1">
      <c r="F124" s="165"/>
      <c r="H124" s="24"/>
      <c r="I124" s="24"/>
      <c r="K124" s="24"/>
      <c r="L124" s="24"/>
      <c r="N124" s="24"/>
      <c r="O124" s="24"/>
      <c r="Q124" s="24"/>
      <c r="R124" s="165"/>
      <c r="S124" s="24"/>
      <c r="T124" s="24"/>
      <c r="U124" s="24"/>
      <c r="W124" s="24"/>
      <c r="X124" s="24"/>
    </row>
    <row r="125" ht="15.75" customHeight="1">
      <c r="F125" s="165"/>
      <c r="H125" s="24"/>
      <c r="I125" s="24"/>
      <c r="K125" s="24"/>
      <c r="L125" s="24"/>
      <c r="N125" s="24"/>
      <c r="O125" s="24"/>
      <c r="Q125" s="24"/>
      <c r="R125" s="165"/>
      <c r="S125" s="24"/>
      <c r="T125" s="24"/>
      <c r="U125" s="24"/>
      <c r="W125" s="24"/>
      <c r="X125" s="24"/>
    </row>
    <row r="126" ht="15.75" customHeight="1">
      <c r="F126" s="165"/>
      <c r="H126" s="24"/>
      <c r="I126" s="24"/>
      <c r="K126" s="24"/>
      <c r="L126" s="24"/>
      <c r="N126" s="24"/>
      <c r="O126" s="24"/>
      <c r="Q126" s="24"/>
      <c r="R126" s="165"/>
      <c r="S126" s="24"/>
      <c r="T126" s="24"/>
      <c r="U126" s="24"/>
      <c r="W126" s="24"/>
      <c r="X126" s="24"/>
    </row>
    <row r="127" ht="15.75" customHeight="1">
      <c r="F127" s="165"/>
      <c r="H127" s="24"/>
      <c r="I127" s="24"/>
      <c r="K127" s="24"/>
      <c r="L127" s="24"/>
      <c r="N127" s="24"/>
      <c r="O127" s="24"/>
      <c r="Q127" s="24"/>
      <c r="R127" s="165"/>
      <c r="S127" s="24"/>
      <c r="T127" s="24"/>
      <c r="U127" s="24"/>
      <c r="W127" s="24"/>
      <c r="X127" s="24"/>
    </row>
    <row r="128" ht="15.75" customHeight="1">
      <c r="F128" s="165"/>
      <c r="H128" s="24"/>
      <c r="I128" s="24"/>
      <c r="K128" s="24"/>
      <c r="L128" s="24"/>
      <c r="N128" s="24"/>
      <c r="O128" s="24"/>
      <c r="Q128" s="24"/>
      <c r="R128" s="165"/>
      <c r="S128" s="24"/>
      <c r="T128" s="24"/>
      <c r="U128" s="24"/>
      <c r="W128" s="24"/>
      <c r="X128" s="24"/>
    </row>
    <row r="129" ht="15.75" customHeight="1">
      <c r="F129" s="165"/>
      <c r="H129" s="24"/>
      <c r="I129" s="24"/>
      <c r="K129" s="24"/>
      <c r="L129" s="24"/>
      <c r="N129" s="24"/>
      <c r="O129" s="24"/>
      <c r="Q129" s="24"/>
      <c r="R129" s="165"/>
      <c r="S129" s="24"/>
      <c r="T129" s="24"/>
      <c r="U129" s="24"/>
      <c r="W129" s="24"/>
      <c r="X129" s="24"/>
    </row>
    <row r="130" ht="15.75" customHeight="1">
      <c r="F130" s="165"/>
      <c r="H130" s="24"/>
      <c r="I130" s="24"/>
      <c r="K130" s="24"/>
      <c r="L130" s="24"/>
      <c r="N130" s="24"/>
      <c r="O130" s="24"/>
      <c r="Q130" s="24"/>
      <c r="R130" s="165"/>
      <c r="S130" s="24"/>
      <c r="T130" s="24"/>
      <c r="U130" s="24"/>
      <c r="W130" s="24"/>
      <c r="X130" s="24"/>
    </row>
    <row r="131" ht="15.75" customHeight="1">
      <c r="F131" s="165"/>
      <c r="H131" s="24"/>
      <c r="I131" s="24"/>
      <c r="K131" s="24"/>
      <c r="L131" s="24"/>
      <c r="N131" s="24"/>
      <c r="O131" s="24"/>
      <c r="Q131" s="24"/>
      <c r="R131" s="165"/>
      <c r="S131" s="24"/>
      <c r="T131" s="24"/>
      <c r="U131" s="24"/>
      <c r="W131" s="24"/>
      <c r="X131" s="24"/>
    </row>
    <row r="132" ht="15.75" customHeight="1">
      <c r="F132" s="165"/>
      <c r="H132" s="24"/>
      <c r="I132" s="24"/>
      <c r="K132" s="24"/>
      <c r="L132" s="24"/>
      <c r="N132" s="24"/>
      <c r="O132" s="24"/>
      <c r="Q132" s="24"/>
      <c r="R132" s="165"/>
      <c r="S132" s="24"/>
      <c r="T132" s="24"/>
      <c r="U132" s="24"/>
      <c r="W132" s="24"/>
      <c r="X132" s="24"/>
    </row>
    <row r="133" ht="15.75" customHeight="1">
      <c r="F133" s="165"/>
      <c r="H133" s="24"/>
      <c r="I133" s="24"/>
      <c r="K133" s="24"/>
      <c r="L133" s="24"/>
      <c r="N133" s="24"/>
      <c r="O133" s="24"/>
      <c r="Q133" s="24"/>
      <c r="R133" s="165"/>
      <c r="S133" s="24"/>
      <c r="T133" s="24"/>
      <c r="U133" s="24"/>
      <c r="W133" s="24"/>
      <c r="X133" s="24"/>
    </row>
    <row r="134" ht="15.75" customHeight="1">
      <c r="F134" s="165"/>
      <c r="H134" s="24"/>
      <c r="I134" s="24"/>
      <c r="K134" s="24"/>
      <c r="L134" s="24"/>
      <c r="N134" s="24"/>
      <c r="O134" s="24"/>
      <c r="Q134" s="24"/>
      <c r="R134" s="165"/>
      <c r="S134" s="24"/>
      <c r="T134" s="24"/>
      <c r="U134" s="24"/>
      <c r="W134" s="24"/>
      <c r="X134" s="24"/>
    </row>
    <row r="135" ht="15.75" customHeight="1">
      <c r="F135" s="165"/>
      <c r="H135" s="24"/>
      <c r="I135" s="24"/>
      <c r="K135" s="24"/>
      <c r="L135" s="24"/>
      <c r="N135" s="24"/>
      <c r="O135" s="24"/>
      <c r="Q135" s="24"/>
      <c r="R135" s="165"/>
      <c r="S135" s="24"/>
      <c r="T135" s="24"/>
      <c r="U135" s="24"/>
      <c r="W135" s="24"/>
      <c r="X135" s="24"/>
    </row>
    <row r="136" ht="15.75" customHeight="1">
      <c r="F136" s="165"/>
      <c r="H136" s="24"/>
      <c r="I136" s="24"/>
      <c r="K136" s="24"/>
      <c r="L136" s="24"/>
      <c r="N136" s="24"/>
      <c r="O136" s="24"/>
      <c r="Q136" s="24"/>
      <c r="R136" s="165"/>
      <c r="S136" s="24"/>
      <c r="T136" s="24"/>
      <c r="U136" s="24"/>
      <c r="W136" s="24"/>
      <c r="X136" s="24"/>
    </row>
    <row r="137" ht="15.75" customHeight="1">
      <c r="F137" s="165"/>
      <c r="H137" s="24"/>
      <c r="I137" s="24"/>
      <c r="K137" s="24"/>
      <c r="L137" s="24"/>
      <c r="N137" s="24"/>
      <c r="O137" s="24"/>
      <c r="Q137" s="24"/>
      <c r="R137" s="165"/>
      <c r="S137" s="24"/>
      <c r="T137" s="24"/>
      <c r="U137" s="24"/>
      <c r="W137" s="24"/>
      <c r="X137" s="24"/>
    </row>
    <row r="138" ht="15.75" customHeight="1">
      <c r="F138" s="165"/>
      <c r="H138" s="24"/>
      <c r="I138" s="24"/>
      <c r="K138" s="24"/>
      <c r="L138" s="24"/>
      <c r="N138" s="24"/>
      <c r="O138" s="24"/>
      <c r="Q138" s="24"/>
      <c r="R138" s="165"/>
      <c r="S138" s="24"/>
      <c r="T138" s="24"/>
      <c r="U138" s="24"/>
      <c r="W138" s="24"/>
      <c r="X138" s="24"/>
    </row>
    <row r="139" ht="15.75" customHeight="1">
      <c r="F139" s="165"/>
      <c r="H139" s="24"/>
      <c r="I139" s="24"/>
      <c r="K139" s="24"/>
      <c r="L139" s="24"/>
      <c r="N139" s="24"/>
      <c r="O139" s="24"/>
      <c r="Q139" s="24"/>
      <c r="R139" s="165"/>
      <c r="S139" s="24"/>
      <c r="T139" s="24"/>
      <c r="U139" s="24"/>
      <c r="W139" s="24"/>
      <c r="X139" s="24"/>
    </row>
    <row r="140" ht="15.75" customHeight="1">
      <c r="F140" s="165"/>
      <c r="H140" s="24"/>
      <c r="I140" s="24"/>
      <c r="K140" s="24"/>
      <c r="L140" s="24"/>
      <c r="N140" s="24"/>
      <c r="O140" s="24"/>
      <c r="Q140" s="24"/>
      <c r="R140" s="165"/>
      <c r="S140" s="24"/>
      <c r="T140" s="24"/>
      <c r="U140" s="24"/>
      <c r="W140" s="24"/>
      <c r="X140" s="24"/>
    </row>
    <row r="141" ht="15.75" customHeight="1">
      <c r="F141" s="165"/>
      <c r="H141" s="24"/>
      <c r="I141" s="24"/>
      <c r="K141" s="24"/>
      <c r="L141" s="24"/>
      <c r="N141" s="24"/>
      <c r="O141" s="24"/>
      <c r="Q141" s="24"/>
      <c r="R141" s="165"/>
      <c r="S141" s="24"/>
      <c r="T141" s="24"/>
      <c r="U141" s="24"/>
      <c r="W141" s="24"/>
      <c r="X141" s="24"/>
    </row>
    <row r="142" ht="15.75" customHeight="1">
      <c r="F142" s="165"/>
      <c r="H142" s="24"/>
      <c r="I142" s="24"/>
      <c r="K142" s="24"/>
      <c r="L142" s="24"/>
      <c r="N142" s="24"/>
      <c r="O142" s="24"/>
      <c r="Q142" s="24"/>
      <c r="R142" s="165"/>
      <c r="S142" s="24"/>
      <c r="T142" s="24"/>
      <c r="U142" s="24"/>
      <c r="W142" s="24"/>
      <c r="X142" s="24"/>
    </row>
    <row r="143" ht="15.75" customHeight="1">
      <c r="F143" s="165"/>
      <c r="H143" s="24"/>
      <c r="I143" s="24"/>
      <c r="K143" s="24"/>
      <c r="L143" s="24"/>
      <c r="N143" s="24"/>
      <c r="O143" s="24"/>
      <c r="Q143" s="24"/>
      <c r="R143" s="165"/>
      <c r="S143" s="24"/>
      <c r="T143" s="24"/>
      <c r="U143" s="24"/>
      <c r="W143" s="24"/>
      <c r="X143" s="24"/>
    </row>
    <row r="144" ht="15.75" customHeight="1">
      <c r="F144" s="165"/>
      <c r="H144" s="24"/>
      <c r="I144" s="24"/>
      <c r="K144" s="24"/>
      <c r="L144" s="24"/>
      <c r="N144" s="24"/>
      <c r="O144" s="24"/>
      <c r="Q144" s="24"/>
      <c r="R144" s="165"/>
      <c r="S144" s="24"/>
      <c r="T144" s="24"/>
      <c r="U144" s="24"/>
      <c r="W144" s="24"/>
      <c r="X144" s="24"/>
    </row>
    <row r="145" ht="15.75" customHeight="1">
      <c r="F145" s="165"/>
      <c r="H145" s="24"/>
      <c r="I145" s="24"/>
      <c r="K145" s="24"/>
      <c r="L145" s="24"/>
      <c r="N145" s="24"/>
      <c r="O145" s="24"/>
      <c r="Q145" s="24"/>
      <c r="R145" s="165"/>
      <c r="S145" s="24"/>
      <c r="T145" s="24"/>
      <c r="U145" s="24"/>
      <c r="W145" s="24"/>
      <c r="X145" s="24"/>
    </row>
    <row r="146" ht="15.75" customHeight="1">
      <c r="F146" s="165"/>
      <c r="H146" s="24"/>
      <c r="I146" s="24"/>
      <c r="K146" s="24"/>
      <c r="L146" s="24"/>
      <c r="N146" s="24"/>
      <c r="O146" s="24"/>
      <c r="Q146" s="24"/>
      <c r="R146" s="165"/>
      <c r="S146" s="24"/>
      <c r="T146" s="24"/>
      <c r="U146" s="24"/>
      <c r="W146" s="24"/>
      <c r="X146" s="24"/>
    </row>
    <row r="147" ht="15.75" customHeight="1">
      <c r="F147" s="165"/>
      <c r="H147" s="24"/>
      <c r="I147" s="24"/>
      <c r="K147" s="24"/>
      <c r="L147" s="24"/>
      <c r="N147" s="24"/>
      <c r="O147" s="24"/>
      <c r="Q147" s="24"/>
      <c r="R147" s="165"/>
      <c r="S147" s="24"/>
      <c r="T147" s="24"/>
      <c r="U147" s="24"/>
      <c r="W147" s="24"/>
      <c r="X147" s="24"/>
    </row>
    <row r="148" ht="15.75" customHeight="1">
      <c r="F148" s="165"/>
      <c r="H148" s="24"/>
      <c r="I148" s="24"/>
      <c r="K148" s="24"/>
      <c r="L148" s="24"/>
      <c r="N148" s="24"/>
      <c r="O148" s="24"/>
      <c r="Q148" s="24"/>
      <c r="R148" s="165"/>
      <c r="S148" s="24"/>
      <c r="T148" s="24"/>
      <c r="U148" s="24"/>
      <c r="W148" s="24"/>
      <c r="X148" s="24"/>
    </row>
    <row r="149" ht="15.75" customHeight="1">
      <c r="F149" s="165"/>
      <c r="H149" s="24"/>
      <c r="I149" s="24"/>
      <c r="K149" s="24"/>
      <c r="L149" s="24"/>
      <c r="N149" s="24"/>
      <c r="O149" s="24"/>
      <c r="Q149" s="24"/>
      <c r="R149" s="165"/>
      <c r="S149" s="24"/>
      <c r="T149" s="24"/>
      <c r="U149" s="24"/>
      <c r="W149" s="24"/>
      <c r="X149" s="24"/>
    </row>
    <row r="150" ht="15.75" customHeight="1">
      <c r="F150" s="165"/>
      <c r="H150" s="24"/>
      <c r="I150" s="24"/>
      <c r="K150" s="24"/>
      <c r="L150" s="24"/>
      <c r="N150" s="24"/>
      <c r="O150" s="24"/>
      <c r="Q150" s="24"/>
      <c r="R150" s="165"/>
      <c r="S150" s="24"/>
      <c r="T150" s="24"/>
      <c r="U150" s="24"/>
      <c r="W150" s="24"/>
      <c r="X150" s="24"/>
    </row>
    <row r="151" ht="15.75" customHeight="1">
      <c r="F151" s="165"/>
      <c r="H151" s="24"/>
      <c r="I151" s="24"/>
      <c r="K151" s="24"/>
      <c r="L151" s="24"/>
      <c r="N151" s="24"/>
      <c r="O151" s="24"/>
      <c r="Q151" s="24"/>
      <c r="R151" s="165"/>
      <c r="S151" s="24"/>
      <c r="T151" s="24"/>
      <c r="U151" s="24"/>
      <c r="W151" s="24"/>
      <c r="X151" s="24"/>
    </row>
    <row r="152" ht="15.75" customHeight="1">
      <c r="F152" s="165"/>
      <c r="H152" s="24"/>
      <c r="I152" s="24"/>
      <c r="K152" s="24"/>
      <c r="L152" s="24"/>
      <c r="N152" s="24"/>
      <c r="O152" s="24"/>
      <c r="Q152" s="24"/>
      <c r="R152" s="165"/>
      <c r="S152" s="24"/>
      <c r="T152" s="24"/>
      <c r="U152" s="24"/>
      <c r="W152" s="24"/>
      <c r="X152" s="24"/>
    </row>
    <row r="153" ht="15.75" customHeight="1">
      <c r="F153" s="165"/>
      <c r="H153" s="24"/>
      <c r="I153" s="24"/>
      <c r="K153" s="24"/>
      <c r="L153" s="24"/>
      <c r="N153" s="24"/>
      <c r="O153" s="24"/>
      <c r="Q153" s="24"/>
      <c r="R153" s="165"/>
      <c r="S153" s="24"/>
      <c r="T153" s="24"/>
      <c r="U153" s="24"/>
      <c r="W153" s="24"/>
      <c r="X153" s="24"/>
    </row>
    <row r="154" ht="15.75" customHeight="1">
      <c r="F154" s="165"/>
      <c r="H154" s="24"/>
      <c r="I154" s="24"/>
      <c r="K154" s="24"/>
      <c r="L154" s="24"/>
      <c r="N154" s="24"/>
      <c r="O154" s="24"/>
      <c r="Q154" s="24"/>
      <c r="R154" s="165"/>
      <c r="S154" s="24"/>
      <c r="T154" s="24"/>
      <c r="U154" s="24"/>
      <c r="W154" s="24"/>
      <c r="X154" s="24"/>
    </row>
    <row r="155" ht="15.75" customHeight="1">
      <c r="F155" s="165"/>
      <c r="H155" s="24"/>
      <c r="I155" s="24"/>
      <c r="K155" s="24"/>
      <c r="L155" s="24"/>
      <c r="N155" s="24"/>
      <c r="O155" s="24"/>
      <c r="Q155" s="24"/>
      <c r="R155" s="165"/>
      <c r="S155" s="24"/>
      <c r="T155" s="24"/>
      <c r="U155" s="24"/>
      <c r="W155" s="24"/>
      <c r="X155" s="24"/>
    </row>
    <row r="156" ht="15.75" customHeight="1">
      <c r="F156" s="165"/>
      <c r="H156" s="24"/>
      <c r="I156" s="24"/>
      <c r="K156" s="24"/>
      <c r="L156" s="24"/>
      <c r="N156" s="24"/>
      <c r="O156" s="24"/>
      <c r="Q156" s="24"/>
      <c r="R156" s="165"/>
      <c r="S156" s="24"/>
      <c r="T156" s="24"/>
      <c r="U156" s="24"/>
      <c r="W156" s="24"/>
      <c r="X156" s="24"/>
    </row>
    <row r="157" ht="15.75" customHeight="1">
      <c r="F157" s="165"/>
      <c r="H157" s="24"/>
      <c r="I157" s="24"/>
      <c r="K157" s="24"/>
      <c r="L157" s="24"/>
      <c r="N157" s="24"/>
      <c r="O157" s="24"/>
      <c r="Q157" s="24"/>
      <c r="R157" s="165"/>
      <c r="S157" s="24"/>
      <c r="T157" s="24"/>
      <c r="U157" s="24"/>
      <c r="W157" s="24"/>
      <c r="X157" s="24"/>
    </row>
    <row r="158" ht="15.75" customHeight="1">
      <c r="F158" s="165"/>
      <c r="H158" s="24"/>
      <c r="I158" s="24"/>
      <c r="K158" s="24"/>
      <c r="L158" s="24"/>
      <c r="N158" s="24"/>
      <c r="O158" s="24"/>
      <c r="Q158" s="24"/>
      <c r="R158" s="165"/>
      <c r="S158" s="24"/>
      <c r="T158" s="24"/>
      <c r="U158" s="24"/>
      <c r="W158" s="24"/>
      <c r="X158" s="24"/>
    </row>
    <row r="159" ht="15.75" customHeight="1">
      <c r="F159" s="165"/>
      <c r="H159" s="24"/>
      <c r="I159" s="24"/>
      <c r="K159" s="24"/>
      <c r="L159" s="24"/>
      <c r="N159" s="24"/>
      <c r="O159" s="24"/>
      <c r="Q159" s="24"/>
      <c r="R159" s="165"/>
      <c r="S159" s="24"/>
      <c r="T159" s="24"/>
      <c r="U159" s="24"/>
      <c r="W159" s="24"/>
      <c r="X159" s="24"/>
    </row>
    <row r="160" ht="15.75" customHeight="1">
      <c r="F160" s="165"/>
      <c r="H160" s="24"/>
      <c r="I160" s="24"/>
      <c r="K160" s="24"/>
      <c r="L160" s="24"/>
      <c r="N160" s="24"/>
      <c r="O160" s="24"/>
      <c r="Q160" s="24"/>
      <c r="R160" s="165"/>
      <c r="S160" s="24"/>
      <c r="T160" s="24"/>
      <c r="U160" s="24"/>
      <c r="W160" s="24"/>
      <c r="X160" s="24"/>
    </row>
    <row r="161" ht="15.75" customHeight="1">
      <c r="F161" s="165"/>
      <c r="H161" s="24"/>
      <c r="I161" s="24"/>
      <c r="K161" s="24"/>
      <c r="L161" s="24"/>
      <c r="N161" s="24"/>
      <c r="O161" s="24"/>
      <c r="Q161" s="24"/>
      <c r="R161" s="165"/>
      <c r="S161" s="24"/>
      <c r="T161" s="24"/>
      <c r="U161" s="24"/>
      <c r="W161" s="24"/>
      <c r="X161" s="24"/>
    </row>
    <row r="162" ht="15.75" customHeight="1">
      <c r="F162" s="165"/>
      <c r="H162" s="24"/>
      <c r="I162" s="24"/>
      <c r="K162" s="24"/>
      <c r="L162" s="24"/>
      <c r="N162" s="24"/>
      <c r="O162" s="24"/>
      <c r="Q162" s="24"/>
      <c r="R162" s="165"/>
      <c r="S162" s="24"/>
      <c r="T162" s="24"/>
      <c r="U162" s="24"/>
      <c r="W162" s="24"/>
      <c r="X162" s="24"/>
    </row>
    <row r="163" ht="15.75" customHeight="1">
      <c r="F163" s="165"/>
      <c r="H163" s="24"/>
      <c r="I163" s="24"/>
      <c r="K163" s="24"/>
      <c r="L163" s="24"/>
      <c r="N163" s="24"/>
      <c r="O163" s="24"/>
      <c r="Q163" s="24"/>
      <c r="R163" s="165"/>
      <c r="S163" s="24"/>
      <c r="T163" s="24"/>
      <c r="U163" s="24"/>
      <c r="W163" s="24"/>
      <c r="X163" s="24"/>
    </row>
    <row r="164" ht="15.75" customHeight="1">
      <c r="F164" s="165"/>
      <c r="H164" s="24"/>
      <c r="I164" s="24"/>
      <c r="K164" s="24"/>
      <c r="L164" s="24"/>
      <c r="N164" s="24"/>
      <c r="O164" s="24"/>
      <c r="Q164" s="24"/>
      <c r="R164" s="165"/>
      <c r="S164" s="24"/>
      <c r="T164" s="24"/>
      <c r="U164" s="24"/>
      <c r="W164" s="24"/>
      <c r="X164" s="24"/>
    </row>
    <row r="165" ht="15.75" customHeight="1">
      <c r="F165" s="165"/>
      <c r="H165" s="24"/>
      <c r="I165" s="24"/>
      <c r="K165" s="24"/>
      <c r="L165" s="24"/>
      <c r="N165" s="24"/>
      <c r="O165" s="24"/>
      <c r="Q165" s="24"/>
      <c r="R165" s="165"/>
      <c r="S165" s="24"/>
      <c r="T165" s="24"/>
      <c r="U165" s="24"/>
      <c r="W165" s="24"/>
      <c r="X165" s="24"/>
    </row>
    <row r="166" ht="15.75" customHeight="1">
      <c r="F166" s="165"/>
      <c r="H166" s="24"/>
      <c r="I166" s="24"/>
      <c r="K166" s="24"/>
      <c r="L166" s="24"/>
      <c r="N166" s="24"/>
      <c r="O166" s="24"/>
      <c r="Q166" s="24"/>
      <c r="R166" s="165"/>
      <c r="S166" s="24"/>
      <c r="T166" s="24"/>
      <c r="U166" s="24"/>
      <c r="W166" s="24"/>
      <c r="X166" s="24"/>
    </row>
    <row r="167" ht="15.75" customHeight="1">
      <c r="F167" s="165"/>
      <c r="H167" s="24"/>
      <c r="I167" s="24"/>
      <c r="K167" s="24"/>
      <c r="L167" s="24"/>
      <c r="N167" s="24"/>
      <c r="O167" s="24"/>
      <c r="Q167" s="24"/>
      <c r="R167" s="165"/>
      <c r="S167" s="24"/>
      <c r="T167" s="24"/>
      <c r="U167" s="24"/>
      <c r="W167" s="24"/>
      <c r="X167" s="24"/>
    </row>
    <row r="168" ht="15.75" customHeight="1">
      <c r="F168" s="165"/>
      <c r="H168" s="24"/>
      <c r="I168" s="24"/>
      <c r="K168" s="24"/>
      <c r="L168" s="24"/>
      <c r="N168" s="24"/>
      <c r="O168" s="24"/>
      <c r="Q168" s="24"/>
      <c r="R168" s="165"/>
      <c r="S168" s="24"/>
      <c r="T168" s="24"/>
      <c r="U168" s="24"/>
      <c r="W168" s="24"/>
      <c r="X168" s="24"/>
    </row>
    <row r="169" ht="15.75" customHeight="1">
      <c r="F169" s="165"/>
      <c r="H169" s="24"/>
      <c r="I169" s="24"/>
      <c r="K169" s="24"/>
      <c r="L169" s="24"/>
      <c r="N169" s="24"/>
      <c r="O169" s="24"/>
      <c r="Q169" s="24"/>
      <c r="R169" s="165"/>
      <c r="S169" s="24"/>
      <c r="T169" s="24"/>
      <c r="U169" s="24"/>
      <c r="W169" s="24"/>
      <c r="X169" s="24"/>
    </row>
    <row r="170" ht="15.75" customHeight="1">
      <c r="F170" s="165"/>
      <c r="H170" s="24"/>
      <c r="I170" s="24"/>
      <c r="K170" s="24"/>
      <c r="L170" s="24"/>
      <c r="N170" s="24"/>
      <c r="O170" s="24"/>
      <c r="Q170" s="24"/>
      <c r="R170" s="165"/>
      <c r="S170" s="24"/>
      <c r="T170" s="24"/>
      <c r="U170" s="24"/>
      <c r="W170" s="24"/>
      <c r="X170" s="24"/>
    </row>
    <row r="171" ht="15.75" customHeight="1">
      <c r="F171" s="165"/>
      <c r="H171" s="24"/>
      <c r="I171" s="24"/>
      <c r="K171" s="24"/>
      <c r="L171" s="24"/>
      <c r="N171" s="24"/>
      <c r="O171" s="24"/>
      <c r="Q171" s="24"/>
      <c r="R171" s="165"/>
      <c r="S171" s="24"/>
      <c r="T171" s="24"/>
      <c r="U171" s="24"/>
      <c r="W171" s="24"/>
      <c r="X171" s="24"/>
    </row>
    <row r="172" ht="15.75" customHeight="1">
      <c r="F172" s="165"/>
      <c r="H172" s="24"/>
      <c r="I172" s="24"/>
      <c r="K172" s="24"/>
      <c r="L172" s="24"/>
      <c r="N172" s="24"/>
      <c r="O172" s="24"/>
      <c r="Q172" s="24"/>
      <c r="R172" s="165"/>
      <c r="S172" s="24"/>
      <c r="T172" s="24"/>
      <c r="U172" s="24"/>
      <c r="W172" s="24"/>
      <c r="X172" s="24"/>
    </row>
    <row r="173" ht="15.75" customHeight="1">
      <c r="F173" s="165"/>
      <c r="H173" s="24"/>
      <c r="I173" s="24"/>
      <c r="K173" s="24"/>
      <c r="L173" s="24"/>
      <c r="N173" s="24"/>
      <c r="O173" s="24"/>
      <c r="Q173" s="24"/>
      <c r="R173" s="165"/>
      <c r="S173" s="24"/>
      <c r="T173" s="24"/>
      <c r="U173" s="24"/>
      <c r="W173" s="24"/>
      <c r="X173" s="24"/>
    </row>
    <row r="174" ht="15.75" customHeight="1">
      <c r="F174" s="165"/>
      <c r="H174" s="24"/>
      <c r="I174" s="24"/>
      <c r="K174" s="24"/>
      <c r="L174" s="24"/>
      <c r="N174" s="24"/>
      <c r="O174" s="24"/>
      <c r="Q174" s="24"/>
      <c r="R174" s="165"/>
      <c r="S174" s="24"/>
      <c r="T174" s="24"/>
      <c r="U174" s="24"/>
      <c r="W174" s="24"/>
      <c r="X174" s="24"/>
    </row>
    <row r="175" ht="15.75" customHeight="1">
      <c r="F175" s="165"/>
      <c r="H175" s="24"/>
      <c r="I175" s="24"/>
      <c r="K175" s="24"/>
      <c r="L175" s="24"/>
      <c r="N175" s="24"/>
      <c r="O175" s="24"/>
      <c r="Q175" s="24"/>
      <c r="R175" s="165"/>
      <c r="S175" s="24"/>
      <c r="T175" s="24"/>
      <c r="U175" s="24"/>
      <c r="W175" s="24"/>
      <c r="X175" s="24"/>
    </row>
    <row r="176" ht="15.75" customHeight="1">
      <c r="F176" s="165"/>
      <c r="H176" s="24"/>
      <c r="I176" s="24"/>
      <c r="K176" s="24"/>
      <c r="L176" s="24"/>
      <c r="N176" s="24"/>
      <c r="O176" s="24"/>
      <c r="Q176" s="24"/>
      <c r="R176" s="165"/>
      <c r="S176" s="24"/>
      <c r="T176" s="24"/>
      <c r="U176" s="24"/>
      <c r="W176" s="24"/>
      <c r="X176" s="24"/>
    </row>
    <row r="177" ht="15.75" customHeight="1">
      <c r="F177" s="165"/>
      <c r="H177" s="24"/>
      <c r="I177" s="24"/>
      <c r="K177" s="24"/>
      <c r="L177" s="24"/>
      <c r="N177" s="24"/>
      <c r="O177" s="24"/>
      <c r="Q177" s="24"/>
      <c r="R177" s="165"/>
      <c r="S177" s="24"/>
      <c r="T177" s="24"/>
      <c r="U177" s="24"/>
      <c r="W177" s="24"/>
      <c r="X177" s="24"/>
    </row>
    <row r="178" ht="15.75" customHeight="1">
      <c r="F178" s="165"/>
      <c r="H178" s="24"/>
      <c r="I178" s="24"/>
      <c r="K178" s="24"/>
      <c r="L178" s="24"/>
      <c r="N178" s="24"/>
      <c r="O178" s="24"/>
      <c r="Q178" s="24"/>
      <c r="R178" s="165"/>
      <c r="S178" s="24"/>
      <c r="T178" s="24"/>
      <c r="U178" s="24"/>
      <c r="W178" s="24"/>
      <c r="X178" s="24"/>
    </row>
    <row r="179" ht="15.75" customHeight="1">
      <c r="F179" s="165"/>
      <c r="H179" s="24"/>
      <c r="I179" s="24"/>
      <c r="K179" s="24"/>
      <c r="L179" s="24"/>
      <c r="N179" s="24"/>
      <c r="O179" s="24"/>
      <c r="Q179" s="24"/>
      <c r="R179" s="165"/>
      <c r="S179" s="24"/>
      <c r="T179" s="24"/>
      <c r="U179" s="24"/>
      <c r="W179" s="24"/>
      <c r="X179" s="24"/>
    </row>
    <row r="180" ht="15.75" customHeight="1">
      <c r="F180" s="165"/>
      <c r="H180" s="24"/>
      <c r="I180" s="24"/>
      <c r="K180" s="24"/>
      <c r="L180" s="24"/>
      <c r="N180" s="24"/>
      <c r="O180" s="24"/>
      <c r="Q180" s="24"/>
      <c r="R180" s="165"/>
      <c r="S180" s="24"/>
      <c r="T180" s="24"/>
      <c r="U180" s="24"/>
      <c r="W180" s="24"/>
      <c r="X180" s="24"/>
    </row>
    <row r="181" ht="15.75" customHeight="1">
      <c r="F181" s="165"/>
      <c r="H181" s="24"/>
      <c r="I181" s="24"/>
      <c r="K181" s="24"/>
      <c r="L181" s="24"/>
      <c r="N181" s="24"/>
      <c r="O181" s="24"/>
      <c r="Q181" s="24"/>
      <c r="R181" s="165"/>
      <c r="S181" s="24"/>
      <c r="T181" s="24"/>
      <c r="U181" s="24"/>
      <c r="W181" s="24"/>
      <c r="X181" s="24"/>
    </row>
    <row r="182" ht="15.75" customHeight="1">
      <c r="F182" s="165"/>
      <c r="H182" s="24"/>
      <c r="I182" s="24"/>
      <c r="K182" s="24"/>
      <c r="L182" s="24"/>
      <c r="N182" s="24"/>
      <c r="O182" s="24"/>
      <c r="Q182" s="24"/>
      <c r="R182" s="165"/>
      <c r="S182" s="24"/>
      <c r="T182" s="24"/>
      <c r="U182" s="24"/>
      <c r="W182" s="24"/>
      <c r="X182" s="24"/>
    </row>
    <row r="183" ht="15.75" customHeight="1">
      <c r="F183" s="165"/>
      <c r="H183" s="24"/>
      <c r="I183" s="24"/>
      <c r="K183" s="24"/>
      <c r="L183" s="24"/>
      <c r="N183" s="24"/>
      <c r="O183" s="24"/>
      <c r="Q183" s="24"/>
      <c r="R183" s="165"/>
      <c r="S183" s="24"/>
      <c r="T183" s="24"/>
      <c r="U183" s="24"/>
      <c r="W183" s="24"/>
      <c r="X183" s="24"/>
    </row>
    <row r="184" ht="15.75" customHeight="1">
      <c r="F184" s="165"/>
      <c r="H184" s="24"/>
      <c r="I184" s="24"/>
      <c r="K184" s="24"/>
      <c r="L184" s="24"/>
      <c r="N184" s="24"/>
      <c r="O184" s="24"/>
      <c r="Q184" s="24"/>
      <c r="R184" s="165"/>
      <c r="S184" s="24"/>
      <c r="T184" s="24"/>
      <c r="U184" s="24"/>
      <c r="W184" s="24"/>
      <c r="X184" s="24"/>
    </row>
    <row r="185" ht="15.75" customHeight="1">
      <c r="F185" s="165"/>
      <c r="H185" s="24"/>
      <c r="I185" s="24"/>
      <c r="K185" s="24"/>
      <c r="L185" s="24"/>
      <c r="N185" s="24"/>
      <c r="O185" s="24"/>
      <c r="Q185" s="24"/>
      <c r="R185" s="165"/>
      <c r="S185" s="24"/>
      <c r="T185" s="24"/>
      <c r="U185" s="24"/>
      <c r="W185" s="24"/>
      <c r="X185" s="24"/>
    </row>
    <row r="186" ht="15.75" customHeight="1">
      <c r="F186" s="165"/>
      <c r="H186" s="24"/>
      <c r="I186" s="24"/>
      <c r="K186" s="24"/>
      <c r="L186" s="24"/>
      <c r="N186" s="24"/>
      <c r="O186" s="24"/>
      <c r="Q186" s="24"/>
      <c r="R186" s="165"/>
      <c r="S186" s="24"/>
      <c r="T186" s="24"/>
      <c r="U186" s="24"/>
      <c r="W186" s="24"/>
      <c r="X186" s="24"/>
    </row>
    <row r="187" ht="15.75" customHeight="1">
      <c r="F187" s="165"/>
      <c r="H187" s="24"/>
      <c r="I187" s="24"/>
      <c r="K187" s="24"/>
      <c r="L187" s="24"/>
      <c r="N187" s="24"/>
      <c r="O187" s="24"/>
      <c r="Q187" s="24"/>
      <c r="R187" s="165"/>
      <c r="S187" s="24"/>
      <c r="T187" s="24"/>
      <c r="U187" s="24"/>
      <c r="W187" s="24"/>
      <c r="X187" s="24"/>
    </row>
    <row r="188" ht="15.75" customHeight="1">
      <c r="F188" s="165"/>
      <c r="H188" s="24"/>
      <c r="I188" s="24"/>
      <c r="K188" s="24"/>
      <c r="L188" s="24"/>
      <c r="N188" s="24"/>
      <c r="O188" s="24"/>
      <c r="Q188" s="24"/>
      <c r="R188" s="165"/>
      <c r="S188" s="24"/>
      <c r="T188" s="24"/>
      <c r="U188" s="24"/>
      <c r="W188" s="24"/>
      <c r="X188" s="24"/>
    </row>
    <row r="189" ht="15.75" customHeight="1">
      <c r="F189" s="165"/>
      <c r="H189" s="24"/>
      <c r="I189" s="24"/>
      <c r="K189" s="24"/>
      <c r="L189" s="24"/>
      <c r="N189" s="24"/>
      <c r="O189" s="24"/>
      <c r="Q189" s="24"/>
      <c r="R189" s="165"/>
      <c r="S189" s="24"/>
      <c r="T189" s="24"/>
      <c r="U189" s="24"/>
      <c r="W189" s="24"/>
      <c r="X189" s="24"/>
    </row>
    <row r="190" ht="15.75" customHeight="1">
      <c r="F190" s="165"/>
      <c r="H190" s="24"/>
      <c r="I190" s="24"/>
      <c r="K190" s="24"/>
      <c r="L190" s="24"/>
      <c r="N190" s="24"/>
      <c r="O190" s="24"/>
      <c r="Q190" s="24"/>
      <c r="R190" s="165"/>
      <c r="S190" s="24"/>
      <c r="T190" s="24"/>
      <c r="U190" s="24"/>
      <c r="W190" s="24"/>
      <c r="X190" s="24"/>
    </row>
    <row r="191" ht="15.75" customHeight="1">
      <c r="F191" s="165"/>
      <c r="H191" s="24"/>
      <c r="I191" s="24"/>
      <c r="K191" s="24"/>
      <c r="L191" s="24"/>
      <c r="N191" s="24"/>
      <c r="O191" s="24"/>
      <c r="Q191" s="24"/>
      <c r="R191" s="165"/>
      <c r="S191" s="24"/>
      <c r="T191" s="24"/>
      <c r="U191" s="24"/>
      <c r="W191" s="24"/>
      <c r="X191" s="24"/>
    </row>
    <row r="192" ht="15.75" customHeight="1">
      <c r="F192" s="165"/>
      <c r="H192" s="24"/>
      <c r="I192" s="24"/>
      <c r="K192" s="24"/>
      <c r="L192" s="24"/>
      <c r="N192" s="24"/>
      <c r="O192" s="24"/>
      <c r="Q192" s="24"/>
      <c r="R192" s="165"/>
      <c r="S192" s="24"/>
      <c r="T192" s="24"/>
      <c r="U192" s="24"/>
      <c r="W192" s="24"/>
      <c r="X192" s="24"/>
    </row>
    <row r="193" ht="15.75" customHeight="1">
      <c r="F193" s="165"/>
      <c r="H193" s="24"/>
      <c r="I193" s="24"/>
      <c r="K193" s="24"/>
      <c r="L193" s="24"/>
      <c r="N193" s="24"/>
      <c r="O193" s="24"/>
      <c r="Q193" s="24"/>
      <c r="R193" s="165"/>
      <c r="S193" s="24"/>
      <c r="T193" s="24"/>
      <c r="U193" s="24"/>
      <c r="W193" s="24"/>
      <c r="X193" s="24"/>
    </row>
    <row r="194" ht="15.75" customHeight="1">
      <c r="F194" s="165"/>
      <c r="H194" s="24"/>
      <c r="I194" s="24"/>
      <c r="K194" s="24"/>
      <c r="L194" s="24"/>
      <c r="N194" s="24"/>
      <c r="O194" s="24"/>
      <c r="Q194" s="24"/>
      <c r="R194" s="165"/>
      <c r="S194" s="24"/>
      <c r="T194" s="24"/>
      <c r="U194" s="24"/>
      <c r="W194" s="24"/>
      <c r="X194" s="24"/>
    </row>
    <row r="195" ht="15.75" customHeight="1">
      <c r="F195" s="165"/>
      <c r="H195" s="24"/>
      <c r="I195" s="24"/>
      <c r="K195" s="24"/>
      <c r="L195" s="24"/>
      <c r="N195" s="24"/>
      <c r="O195" s="24"/>
      <c r="Q195" s="24"/>
      <c r="R195" s="165"/>
      <c r="S195" s="24"/>
      <c r="T195" s="24"/>
      <c r="U195" s="24"/>
      <c r="W195" s="24"/>
      <c r="X195" s="24"/>
    </row>
    <row r="196" ht="15.75" customHeight="1">
      <c r="F196" s="165"/>
      <c r="H196" s="24"/>
      <c r="I196" s="24"/>
      <c r="K196" s="24"/>
      <c r="L196" s="24"/>
      <c r="N196" s="24"/>
      <c r="O196" s="24"/>
      <c r="Q196" s="24"/>
      <c r="R196" s="165"/>
      <c r="S196" s="24"/>
      <c r="T196" s="24"/>
      <c r="U196" s="24"/>
      <c r="W196" s="24"/>
      <c r="X196" s="24"/>
    </row>
    <row r="197" ht="15.75" customHeight="1">
      <c r="F197" s="165"/>
      <c r="H197" s="24"/>
      <c r="I197" s="24"/>
      <c r="K197" s="24"/>
      <c r="L197" s="24"/>
      <c r="N197" s="24"/>
      <c r="O197" s="24"/>
      <c r="Q197" s="24"/>
      <c r="R197" s="165"/>
      <c r="S197" s="24"/>
      <c r="T197" s="24"/>
      <c r="U197" s="24"/>
      <c r="W197" s="24"/>
      <c r="X197" s="24"/>
    </row>
    <row r="198" ht="15.75" customHeight="1">
      <c r="F198" s="165"/>
      <c r="H198" s="24"/>
      <c r="I198" s="24"/>
      <c r="K198" s="24"/>
      <c r="L198" s="24"/>
      <c r="N198" s="24"/>
      <c r="O198" s="24"/>
      <c r="Q198" s="24"/>
      <c r="R198" s="165"/>
      <c r="S198" s="24"/>
      <c r="T198" s="24"/>
      <c r="U198" s="24"/>
      <c r="W198" s="24"/>
      <c r="X198" s="24"/>
    </row>
    <row r="199" ht="15.75" customHeight="1">
      <c r="F199" s="165"/>
      <c r="H199" s="24"/>
      <c r="I199" s="24"/>
      <c r="K199" s="24"/>
      <c r="L199" s="24"/>
      <c r="N199" s="24"/>
      <c r="O199" s="24"/>
      <c r="Q199" s="24"/>
      <c r="R199" s="165"/>
      <c r="S199" s="24"/>
      <c r="T199" s="24"/>
      <c r="U199" s="24"/>
      <c r="W199" s="24"/>
      <c r="X199" s="24"/>
    </row>
    <row r="200" ht="15.75" customHeight="1">
      <c r="F200" s="165"/>
      <c r="H200" s="24"/>
      <c r="I200" s="24"/>
      <c r="K200" s="24"/>
      <c r="L200" s="24"/>
      <c r="N200" s="24"/>
      <c r="O200" s="24"/>
      <c r="Q200" s="24"/>
      <c r="R200" s="165"/>
      <c r="S200" s="24"/>
      <c r="T200" s="24"/>
      <c r="U200" s="24"/>
      <c r="W200" s="24"/>
      <c r="X200" s="24"/>
    </row>
    <row r="201" ht="15.75" customHeight="1">
      <c r="F201" s="165"/>
      <c r="H201" s="24"/>
      <c r="I201" s="24"/>
      <c r="K201" s="24"/>
      <c r="L201" s="24"/>
      <c r="N201" s="24"/>
      <c r="O201" s="24"/>
      <c r="Q201" s="24"/>
      <c r="R201" s="165"/>
      <c r="S201" s="24"/>
      <c r="T201" s="24"/>
      <c r="U201" s="24"/>
      <c r="W201" s="24"/>
      <c r="X201" s="24"/>
    </row>
    <row r="202" ht="15.75" customHeight="1">
      <c r="F202" s="165"/>
      <c r="H202" s="24"/>
      <c r="I202" s="24"/>
      <c r="K202" s="24"/>
      <c r="L202" s="24"/>
      <c r="N202" s="24"/>
      <c r="O202" s="24"/>
      <c r="Q202" s="24"/>
      <c r="R202" s="165"/>
      <c r="S202" s="24"/>
      <c r="T202" s="24"/>
      <c r="U202" s="24"/>
      <c r="W202" s="24"/>
      <c r="X202" s="24"/>
    </row>
    <row r="203" ht="15.75" customHeight="1">
      <c r="F203" s="165"/>
      <c r="H203" s="24"/>
      <c r="I203" s="24"/>
      <c r="K203" s="24"/>
      <c r="L203" s="24"/>
      <c r="N203" s="24"/>
      <c r="O203" s="24"/>
      <c r="Q203" s="24"/>
      <c r="R203" s="165"/>
      <c r="S203" s="24"/>
      <c r="T203" s="24"/>
      <c r="U203" s="24"/>
      <c r="W203" s="24"/>
      <c r="X203" s="24"/>
    </row>
    <row r="204" ht="15.75" customHeight="1">
      <c r="F204" s="165"/>
      <c r="H204" s="24"/>
      <c r="I204" s="24"/>
      <c r="K204" s="24"/>
      <c r="L204" s="24"/>
      <c r="N204" s="24"/>
      <c r="O204" s="24"/>
      <c r="Q204" s="24"/>
      <c r="R204" s="165"/>
      <c r="S204" s="24"/>
      <c r="T204" s="24"/>
      <c r="U204" s="24"/>
      <c r="W204" s="24"/>
      <c r="X204" s="24"/>
    </row>
    <row r="205" ht="15.75" customHeight="1">
      <c r="F205" s="165"/>
      <c r="H205" s="24"/>
      <c r="I205" s="24"/>
      <c r="K205" s="24"/>
      <c r="L205" s="24"/>
      <c r="N205" s="24"/>
      <c r="O205" s="24"/>
      <c r="Q205" s="24"/>
      <c r="R205" s="165"/>
      <c r="S205" s="24"/>
      <c r="T205" s="24"/>
      <c r="U205" s="24"/>
      <c r="W205" s="24"/>
      <c r="X205" s="24"/>
    </row>
    <row r="206" ht="15.75" customHeight="1">
      <c r="F206" s="165"/>
      <c r="H206" s="24"/>
      <c r="I206" s="24"/>
      <c r="K206" s="24"/>
      <c r="L206" s="24"/>
      <c r="N206" s="24"/>
      <c r="O206" s="24"/>
      <c r="Q206" s="24"/>
      <c r="R206" s="165"/>
      <c r="S206" s="24"/>
      <c r="T206" s="24"/>
      <c r="U206" s="24"/>
      <c r="W206" s="24"/>
      <c r="X206" s="24"/>
    </row>
    <row r="207" ht="15.75" customHeight="1">
      <c r="F207" s="165"/>
      <c r="H207" s="24"/>
      <c r="I207" s="24"/>
      <c r="K207" s="24"/>
      <c r="L207" s="24"/>
      <c r="N207" s="24"/>
      <c r="O207" s="24"/>
      <c r="Q207" s="24"/>
      <c r="R207" s="165"/>
      <c r="S207" s="24"/>
      <c r="T207" s="24"/>
      <c r="U207" s="24"/>
      <c r="W207" s="24"/>
      <c r="X207" s="24"/>
    </row>
    <row r="208" ht="15.75" customHeight="1">
      <c r="F208" s="165"/>
      <c r="H208" s="24"/>
      <c r="I208" s="24"/>
      <c r="K208" s="24"/>
      <c r="L208" s="24"/>
      <c r="N208" s="24"/>
      <c r="O208" s="24"/>
      <c r="Q208" s="24"/>
      <c r="R208" s="165"/>
      <c r="S208" s="24"/>
      <c r="T208" s="24"/>
      <c r="U208" s="24"/>
      <c r="W208" s="24"/>
      <c r="X208" s="24"/>
    </row>
    <row r="209" ht="15.75" customHeight="1">
      <c r="F209" s="165"/>
      <c r="H209" s="24"/>
      <c r="I209" s="24"/>
      <c r="K209" s="24"/>
      <c r="L209" s="24"/>
      <c r="N209" s="24"/>
      <c r="O209" s="24"/>
      <c r="Q209" s="24"/>
      <c r="R209" s="165"/>
      <c r="S209" s="24"/>
      <c r="T209" s="24"/>
      <c r="U209" s="24"/>
      <c r="W209" s="24"/>
      <c r="X209" s="24"/>
    </row>
    <row r="210" ht="15.75" customHeight="1">
      <c r="F210" s="165"/>
      <c r="H210" s="24"/>
      <c r="I210" s="24"/>
      <c r="K210" s="24"/>
      <c r="L210" s="24"/>
      <c r="N210" s="24"/>
      <c r="O210" s="24"/>
      <c r="Q210" s="24"/>
      <c r="R210" s="165"/>
      <c r="S210" s="24"/>
      <c r="T210" s="24"/>
      <c r="U210" s="24"/>
      <c r="W210" s="24"/>
      <c r="X210" s="24"/>
    </row>
    <row r="211" ht="15.75" customHeight="1">
      <c r="F211" s="165"/>
      <c r="H211" s="24"/>
      <c r="I211" s="24"/>
      <c r="K211" s="24"/>
      <c r="L211" s="24"/>
      <c r="N211" s="24"/>
      <c r="O211" s="24"/>
      <c r="Q211" s="24"/>
      <c r="R211" s="165"/>
      <c r="S211" s="24"/>
      <c r="T211" s="24"/>
      <c r="U211" s="24"/>
      <c r="W211" s="24"/>
      <c r="X211" s="24"/>
    </row>
    <row r="212" ht="15.75" customHeight="1">
      <c r="F212" s="165"/>
      <c r="H212" s="24"/>
      <c r="I212" s="24"/>
      <c r="K212" s="24"/>
      <c r="L212" s="24"/>
      <c r="N212" s="24"/>
      <c r="O212" s="24"/>
      <c r="Q212" s="24"/>
      <c r="R212" s="165"/>
      <c r="S212" s="24"/>
      <c r="T212" s="24"/>
      <c r="U212" s="24"/>
      <c r="W212" s="24"/>
      <c r="X212" s="24"/>
    </row>
    <row r="213" ht="15.75" customHeight="1">
      <c r="F213" s="165"/>
      <c r="H213" s="24"/>
      <c r="I213" s="24"/>
      <c r="K213" s="24"/>
      <c r="L213" s="24"/>
      <c r="N213" s="24"/>
      <c r="O213" s="24"/>
      <c r="Q213" s="24"/>
      <c r="R213" s="165"/>
      <c r="S213" s="24"/>
      <c r="T213" s="24"/>
      <c r="U213" s="24"/>
      <c r="W213" s="24"/>
      <c r="X213" s="24"/>
    </row>
    <row r="214" ht="15.75" customHeight="1">
      <c r="F214" s="165"/>
      <c r="H214" s="24"/>
      <c r="I214" s="24"/>
      <c r="K214" s="24"/>
      <c r="L214" s="24"/>
      <c r="N214" s="24"/>
      <c r="O214" s="24"/>
      <c r="Q214" s="24"/>
      <c r="R214" s="165"/>
      <c r="S214" s="24"/>
      <c r="T214" s="24"/>
      <c r="U214" s="24"/>
      <c r="W214" s="24"/>
      <c r="X214" s="24"/>
    </row>
    <row r="215" ht="15.75" customHeight="1">
      <c r="F215" s="165"/>
      <c r="H215" s="24"/>
      <c r="I215" s="24"/>
      <c r="K215" s="24"/>
      <c r="L215" s="24"/>
      <c r="N215" s="24"/>
      <c r="O215" s="24"/>
      <c r="Q215" s="24"/>
      <c r="R215" s="165"/>
      <c r="S215" s="24"/>
      <c r="T215" s="24"/>
      <c r="U215" s="24"/>
      <c r="W215" s="24"/>
      <c r="X215" s="24"/>
    </row>
    <row r="216" ht="15.75" customHeight="1">
      <c r="F216" s="165"/>
      <c r="H216" s="24"/>
      <c r="I216" s="24"/>
      <c r="K216" s="24"/>
      <c r="L216" s="24"/>
      <c r="N216" s="24"/>
      <c r="O216" s="24"/>
      <c r="Q216" s="24"/>
      <c r="R216" s="165"/>
      <c r="S216" s="24"/>
      <c r="T216" s="24"/>
      <c r="U216" s="24"/>
      <c r="W216" s="24"/>
      <c r="X216" s="24"/>
    </row>
    <row r="217" ht="15.75" customHeight="1">
      <c r="F217" s="165"/>
      <c r="H217" s="24"/>
      <c r="I217" s="24"/>
      <c r="K217" s="24"/>
      <c r="L217" s="24"/>
      <c r="N217" s="24"/>
      <c r="O217" s="24"/>
      <c r="Q217" s="24"/>
      <c r="R217" s="165"/>
      <c r="S217" s="24"/>
      <c r="T217" s="24"/>
      <c r="U217" s="24"/>
      <c r="W217" s="24"/>
      <c r="X217" s="24"/>
    </row>
    <row r="218" ht="15.75" customHeight="1">
      <c r="F218" s="165"/>
      <c r="H218" s="24"/>
      <c r="I218" s="24"/>
      <c r="K218" s="24"/>
      <c r="L218" s="24"/>
      <c r="N218" s="24"/>
      <c r="O218" s="24"/>
      <c r="Q218" s="24"/>
      <c r="R218" s="165"/>
      <c r="S218" s="24"/>
      <c r="T218" s="24"/>
      <c r="U218" s="24"/>
      <c r="W218" s="24"/>
      <c r="X218" s="24"/>
    </row>
    <row r="219" ht="15.75" customHeight="1">
      <c r="F219" s="165"/>
      <c r="H219" s="24"/>
      <c r="I219" s="24"/>
      <c r="K219" s="24"/>
      <c r="L219" s="24"/>
      <c r="N219" s="24"/>
      <c r="O219" s="24"/>
      <c r="Q219" s="24"/>
      <c r="R219" s="165"/>
      <c r="S219" s="24"/>
      <c r="T219" s="24"/>
      <c r="U219" s="24"/>
      <c r="W219" s="24"/>
      <c r="X219" s="24"/>
    </row>
    <row r="220" ht="15.75" customHeight="1">
      <c r="F220" s="165"/>
      <c r="H220" s="24"/>
      <c r="I220" s="24"/>
      <c r="K220" s="24"/>
      <c r="L220" s="24"/>
      <c r="N220" s="24"/>
      <c r="O220" s="24"/>
      <c r="Q220" s="24"/>
      <c r="R220" s="165"/>
      <c r="S220" s="24"/>
      <c r="T220" s="24"/>
      <c r="U220" s="24"/>
      <c r="W220" s="24"/>
      <c r="X220" s="24"/>
    </row>
    <row r="221" ht="15.75" customHeight="1">
      <c r="F221" s="165"/>
      <c r="H221" s="24"/>
      <c r="I221" s="24"/>
      <c r="K221" s="24"/>
      <c r="L221" s="24"/>
      <c r="N221" s="24"/>
      <c r="O221" s="24"/>
      <c r="Q221" s="24"/>
      <c r="R221" s="165"/>
      <c r="S221" s="24"/>
      <c r="T221" s="24"/>
      <c r="U221" s="24"/>
      <c r="W221" s="24"/>
      <c r="X221" s="24"/>
    </row>
    <row r="222" ht="15.75" customHeight="1">
      <c r="F222" s="165"/>
      <c r="H222" s="24"/>
      <c r="I222" s="24"/>
      <c r="K222" s="24"/>
      <c r="L222" s="24"/>
      <c r="N222" s="24"/>
      <c r="O222" s="24"/>
      <c r="Q222" s="24"/>
      <c r="R222" s="165"/>
      <c r="S222" s="24"/>
      <c r="T222" s="24"/>
      <c r="U222" s="24"/>
      <c r="W222" s="24"/>
      <c r="X222" s="24"/>
    </row>
    <row r="223" ht="15.75" customHeight="1">
      <c r="F223" s="165"/>
      <c r="H223" s="24"/>
      <c r="I223" s="24"/>
      <c r="K223" s="24"/>
      <c r="L223" s="24"/>
      <c r="N223" s="24"/>
      <c r="O223" s="24"/>
      <c r="Q223" s="24"/>
      <c r="R223" s="165"/>
      <c r="S223" s="24"/>
      <c r="T223" s="24"/>
      <c r="U223" s="24"/>
      <c r="W223" s="24"/>
      <c r="X223" s="24"/>
    </row>
    <row r="224" ht="15.75" customHeight="1">
      <c r="F224" s="165"/>
      <c r="H224" s="24"/>
      <c r="I224" s="24"/>
      <c r="K224" s="24"/>
      <c r="L224" s="24"/>
      <c r="N224" s="24"/>
      <c r="O224" s="24"/>
      <c r="Q224" s="24"/>
      <c r="R224" s="165"/>
      <c r="S224" s="24"/>
      <c r="T224" s="24"/>
      <c r="U224" s="24"/>
      <c r="W224" s="24"/>
      <c r="X224" s="24"/>
    </row>
    <row r="225" ht="15.75" customHeight="1">
      <c r="F225" s="165"/>
      <c r="H225" s="24"/>
      <c r="I225" s="24"/>
      <c r="K225" s="24"/>
      <c r="L225" s="24"/>
      <c r="N225" s="24"/>
      <c r="O225" s="24"/>
      <c r="Q225" s="24"/>
      <c r="R225" s="165"/>
      <c r="S225" s="24"/>
      <c r="T225" s="24"/>
      <c r="U225" s="24"/>
      <c r="W225" s="24"/>
      <c r="X225" s="24"/>
    </row>
    <row r="226" ht="15.75" customHeight="1">
      <c r="F226" s="165"/>
      <c r="H226" s="24"/>
      <c r="I226" s="24"/>
      <c r="K226" s="24"/>
      <c r="L226" s="24"/>
      <c r="N226" s="24"/>
      <c r="O226" s="24"/>
      <c r="Q226" s="24"/>
      <c r="R226" s="165"/>
      <c r="S226" s="24"/>
      <c r="T226" s="24"/>
      <c r="U226" s="24"/>
      <c r="W226" s="24"/>
      <c r="X226" s="24"/>
    </row>
    <row r="227" ht="15.75" customHeight="1">
      <c r="F227" s="165"/>
      <c r="H227" s="24"/>
      <c r="I227" s="24"/>
      <c r="K227" s="24"/>
      <c r="L227" s="24"/>
      <c r="N227" s="24"/>
      <c r="O227" s="24"/>
      <c r="Q227" s="24"/>
      <c r="R227" s="165"/>
      <c r="S227" s="24"/>
      <c r="T227" s="24"/>
      <c r="U227" s="24"/>
      <c r="W227" s="24"/>
      <c r="X227" s="24"/>
    </row>
    <row r="228" ht="15.75" customHeight="1">
      <c r="F228" s="165"/>
      <c r="H228" s="24"/>
      <c r="I228" s="24"/>
      <c r="K228" s="24"/>
      <c r="L228" s="24"/>
      <c r="N228" s="24"/>
      <c r="O228" s="24"/>
      <c r="Q228" s="24"/>
      <c r="R228" s="165"/>
      <c r="S228" s="24"/>
      <c r="T228" s="24"/>
      <c r="U228" s="24"/>
      <c r="W228" s="24"/>
      <c r="X228" s="24"/>
    </row>
    <row r="229" ht="15.75" customHeight="1">
      <c r="F229" s="165"/>
      <c r="H229" s="24"/>
      <c r="I229" s="24"/>
      <c r="K229" s="24"/>
      <c r="L229" s="24"/>
      <c r="N229" s="24"/>
      <c r="O229" s="24"/>
      <c r="Q229" s="24"/>
      <c r="R229" s="165"/>
      <c r="S229" s="24"/>
      <c r="T229" s="24"/>
      <c r="U229" s="24"/>
      <c r="W229" s="24"/>
      <c r="X229" s="24"/>
    </row>
    <row r="230" ht="15.75" customHeight="1">
      <c r="F230" s="165"/>
      <c r="H230" s="24"/>
      <c r="I230" s="24"/>
      <c r="K230" s="24"/>
      <c r="L230" s="24"/>
      <c r="N230" s="24"/>
      <c r="O230" s="24"/>
      <c r="Q230" s="24"/>
      <c r="R230" s="165"/>
      <c r="S230" s="24"/>
      <c r="T230" s="24"/>
      <c r="U230" s="24"/>
      <c r="W230" s="24"/>
      <c r="X230" s="24"/>
    </row>
    <row r="231" ht="15.75" customHeight="1">
      <c r="F231" s="165"/>
      <c r="H231" s="24"/>
      <c r="I231" s="24"/>
      <c r="K231" s="24"/>
      <c r="L231" s="24"/>
      <c r="N231" s="24"/>
      <c r="O231" s="24"/>
      <c r="Q231" s="24"/>
      <c r="R231" s="165"/>
      <c r="S231" s="24"/>
      <c r="T231" s="24"/>
      <c r="U231" s="24"/>
      <c r="W231" s="24"/>
      <c r="X231" s="24"/>
    </row>
    <row r="232" ht="15.75" customHeight="1">
      <c r="F232" s="165"/>
      <c r="H232" s="24"/>
      <c r="I232" s="24"/>
      <c r="K232" s="24"/>
      <c r="L232" s="24"/>
      <c r="N232" s="24"/>
      <c r="O232" s="24"/>
      <c r="Q232" s="24"/>
      <c r="R232" s="165"/>
      <c r="S232" s="24"/>
      <c r="T232" s="24"/>
      <c r="U232" s="24"/>
      <c r="W232" s="24"/>
      <c r="X232" s="24"/>
    </row>
    <row r="233" ht="15.75" customHeight="1">
      <c r="F233" s="165"/>
      <c r="H233" s="24"/>
      <c r="I233" s="24"/>
      <c r="K233" s="24"/>
      <c r="L233" s="24"/>
      <c r="N233" s="24"/>
      <c r="O233" s="24"/>
      <c r="Q233" s="24"/>
      <c r="R233" s="165"/>
      <c r="S233" s="24"/>
      <c r="T233" s="24"/>
      <c r="U233" s="24"/>
      <c r="W233" s="24"/>
      <c r="X233" s="24"/>
    </row>
    <row r="234" ht="15.75" customHeight="1">
      <c r="F234" s="165"/>
      <c r="H234" s="24"/>
      <c r="I234" s="24"/>
      <c r="K234" s="24"/>
      <c r="L234" s="24"/>
      <c r="N234" s="24"/>
      <c r="O234" s="24"/>
      <c r="Q234" s="24"/>
      <c r="R234" s="165"/>
      <c r="S234" s="24"/>
      <c r="T234" s="24"/>
      <c r="U234" s="24"/>
      <c r="W234" s="24"/>
      <c r="X234" s="24"/>
    </row>
    <row r="235" ht="15.75" customHeight="1">
      <c r="F235" s="165"/>
      <c r="H235" s="24"/>
      <c r="I235" s="24"/>
      <c r="K235" s="24"/>
      <c r="L235" s="24"/>
      <c r="N235" s="24"/>
      <c r="O235" s="24"/>
      <c r="Q235" s="24"/>
      <c r="R235" s="165"/>
      <c r="S235" s="24"/>
      <c r="T235" s="24"/>
      <c r="U235" s="24"/>
      <c r="W235" s="24"/>
      <c r="X235" s="24"/>
    </row>
    <row r="236" ht="15.75" customHeight="1">
      <c r="F236" s="165"/>
      <c r="H236" s="24"/>
      <c r="I236" s="24"/>
      <c r="K236" s="24"/>
      <c r="L236" s="24"/>
      <c r="N236" s="24"/>
      <c r="O236" s="24"/>
      <c r="Q236" s="24"/>
      <c r="R236" s="165"/>
      <c r="S236" s="24"/>
      <c r="T236" s="24"/>
      <c r="U236" s="24"/>
      <c r="W236" s="24"/>
      <c r="X236" s="24"/>
    </row>
    <row r="237" ht="15.75" customHeight="1">
      <c r="F237" s="165"/>
      <c r="H237" s="24"/>
      <c r="I237" s="24"/>
      <c r="K237" s="24"/>
      <c r="L237" s="24"/>
      <c r="N237" s="24"/>
      <c r="O237" s="24"/>
      <c r="Q237" s="24"/>
      <c r="R237" s="165"/>
      <c r="S237" s="24"/>
      <c r="T237" s="24"/>
      <c r="U237" s="24"/>
      <c r="W237" s="24"/>
      <c r="X237" s="24"/>
    </row>
    <row r="238" ht="15.75" customHeight="1">
      <c r="F238" s="165"/>
      <c r="H238" s="24"/>
      <c r="I238" s="24"/>
      <c r="K238" s="24"/>
      <c r="L238" s="24"/>
      <c r="N238" s="24"/>
      <c r="O238" s="24"/>
      <c r="Q238" s="24"/>
      <c r="R238" s="165"/>
      <c r="S238" s="24"/>
      <c r="T238" s="24"/>
      <c r="U238" s="24"/>
      <c r="W238" s="24"/>
      <c r="X238" s="24"/>
    </row>
    <row r="239" ht="15.75" customHeight="1">
      <c r="F239" s="165"/>
      <c r="H239" s="24"/>
      <c r="I239" s="24"/>
      <c r="K239" s="24"/>
      <c r="L239" s="24"/>
      <c r="N239" s="24"/>
      <c r="O239" s="24"/>
      <c r="Q239" s="24"/>
      <c r="R239" s="165"/>
      <c r="S239" s="24"/>
      <c r="T239" s="24"/>
      <c r="U239" s="24"/>
      <c r="W239" s="24"/>
      <c r="X239" s="24"/>
    </row>
    <row r="240" ht="15.75" customHeight="1">
      <c r="F240" s="165"/>
      <c r="H240" s="24"/>
      <c r="I240" s="24"/>
      <c r="K240" s="24"/>
      <c r="L240" s="24"/>
      <c r="N240" s="24"/>
      <c r="O240" s="24"/>
      <c r="Q240" s="24"/>
      <c r="R240" s="165"/>
      <c r="S240" s="24"/>
      <c r="T240" s="24"/>
      <c r="U240" s="24"/>
      <c r="W240" s="24"/>
      <c r="X240" s="24"/>
    </row>
    <row r="241" ht="15.75" customHeight="1">
      <c r="F241" s="165"/>
      <c r="H241" s="24"/>
      <c r="I241" s="24"/>
      <c r="K241" s="24"/>
      <c r="L241" s="24"/>
      <c r="N241" s="24"/>
      <c r="O241" s="24"/>
      <c r="Q241" s="24"/>
      <c r="R241" s="165"/>
      <c r="S241" s="24"/>
      <c r="T241" s="24"/>
      <c r="U241" s="24"/>
      <c r="W241" s="24"/>
      <c r="X241" s="24"/>
    </row>
    <row r="242" ht="15.75" customHeight="1">
      <c r="F242" s="165"/>
      <c r="H242" s="24"/>
      <c r="I242" s="24"/>
      <c r="K242" s="24"/>
      <c r="L242" s="24"/>
      <c r="N242" s="24"/>
      <c r="O242" s="24"/>
      <c r="Q242" s="24"/>
      <c r="R242" s="165"/>
      <c r="S242" s="24"/>
      <c r="T242" s="24"/>
      <c r="U242" s="24"/>
      <c r="W242" s="24"/>
      <c r="X242" s="24"/>
    </row>
    <row r="243" ht="15.75" customHeight="1">
      <c r="F243" s="165"/>
      <c r="H243" s="24"/>
      <c r="I243" s="24"/>
      <c r="K243" s="24"/>
      <c r="L243" s="24"/>
      <c r="N243" s="24"/>
      <c r="O243" s="24"/>
      <c r="Q243" s="24"/>
      <c r="R243" s="165"/>
      <c r="S243" s="24"/>
      <c r="T243" s="24"/>
      <c r="U243" s="24"/>
      <c r="W243" s="24"/>
      <c r="X243" s="24"/>
    </row>
    <row r="244" ht="15.75" customHeight="1">
      <c r="F244" s="165"/>
      <c r="H244" s="24"/>
      <c r="I244" s="24"/>
      <c r="K244" s="24"/>
      <c r="L244" s="24"/>
      <c r="N244" s="24"/>
      <c r="O244" s="24"/>
      <c r="Q244" s="24"/>
      <c r="R244" s="165"/>
      <c r="S244" s="24"/>
      <c r="T244" s="24"/>
      <c r="U244" s="24"/>
      <c r="W244" s="24"/>
      <c r="X244" s="24"/>
    </row>
    <row r="245" ht="15.75" customHeight="1">
      <c r="F245" s="165"/>
      <c r="H245" s="24"/>
      <c r="I245" s="24"/>
      <c r="K245" s="24"/>
      <c r="L245" s="24"/>
      <c r="N245" s="24"/>
      <c r="O245" s="24"/>
      <c r="Q245" s="24"/>
      <c r="R245" s="165"/>
      <c r="S245" s="24"/>
      <c r="T245" s="24"/>
      <c r="U245" s="24"/>
      <c r="W245" s="24"/>
      <c r="X245" s="24"/>
    </row>
    <row r="246" ht="15.75" customHeight="1">
      <c r="F246" s="165"/>
      <c r="H246" s="24"/>
      <c r="I246" s="24"/>
      <c r="K246" s="24"/>
      <c r="L246" s="24"/>
      <c r="N246" s="24"/>
      <c r="O246" s="24"/>
      <c r="Q246" s="24"/>
      <c r="R246" s="165"/>
      <c r="S246" s="24"/>
      <c r="T246" s="24"/>
      <c r="U246" s="24"/>
      <c r="W246" s="24"/>
      <c r="X246" s="24"/>
    </row>
    <row r="247" ht="15.75" customHeight="1">
      <c r="F247" s="165"/>
      <c r="H247" s="24"/>
      <c r="I247" s="24"/>
      <c r="K247" s="24"/>
      <c r="L247" s="24"/>
      <c r="N247" s="24"/>
      <c r="O247" s="24"/>
      <c r="Q247" s="24"/>
      <c r="R247" s="165"/>
      <c r="S247" s="24"/>
      <c r="T247" s="24"/>
      <c r="U247" s="24"/>
      <c r="W247" s="24"/>
      <c r="X247" s="24"/>
    </row>
    <row r="248" ht="15.75" customHeight="1">
      <c r="F248" s="165"/>
      <c r="H248" s="24"/>
      <c r="I248" s="24"/>
      <c r="K248" s="24"/>
      <c r="L248" s="24"/>
      <c r="N248" s="24"/>
      <c r="O248" s="24"/>
      <c r="Q248" s="24"/>
      <c r="R248" s="165"/>
      <c r="S248" s="24"/>
      <c r="T248" s="24"/>
      <c r="U248" s="24"/>
      <c r="W248" s="24"/>
      <c r="X248" s="24"/>
    </row>
    <row r="249" ht="15.75" customHeight="1">
      <c r="F249" s="165"/>
      <c r="H249" s="24"/>
      <c r="I249" s="24"/>
      <c r="K249" s="24"/>
      <c r="L249" s="24"/>
      <c r="N249" s="24"/>
      <c r="O249" s="24"/>
      <c r="Q249" s="24"/>
      <c r="R249" s="165"/>
      <c r="S249" s="24"/>
      <c r="T249" s="24"/>
      <c r="U249" s="24"/>
      <c r="W249" s="24"/>
      <c r="X249" s="24"/>
    </row>
    <row r="250" ht="15.75" customHeight="1">
      <c r="F250" s="165"/>
      <c r="H250" s="24"/>
      <c r="I250" s="24"/>
      <c r="K250" s="24"/>
      <c r="L250" s="24"/>
      <c r="N250" s="24"/>
      <c r="O250" s="24"/>
      <c r="Q250" s="24"/>
      <c r="R250" s="165"/>
      <c r="S250" s="24"/>
      <c r="T250" s="24"/>
      <c r="U250" s="24"/>
      <c r="W250" s="24"/>
      <c r="X250" s="24"/>
    </row>
    <row r="251" ht="15.75" customHeight="1">
      <c r="F251" s="165"/>
      <c r="H251" s="24"/>
      <c r="I251" s="24"/>
      <c r="K251" s="24"/>
      <c r="L251" s="24"/>
      <c r="N251" s="24"/>
      <c r="O251" s="24"/>
      <c r="Q251" s="24"/>
      <c r="R251" s="165"/>
      <c r="S251" s="24"/>
      <c r="T251" s="24"/>
      <c r="U251" s="24"/>
      <c r="W251" s="24"/>
      <c r="X251" s="24"/>
    </row>
    <row r="252" ht="15.75" customHeight="1">
      <c r="F252" s="165"/>
      <c r="H252" s="24"/>
      <c r="I252" s="24"/>
      <c r="K252" s="24"/>
      <c r="L252" s="24"/>
      <c r="N252" s="24"/>
      <c r="O252" s="24"/>
      <c r="Q252" s="24"/>
      <c r="R252" s="165"/>
      <c r="S252" s="24"/>
      <c r="T252" s="24"/>
      <c r="U252" s="24"/>
      <c r="W252" s="24"/>
      <c r="X252" s="24"/>
    </row>
    <row r="253" ht="15.75" customHeight="1">
      <c r="F253" s="165"/>
      <c r="H253" s="24"/>
      <c r="I253" s="24"/>
      <c r="K253" s="24"/>
      <c r="L253" s="24"/>
      <c r="N253" s="24"/>
      <c r="O253" s="24"/>
      <c r="Q253" s="24"/>
      <c r="R253" s="165"/>
      <c r="S253" s="24"/>
      <c r="T253" s="24"/>
      <c r="U253" s="24"/>
      <c r="W253" s="24"/>
      <c r="X253" s="24"/>
    </row>
    <row r="254" ht="15.75" customHeight="1">
      <c r="F254" s="165"/>
      <c r="H254" s="24"/>
      <c r="I254" s="24"/>
      <c r="K254" s="24"/>
      <c r="L254" s="24"/>
      <c r="N254" s="24"/>
      <c r="O254" s="24"/>
      <c r="Q254" s="24"/>
      <c r="R254" s="165"/>
      <c r="S254" s="24"/>
      <c r="T254" s="24"/>
      <c r="U254" s="24"/>
      <c r="W254" s="24"/>
      <c r="X254" s="24"/>
    </row>
    <row r="255" ht="15.75" customHeight="1">
      <c r="F255" s="165"/>
      <c r="H255" s="24"/>
      <c r="I255" s="24"/>
      <c r="K255" s="24"/>
      <c r="L255" s="24"/>
      <c r="N255" s="24"/>
      <c r="O255" s="24"/>
      <c r="Q255" s="24"/>
      <c r="R255" s="165"/>
      <c r="S255" s="24"/>
      <c r="T255" s="24"/>
      <c r="U255" s="24"/>
      <c r="W255" s="24"/>
      <c r="X255" s="24"/>
    </row>
    <row r="256" ht="15.75" customHeight="1">
      <c r="F256" s="165"/>
      <c r="H256" s="24"/>
      <c r="I256" s="24"/>
      <c r="K256" s="24"/>
      <c r="L256" s="24"/>
      <c r="N256" s="24"/>
      <c r="O256" s="24"/>
      <c r="Q256" s="24"/>
      <c r="R256" s="165"/>
      <c r="S256" s="24"/>
      <c r="T256" s="24"/>
      <c r="U256" s="24"/>
      <c r="W256" s="24"/>
      <c r="X256" s="24"/>
    </row>
    <row r="257" ht="15.75" customHeight="1">
      <c r="F257" s="165"/>
      <c r="H257" s="24"/>
      <c r="I257" s="24"/>
      <c r="K257" s="24"/>
      <c r="L257" s="24"/>
      <c r="N257" s="24"/>
      <c r="O257" s="24"/>
      <c r="Q257" s="24"/>
      <c r="R257" s="165"/>
      <c r="S257" s="24"/>
      <c r="T257" s="24"/>
      <c r="U257" s="24"/>
      <c r="W257" s="24"/>
      <c r="X257" s="24"/>
    </row>
    <row r="258" ht="15.75" customHeight="1">
      <c r="F258" s="165"/>
      <c r="H258" s="24"/>
      <c r="I258" s="24"/>
      <c r="K258" s="24"/>
      <c r="L258" s="24"/>
      <c r="N258" s="24"/>
      <c r="O258" s="24"/>
      <c r="Q258" s="24"/>
      <c r="R258" s="165"/>
      <c r="S258" s="24"/>
      <c r="T258" s="24"/>
      <c r="U258" s="24"/>
      <c r="W258" s="24"/>
      <c r="X258" s="24"/>
    </row>
    <row r="259" ht="15.75" customHeight="1">
      <c r="F259" s="165"/>
      <c r="H259" s="24"/>
      <c r="I259" s="24"/>
      <c r="K259" s="24"/>
      <c r="L259" s="24"/>
      <c r="N259" s="24"/>
      <c r="O259" s="24"/>
      <c r="Q259" s="24"/>
      <c r="R259" s="165"/>
      <c r="S259" s="24"/>
      <c r="T259" s="24"/>
      <c r="U259" s="24"/>
      <c r="W259" s="24"/>
      <c r="X259" s="24"/>
    </row>
    <row r="260" ht="15.75" customHeight="1">
      <c r="F260" s="165"/>
      <c r="H260" s="24"/>
      <c r="I260" s="24"/>
      <c r="K260" s="24"/>
      <c r="L260" s="24"/>
      <c r="N260" s="24"/>
      <c r="O260" s="24"/>
      <c r="Q260" s="24"/>
      <c r="R260" s="165"/>
      <c r="S260" s="24"/>
      <c r="T260" s="24"/>
      <c r="U260" s="24"/>
      <c r="W260" s="24"/>
      <c r="X260" s="24"/>
    </row>
    <row r="261" ht="15.75" customHeight="1">
      <c r="F261" s="165"/>
      <c r="H261" s="24"/>
      <c r="I261" s="24"/>
      <c r="K261" s="24"/>
      <c r="L261" s="24"/>
      <c r="N261" s="24"/>
      <c r="O261" s="24"/>
      <c r="Q261" s="24"/>
      <c r="R261" s="165"/>
      <c r="S261" s="24"/>
      <c r="T261" s="24"/>
      <c r="U261" s="24"/>
      <c r="W261" s="24"/>
      <c r="X261" s="24"/>
    </row>
    <row r="262" ht="15.75" customHeight="1">
      <c r="F262" s="165"/>
      <c r="H262" s="24"/>
      <c r="I262" s="24"/>
      <c r="K262" s="24"/>
      <c r="L262" s="24"/>
      <c r="N262" s="24"/>
      <c r="O262" s="24"/>
      <c r="Q262" s="24"/>
      <c r="R262" s="165"/>
      <c r="S262" s="24"/>
      <c r="T262" s="24"/>
      <c r="U262" s="24"/>
      <c r="W262" s="24"/>
      <c r="X262" s="24"/>
    </row>
    <row r="263" ht="15.75" customHeight="1">
      <c r="F263" s="165"/>
      <c r="H263" s="24"/>
      <c r="I263" s="24"/>
      <c r="K263" s="24"/>
      <c r="L263" s="24"/>
      <c r="N263" s="24"/>
      <c r="O263" s="24"/>
      <c r="Q263" s="24"/>
      <c r="R263" s="165"/>
      <c r="S263" s="24"/>
      <c r="T263" s="24"/>
      <c r="U263" s="24"/>
      <c r="W263" s="24"/>
      <c r="X263" s="24"/>
    </row>
    <row r="264" ht="15.75" customHeight="1">
      <c r="F264" s="165"/>
      <c r="H264" s="24"/>
      <c r="I264" s="24"/>
      <c r="K264" s="24"/>
      <c r="L264" s="24"/>
      <c r="N264" s="24"/>
      <c r="O264" s="24"/>
      <c r="Q264" s="24"/>
      <c r="R264" s="165"/>
      <c r="S264" s="24"/>
      <c r="T264" s="24"/>
      <c r="U264" s="24"/>
      <c r="W264" s="24"/>
      <c r="X264" s="24"/>
    </row>
    <row r="265" ht="15.75" customHeight="1">
      <c r="F265" s="165"/>
      <c r="H265" s="24"/>
      <c r="I265" s="24"/>
      <c r="K265" s="24"/>
      <c r="L265" s="24"/>
      <c r="N265" s="24"/>
      <c r="O265" s="24"/>
      <c r="Q265" s="24"/>
      <c r="R265" s="165"/>
      <c r="S265" s="24"/>
      <c r="T265" s="24"/>
      <c r="U265" s="24"/>
      <c r="W265" s="24"/>
      <c r="X265" s="24"/>
    </row>
    <row r="266" ht="15.75" customHeight="1">
      <c r="F266" s="165"/>
      <c r="H266" s="24"/>
      <c r="I266" s="24"/>
      <c r="K266" s="24"/>
      <c r="L266" s="24"/>
      <c r="N266" s="24"/>
      <c r="O266" s="24"/>
      <c r="Q266" s="24"/>
      <c r="R266" s="165"/>
      <c r="S266" s="24"/>
      <c r="T266" s="24"/>
      <c r="U266" s="24"/>
      <c r="W266" s="24"/>
      <c r="X266" s="24"/>
    </row>
    <row r="267" ht="15.75" customHeight="1">
      <c r="F267" s="165"/>
      <c r="H267" s="24"/>
      <c r="I267" s="24"/>
      <c r="K267" s="24"/>
      <c r="L267" s="24"/>
      <c r="N267" s="24"/>
      <c r="O267" s="24"/>
      <c r="Q267" s="24"/>
      <c r="R267" s="165"/>
      <c r="S267" s="24"/>
      <c r="T267" s="24"/>
      <c r="U267" s="24"/>
      <c r="W267" s="24"/>
      <c r="X267" s="24"/>
    </row>
    <row r="268" ht="15.75" customHeight="1">
      <c r="F268" s="165"/>
      <c r="H268" s="24"/>
      <c r="I268" s="24"/>
      <c r="K268" s="24"/>
      <c r="L268" s="24"/>
      <c r="N268" s="24"/>
      <c r="O268" s="24"/>
      <c r="Q268" s="24"/>
      <c r="R268" s="165"/>
      <c r="S268" s="24"/>
      <c r="T268" s="24"/>
      <c r="U268" s="24"/>
      <c r="W268" s="24"/>
      <c r="X268" s="24"/>
    </row>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sheetData>
  <mergeCells count="13">
    <mergeCell ref="A36:E36"/>
    <mergeCell ref="A47:E47"/>
    <mergeCell ref="A60:E60"/>
    <mergeCell ref="Z53:AG53"/>
    <mergeCell ref="Z54:AG54"/>
    <mergeCell ref="Z66:AJ66"/>
    <mergeCell ref="A1:E1"/>
    <mergeCell ref="A12:E12"/>
    <mergeCell ref="H18:AJ18"/>
    <mergeCell ref="H21:AJ21"/>
    <mergeCell ref="A23:E23"/>
    <mergeCell ref="W34:AJ34"/>
    <mergeCell ref="I42:AJ42"/>
  </mergeCells>
  <conditionalFormatting sqref="AN58">
    <cfRule type="cellIs" dxfId="3" priority="1" operator="equal">
      <formula>"NO CORRESPONDE FRANCO"</formula>
    </cfRule>
  </conditionalFormatting>
  <conditionalFormatting sqref="AN3:AN71 AO58">
    <cfRule type="cellIs" dxfId="4" priority="2" operator="greaterThan">
      <formula>3</formula>
    </cfRule>
  </conditionalFormatting>
  <conditionalFormatting sqref="AO3:AQ71 AR3:AR45 AS3:AS10 AT3:AU3 AS12:AS21 AS25:AS34 AS38:AS45 AR48:AR75 AS49:AS58 AS62:AS70 AR79:AR90 AR94 AR98">
    <cfRule type="cellIs" dxfId="4" priority="3" operator="greaterThan">
      <formula>0</formula>
    </cfRule>
  </conditionalFormatting>
  <conditionalFormatting sqref="AM3:AM10 AM14:AM21 AM25:AM34 AM38:AM45 AM49:AM58 AM62:AM70">
    <cfRule type="endsWith" dxfId="3" priority="4" operator="endsWith" text="NO CORRESPONDE FRANCO">
      <formula>RIGHT((AM3),LEN("NO CORRESPONDE FRANCO"))=("NO CORRESPONDE FRANCO")</formula>
    </cfRule>
  </conditionalFormatting>
  <printOptions/>
  <pageMargins bottom="0.75" footer="0.0" header="0.0" left="0.7" right="0.7" top="0.75"/>
  <pageSetup orientation="landscape"/>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2.0"/>
    <col customWidth="1" min="2" max="2" width="10.29"/>
    <col customWidth="1" min="3" max="3" width="26.14"/>
    <col customWidth="1" min="4" max="4" width="9.86"/>
    <col customWidth="1" min="5" max="5" width="10.86"/>
    <col customWidth="1" min="6" max="6" width="16.43"/>
    <col customWidth="1" min="7" max="25" width="3.57"/>
    <col customWidth="1" min="26" max="26" width="4.0"/>
    <col customWidth="1" min="27" max="27" width="5.0"/>
    <col customWidth="1" min="28" max="28" width="3.71"/>
    <col customWidth="1" min="29" max="29" width="4.71"/>
    <col customWidth="1" min="30" max="31" width="4.43"/>
    <col customWidth="1" min="32" max="32" width="5.14"/>
    <col customWidth="1" min="33" max="33" width="6.86"/>
    <col customWidth="1" min="34" max="34" width="5.0"/>
    <col customWidth="1" min="35" max="35" width="4.71"/>
    <col customWidth="1" min="36" max="36" width="5.14"/>
    <col customWidth="1" min="37" max="37" width="29.71"/>
    <col customWidth="1" min="38" max="39" width="21.0"/>
    <col customWidth="1" min="40" max="40" width="3.71"/>
    <col customWidth="1" min="41" max="41" width="3.86"/>
    <col customWidth="1" min="42" max="42" width="4.29"/>
    <col customWidth="1" min="43" max="43" width="4.14"/>
    <col customWidth="1" min="44" max="44" width="3.29"/>
    <col customWidth="1" min="45" max="45" width="2.14"/>
    <col customWidth="1" min="46" max="46" width="21.0"/>
  </cols>
  <sheetData>
    <row r="1" ht="30.75" customHeight="1">
      <c r="A1" s="662"/>
      <c r="B1" s="663" t="s">
        <v>1327</v>
      </c>
      <c r="C1" s="6"/>
      <c r="D1" s="6"/>
      <c r="E1" s="6"/>
      <c r="F1" s="6"/>
      <c r="G1" s="6"/>
      <c r="H1" s="6"/>
      <c r="I1" s="6"/>
      <c r="J1" s="6"/>
      <c r="K1" s="6"/>
      <c r="L1" s="6"/>
      <c r="M1" s="6"/>
      <c r="N1" s="6"/>
      <c r="O1" s="6"/>
      <c r="P1" s="6"/>
      <c r="Q1" s="6"/>
      <c r="R1" s="6"/>
      <c r="S1" s="6"/>
      <c r="T1" s="6"/>
      <c r="U1" s="6"/>
      <c r="V1" s="6"/>
      <c r="W1" s="6"/>
      <c r="X1" s="6"/>
      <c r="Y1" s="6"/>
      <c r="Z1" s="6"/>
      <c r="AA1" s="6"/>
      <c r="AB1" s="6"/>
      <c r="AC1" s="6"/>
      <c r="AD1" s="6"/>
      <c r="AE1" s="6"/>
      <c r="AF1" s="6"/>
      <c r="AG1" s="6"/>
      <c r="AH1" s="6"/>
      <c r="AI1" s="6"/>
      <c r="AJ1" s="6"/>
      <c r="AK1" s="11"/>
      <c r="AL1" s="13"/>
      <c r="AM1" s="15"/>
      <c r="AN1" s="15"/>
      <c r="AO1" s="15"/>
      <c r="AP1" s="15"/>
      <c r="AQ1" s="15"/>
      <c r="AR1" s="15"/>
      <c r="AS1" s="15"/>
      <c r="AT1" s="15"/>
    </row>
    <row r="2">
      <c r="A2" s="21"/>
      <c r="B2" s="664" t="s">
        <v>1328</v>
      </c>
      <c r="C2" s="2"/>
      <c r="D2" s="2"/>
      <c r="E2" s="2"/>
      <c r="F2" s="3"/>
      <c r="G2" s="9">
        <v>1.0</v>
      </c>
      <c r="H2" s="9">
        <v>2.0</v>
      </c>
      <c r="I2" s="9">
        <v>3.0</v>
      </c>
      <c r="J2" s="9">
        <v>4.0</v>
      </c>
      <c r="K2" s="9">
        <v>5.0</v>
      </c>
      <c r="L2" s="9">
        <v>6.0</v>
      </c>
      <c r="M2" s="9">
        <v>7.0</v>
      </c>
      <c r="N2" s="9">
        <v>8.0</v>
      </c>
      <c r="O2" s="9">
        <v>9.0</v>
      </c>
      <c r="P2" s="9">
        <v>10.0</v>
      </c>
      <c r="Q2" s="9">
        <v>11.0</v>
      </c>
      <c r="R2" s="9">
        <v>12.0</v>
      </c>
      <c r="S2" s="9">
        <v>13.0</v>
      </c>
      <c r="T2" s="9">
        <v>14.0</v>
      </c>
      <c r="U2" s="9">
        <v>15.0</v>
      </c>
      <c r="V2" s="9">
        <v>16.0</v>
      </c>
      <c r="W2" s="9">
        <v>17.0</v>
      </c>
      <c r="X2" s="9">
        <v>18.0</v>
      </c>
      <c r="Y2" s="9">
        <v>19.0</v>
      </c>
      <c r="Z2" s="9">
        <v>20.0</v>
      </c>
      <c r="AA2" s="9">
        <v>21.0</v>
      </c>
      <c r="AB2" s="9">
        <v>22.0</v>
      </c>
      <c r="AC2" s="9">
        <v>23.0</v>
      </c>
      <c r="AD2" s="9">
        <v>24.0</v>
      </c>
      <c r="AE2" s="9">
        <v>25.0</v>
      </c>
      <c r="AF2" s="9">
        <v>26.0</v>
      </c>
      <c r="AG2" s="9">
        <v>27.0</v>
      </c>
      <c r="AH2" s="9">
        <v>28.0</v>
      </c>
      <c r="AI2" s="9">
        <v>29.0</v>
      </c>
      <c r="AJ2" s="9">
        <v>30.0</v>
      </c>
      <c r="AK2" s="9">
        <v>31.0</v>
      </c>
      <c r="AL2" s="28"/>
      <c r="AM2" s="59"/>
      <c r="AN2" s="59"/>
      <c r="AO2" s="59"/>
      <c r="AP2" s="59"/>
      <c r="AQ2" s="59"/>
      <c r="AR2" s="59"/>
      <c r="AS2" s="59"/>
      <c r="AT2" s="59"/>
    </row>
    <row r="3" ht="14.25" customHeight="1">
      <c r="A3" s="21"/>
      <c r="B3" s="665" t="s">
        <v>4</v>
      </c>
      <c r="C3" s="666" t="s">
        <v>5</v>
      </c>
      <c r="D3" s="667" t="s">
        <v>6</v>
      </c>
      <c r="E3" s="666" t="s">
        <v>7</v>
      </c>
      <c r="F3" s="667" t="s">
        <v>8</v>
      </c>
      <c r="G3" s="9" t="s">
        <v>9</v>
      </c>
      <c r="H3" s="9" t="s">
        <v>10</v>
      </c>
      <c r="I3" s="9" t="s">
        <v>11</v>
      </c>
      <c r="J3" s="9" t="s">
        <v>12</v>
      </c>
      <c r="K3" s="9" t="s">
        <v>12</v>
      </c>
      <c r="L3" s="9" t="s">
        <v>13</v>
      </c>
      <c r="M3" s="9" t="s">
        <v>15</v>
      </c>
      <c r="N3" s="9" t="s">
        <v>9</v>
      </c>
      <c r="O3" s="9" t="s">
        <v>10</v>
      </c>
      <c r="P3" s="9" t="s">
        <v>11</v>
      </c>
      <c r="Q3" s="9" t="s">
        <v>12</v>
      </c>
      <c r="R3" s="9" t="s">
        <v>12</v>
      </c>
      <c r="S3" s="9" t="s">
        <v>13</v>
      </c>
      <c r="T3" s="9" t="s">
        <v>15</v>
      </c>
      <c r="U3" s="9" t="s">
        <v>9</v>
      </c>
      <c r="V3" s="9" t="s">
        <v>10</v>
      </c>
      <c r="W3" s="9" t="s">
        <v>11</v>
      </c>
      <c r="X3" s="9" t="s">
        <v>12</v>
      </c>
      <c r="Y3" s="9" t="s">
        <v>12</v>
      </c>
      <c r="Z3" s="9" t="s">
        <v>13</v>
      </c>
      <c r="AA3" s="9" t="s">
        <v>15</v>
      </c>
      <c r="AB3" s="9" t="s">
        <v>9</v>
      </c>
      <c r="AC3" s="9" t="s">
        <v>10</v>
      </c>
      <c r="AD3" s="9" t="s">
        <v>11</v>
      </c>
      <c r="AE3" s="9" t="s">
        <v>12</v>
      </c>
      <c r="AF3" s="9" t="s">
        <v>12</v>
      </c>
      <c r="AG3" s="9" t="s">
        <v>13</v>
      </c>
      <c r="AH3" s="13" t="s">
        <v>15</v>
      </c>
      <c r="AI3" s="9" t="s">
        <v>9</v>
      </c>
      <c r="AJ3" s="9" t="s">
        <v>10</v>
      </c>
      <c r="AK3" s="9" t="s">
        <v>11</v>
      </c>
      <c r="AL3" s="499"/>
      <c r="AM3" s="31" t="s">
        <v>16</v>
      </c>
      <c r="AN3" s="31" t="s">
        <v>18</v>
      </c>
      <c r="AO3" s="31" t="s">
        <v>19</v>
      </c>
      <c r="AP3" s="31" t="s">
        <v>20</v>
      </c>
      <c r="AQ3" s="31" t="s">
        <v>21</v>
      </c>
      <c r="AR3" s="33" t="s">
        <v>22</v>
      </c>
      <c r="AS3" s="36"/>
      <c r="AT3" s="36"/>
    </row>
    <row r="4" ht="15.0" customHeight="1">
      <c r="A4" s="668" t="s">
        <v>1329</v>
      </c>
      <c r="B4" s="669" t="s">
        <v>269</v>
      </c>
      <c r="C4" s="18" t="s">
        <v>1330</v>
      </c>
      <c r="D4" s="20">
        <v>11683.0</v>
      </c>
      <c r="E4" s="670" t="s">
        <v>1331</v>
      </c>
      <c r="F4" s="671" t="s">
        <v>1332</v>
      </c>
      <c r="G4" s="72" t="s">
        <v>18</v>
      </c>
      <c r="H4" s="72" t="s">
        <v>18</v>
      </c>
      <c r="I4" s="72" t="s">
        <v>27</v>
      </c>
      <c r="J4" s="75"/>
      <c r="K4" s="75"/>
      <c r="L4" s="75"/>
      <c r="M4" s="96" t="s">
        <v>22</v>
      </c>
      <c r="N4" s="96" t="s">
        <v>22</v>
      </c>
      <c r="O4" s="96" t="s">
        <v>22</v>
      </c>
      <c r="P4" s="96" t="s">
        <v>22</v>
      </c>
      <c r="Q4" s="96" t="s">
        <v>22</v>
      </c>
      <c r="R4" s="96" t="s">
        <v>22</v>
      </c>
      <c r="S4" s="96" t="s">
        <v>22</v>
      </c>
      <c r="T4" s="96" t="s">
        <v>22</v>
      </c>
      <c r="U4" s="96" t="s">
        <v>22</v>
      </c>
      <c r="V4" s="96" t="s">
        <v>22</v>
      </c>
      <c r="W4" s="96" t="s">
        <v>22</v>
      </c>
      <c r="X4" s="96" t="s">
        <v>22</v>
      </c>
      <c r="Y4" s="96" t="s">
        <v>22</v>
      </c>
      <c r="Z4" s="96" t="s">
        <v>22</v>
      </c>
      <c r="AA4" s="96" t="s">
        <v>22</v>
      </c>
      <c r="AB4" s="96" t="s">
        <v>22</v>
      </c>
      <c r="AC4" s="96" t="s">
        <v>22</v>
      </c>
      <c r="AD4" s="96" t="s">
        <v>22</v>
      </c>
      <c r="AE4" s="72" t="s">
        <v>27</v>
      </c>
      <c r="AF4" s="72" t="s">
        <v>27</v>
      </c>
      <c r="AG4" s="72" t="s">
        <v>27</v>
      </c>
      <c r="AH4" s="75"/>
      <c r="AI4" s="75"/>
      <c r="AJ4" s="75"/>
      <c r="AK4" s="72" t="s">
        <v>27</v>
      </c>
      <c r="AL4" s="672"/>
      <c r="AM4" s="60" t="str">
        <f t="shared" ref="AM4:AM9" si="1">IFS(AN4&gt;3,"NO CORRESPONDE FRANCO",AS4&gt;0,"NO CORRESPONDE FRANCO",AS4=0,"")</f>
        <v>NO CORRESPONDE FRANCO</v>
      </c>
      <c r="AN4" s="60">
        <f t="shared" ref="AN4:AN9" si="2">COUNTIF($G4:$AK4,"LLT")</f>
        <v>2</v>
      </c>
      <c r="AO4" s="60">
        <f t="shared" ref="AO4:AO9" si="3">COUNTIF($G4:$AK4,"LM")</f>
        <v>0</v>
      </c>
      <c r="AP4" s="60">
        <f t="shared" ref="AP4:AP9" si="4">COUNTIF($G4:$AK4,"FaC")</f>
        <v>0</v>
      </c>
      <c r="AQ4" s="60">
        <f t="shared" ref="AQ4:AQ9" si="5">COUNTIF($G4:$AK4,"LxE")</f>
        <v>0</v>
      </c>
      <c r="AR4" s="60">
        <f t="shared" ref="AR4:AR9" si="6">COUNTIF($G4:$AK4,"LA")</f>
        <v>18</v>
      </c>
      <c r="AS4" s="60">
        <f t="shared" ref="AS4:AS9" si="7">SUM(AO4:AR4)</f>
        <v>18</v>
      </c>
      <c r="AT4" s="36"/>
    </row>
    <row r="5" ht="15.0" customHeight="1">
      <c r="A5" s="673"/>
      <c r="B5" s="674" t="s">
        <v>33</v>
      </c>
      <c r="C5" s="675" t="s">
        <v>1333</v>
      </c>
      <c r="D5" s="676">
        <v>3.1651283E7</v>
      </c>
      <c r="E5" s="677" t="s">
        <v>1334</v>
      </c>
      <c r="F5" s="678">
        <v>1.134180202E9</v>
      </c>
      <c r="G5" s="72" t="s">
        <v>27</v>
      </c>
      <c r="H5" s="72" t="s">
        <v>27</v>
      </c>
      <c r="I5" s="72" t="s">
        <v>27</v>
      </c>
      <c r="J5" s="75"/>
      <c r="K5" s="75"/>
      <c r="L5" s="75"/>
      <c r="M5" s="72" t="s">
        <v>27</v>
      </c>
      <c r="N5" s="72" t="s">
        <v>27</v>
      </c>
      <c r="O5" s="72" t="s">
        <v>27</v>
      </c>
      <c r="P5" s="72" t="s">
        <v>27</v>
      </c>
      <c r="Q5" s="75"/>
      <c r="R5" s="75"/>
      <c r="S5" s="72" t="s">
        <v>27</v>
      </c>
      <c r="T5" s="72" t="s">
        <v>27</v>
      </c>
      <c r="U5" s="72" t="s">
        <v>27</v>
      </c>
      <c r="V5" s="75"/>
      <c r="W5" s="75"/>
      <c r="X5" s="75"/>
      <c r="Y5" s="72" t="s">
        <v>27</v>
      </c>
      <c r="Z5" s="72" t="s">
        <v>27</v>
      </c>
      <c r="AA5" s="72" t="s">
        <v>27</v>
      </c>
      <c r="AB5" s="72" t="s">
        <v>27</v>
      </c>
      <c r="AC5" s="75"/>
      <c r="AD5" s="75"/>
      <c r="AE5" s="72" t="s">
        <v>27</v>
      </c>
      <c r="AF5" s="72" t="s">
        <v>27</v>
      </c>
      <c r="AG5" s="72" t="s">
        <v>27</v>
      </c>
      <c r="AH5" s="75"/>
      <c r="AI5" s="75"/>
      <c r="AJ5" s="75"/>
      <c r="AK5" s="72" t="s">
        <v>27</v>
      </c>
      <c r="AL5" s="672"/>
      <c r="AM5" s="60" t="str">
        <f t="shared" si="1"/>
        <v/>
      </c>
      <c r="AN5" s="60">
        <f t="shared" si="2"/>
        <v>0</v>
      </c>
      <c r="AO5" s="60">
        <f t="shared" si="3"/>
        <v>0</v>
      </c>
      <c r="AP5" s="60">
        <f t="shared" si="4"/>
        <v>0</v>
      </c>
      <c r="AQ5" s="60">
        <f t="shared" si="5"/>
        <v>0</v>
      </c>
      <c r="AR5" s="60">
        <f t="shared" si="6"/>
        <v>0</v>
      </c>
      <c r="AS5" s="60">
        <f t="shared" si="7"/>
        <v>0</v>
      </c>
      <c r="AT5" s="672"/>
    </row>
    <row r="6" ht="15.0" customHeight="1">
      <c r="A6" s="679"/>
      <c r="B6" s="680" t="s">
        <v>269</v>
      </c>
      <c r="C6" s="681" t="s">
        <v>1335</v>
      </c>
      <c r="D6" s="682">
        <v>12299.0</v>
      </c>
      <c r="E6" s="683" t="s">
        <v>39</v>
      </c>
      <c r="F6" s="682" t="s">
        <v>1336</v>
      </c>
      <c r="G6" s="684" t="s">
        <v>27</v>
      </c>
      <c r="H6" s="684" t="s">
        <v>27</v>
      </c>
      <c r="I6" s="684" t="s">
        <v>27</v>
      </c>
      <c r="J6" s="685"/>
      <c r="K6" s="685"/>
      <c r="L6" s="685"/>
      <c r="M6" s="684" t="s">
        <v>27</v>
      </c>
      <c r="N6" s="684" t="s">
        <v>27</v>
      </c>
      <c r="O6" s="684" t="s">
        <v>27</v>
      </c>
      <c r="P6" s="684" t="s">
        <v>27</v>
      </c>
      <c r="Q6" s="685"/>
      <c r="R6" s="685"/>
      <c r="S6" s="684" t="s">
        <v>27</v>
      </c>
      <c r="T6" s="684" t="s">
        <v>27</v>
      </c>
      <c r="U6" s="684" t="s">
        <v>27</v>
      </c>
      <c r="V6" s="685"/>
      <c r="W6" s="685"/>
      <c r="X6" s="685"/>
      <c r="Y6" s="684" t="s">
        <v>120</v>
      </c>
      <c r="Z6" s="684" t="s">
        <v>27</v>
      </c>
      <c r="AA6" s="684" t="s">
        <v>27</v>
      </c>
      <c r="AB6" s="684" t="s">
        <v>27</v>
      </c>
      <c r="AC6" s="685"/>
      <c r="AD6" s="685"/>
      <c r="AE6" s="686"/>
      <c r="AF6" s="684" t="s">
        <v>27</v>
      </c>
      <c r="AG6" s="684" t="s">
        <v>27</v>
      </c>
      <c r="AH6" s="685"/>
      <c r="AI6" s="685"/>
      <c r="AJ6" s="685"/>
      <c r="AK6" s="684" t="s">
        <v>27</v>
      </c>
      <c r="AL6" s="672"/>
      <c r="AM6" s="60" t="str">
        <f t="shared" si="1"/>
        <v/>
      </c>
      <c r="AN6" s="60">
        <f t="shared" si="2"/>
        <v>0</v>
      </c>
      <c r="AO6" s="60">
        <f t="shared" si="3"/>
        <v>0</v>
      </c>
      <c r="AP6" s="60">
        <f t="shared" si="4"/>
        <v>0</v>
      </c>
      <c r="AQ6" s="60">
        <f t="shared" si="5"/>
        <v>0</v>
      </c>
      <c r="AR6" s="60">
        <f t="shared" si="6"/>
        <v>0</v>
      </c>
      <c r="AS6" s="60">
        <f t="shared" si="7"/>
        <v>0</v>
      </c>
      <c r="AT6" s="672"/>
    </row>
    <row r="7" ht="15.0" customHeight="1">
      <c r="A7" s="687" t="s">
        <v>1337</v>
      </c>
      <c r="B7" s="688" t="s">
        <v>33</v>
      </c>
      <c r="C7" s="689" t="s">
        <v>1338</v>
      </c>
      <c r="D7" s="690">
        <v>3.3714135E7</v>
      </c>
      <c r="E7" s="689" t="s">
        <v>1339</v>
      </c>
      <c r="F7" s="691" t="s">
        <v>1340</v>
      </c>
      <c r="G7" s="692" t="s">
        <v>27</v>
      </c>
      <c r="H7" s="692" t="s">
        <v>27</v>
      </c>
      <c r="I7" s="692" t="s">
        <v>27</v>
      </c>
      <c r="J7" s="692" t="s">
        <v>27</v>
      </c>
      <c r="K7" s="693"/>
      <c r="L7" s="693"/>
      <c r="M7" s="693"/>
      <c r="N7" s="692" t="s">
        <v>27</v>
      </c>
      <c r="O7" s="692" t="s">
        <v>27</v>
      </c>
      <c r="P7" s="692" t="s">
        <v>27</v>
      </c>
      <c r="Q7" s="693"/>
      <c r="R7" s="693"/>
      <c r="S7" s="692" t="s">
        <v>27</v>
      </c>
      <c r="T7" s="692" t="s">
        <v>27</v>
      </c>
      <c r="U7" s="692" t="s">
        <v>27</v>
      </c>
      <c r="V7" s="694" t="s">
        <v>32</v>
      </c>
      <c r="W7" s="693"/>
      <c r="X7" s="693"/>
      <c r="Y7" s="693"/>
      <c r="Z7" s="692" t="s">
        <v>27</v>
      </c>
      <c r="AA7" s="692" t="s">
        <v>27</v>
      </c>
      <c r="AB7" s="692" t="s">
        <v>27</v>
      </c>
      <c r="AC7" s="693"/>
      <c r="AD7" s="693"/>
      <c r="AE7" s="692" t="s">
        <v>27</v>
      </c>
      <c r="AF7" s="692" t="s">
        <v>27</v>
      </c>
      <c r="AG7" s="692" t="s">
        <v>27</v>
      </c>
      <c r="AH7" s="692" t="s">
        <v>27</v>
      </c>
      <c r="AI7" s="693"/>
      <c r="AJ7" s="695" t="s">
        <v>27</v>
      </c>
      <c r="AK7" s="693"/>
      <c r="AL7" s="672"/>
      <c r="AM7" s="60" t="str">
        <f t="shared" si="1"/>
        <v/>
      </c>
      <c r="AN7" s="60">
        <f t="shared" si="2"/>
        <v>0</v>
      </c>
      <c r="AO7" s="60">
        <f t="shared" si="3"/>
        <v>0</v>
      </c>
      <c r="AP7" s="60">
        <f t="shared" si="4"/>
        <v>0</v>
      </c>
      <c r="AQ7" s="60">
        <f t="shared" si="5"/>
        <v>0</v>
      </c>
      <c r="AR7" s="60">
        <f t="shared" si="6"/>
        <v>0</v>
      </c>
      <c r="AS7" s="60">
        <f t="shared" si="7"/>
        <v>0</v>
      </c>
      <c r="AT7" s="672"/>
    </row>
    <row r="8" ht="15.0" customHeight="1">
      <c r="A8" s="696"/>
      <c r="B8" s="697" t="s">
        <v>990</v>
      </c>
      <c r="C8" s="449" t="s">
        <v>1341</v>
      </c>
      <c r="D8" s="444">
        <v>12149.0</v>
      </c>
      <c r="E8" s="449" t="s">
        <v>1342</v>
      </c>
      <c r="F8" s="450" t="s">
        <v>1343</v>
      </c>
      <c r="G8" s="96" t="s">
        <v>22</v>
      </c>
      <c r="H8" s="96" t="s">
        <v>22</v>
      </c>
      <c r="I8" s="96" t="s">
        <v>22</v>
      </c>
      <c r="J8" s="96" t="s">
        <v>22</v>
      </c>
      <c r="K8" s="96" t="s">
        <v>22</v>
      </c>
      <c r="L8" s="96" t="s">
        <v>22</v>
      </c>
      <c r="M8" s="96" t="s">
        <v>22</v>
      </c>
      <c r="N8" s="96" t="s">
        <v>22</v>
      </c>
      <c r="O8" s="96" t="s">
        <v>22</v>
      </c>
      <c r="P8" s="96" t="s">
        <v>22</v>
      </c>
      <c r="Q8" s="75"/>
      <c r="R8" s="75"/>
      <c r="S8" s="72" t="s">
        <v>27</v>
      </c>
      <c r="T8" s="72" t="s">
        <v>27</v>
      </c>
      <c r="U8" s="420" t="s">
        <v>32</v>
      </c>
      <c r="V8" s="420" t="s">
        <v>32</v>
      </c>
      <c r="W8" s="75"/>
      <c r="X8" s="75"/>
      <c r="Y8" s="75"/>
      <c r="Z8" s="420" t="s">
        <v>32</v>
      </c>
      <c r="AA8" s="72" t="s">
        <v>27</v>
      </c>
      <c r="AB8" s="72" t="s">
        <v>27</v>
      </c>
      <c r="AC8" s="75"/>
      <c r="AD8" s="75"/>
      <c r="AE8" s="72" t="s">
        <v>27</v>
      </c>
      <c r="AF8" s="72" t="s">
        <v>27</v>
      </c>
      <c r="AG8" s="72" t="s">
        <v>27</v>
      </c>
      <c r="AH8" s="72" t="s">
        <v>27</v>
      </c>
      <c r="AI8" s="75"/>
      <c r="AJ8" s="75"/>
      <c r="AK8" s="75"/>
      <c r="AL8" s="672"/>
      <c r="AM8" s="60" t="str">
        <f t="shared" si="1"/>
        <v>NO CORRESPONDE FRANCO</v>
      </c>
      <c r="AN8" s="60">
        <f t="shared" si="2"/>
        <v>0</v>
      </c>
      <c r="AO8" s="60">
        <f t="shared" si="3"/>
        <v>0</v>
      </c>
      <c r="AP8" s="60">
        <f t="shared" si="4"/>
        <v>0</v>
      </c>
      <c r="AQ8" s="60">
        <f t="shared" si="5"/>
        <v>0</v>
      </c>
      <c r="AR8" s="60">
        <f t="shared" si="6"/>
        <v>10</v>
      </c>
      <c r="AS8" s="60">
        <f t="shared" si="7"/>
        <v>10</v>
      </c>
      <c r="AT8" s="672"/>
    </row>
    <row r="9" ht="15.0" customHeight="1">
      <c r="A9" s="698"/>
      <c r="B9" s="697" t="s">
        <v>269</v>
      </c>
      <c r="C9" s="449" t="s">
        <v>1344</v>
      </c>
      <c r="D9" s="444">
        <v>12595.0</v>
      </c>
      <c r="E9" s="449" t="s">
        <v>1345</v>
      </c>
      <c r="F9" s="450" t="s">
        <v>1346</v>
      </c>
      <c r="G9" s="96" t="s">
        <v>22</v>
      </c>
      <c r="H9" s="96" t="s">
        <v>22</v>
      </c>
      <c r="I9" s="96" t="s">
        <v>22</v>
      </c>
      <c r="J9" s="96" t="s">
        <v>22</v>
      </c>
      <c r="K9" s="96" t="s">
        <v>22</v>
      </c>
      <c r="L9" s="96" t="s">
        <v>22</v>
      </c>
      <c r="M9" s="96" t="s">
        <v>22</v>
      </c>
      <c r="N9" s="96" t="s">
        <v>22</v>
      </c>
      <c r="O9" s="96" t="s">
        <v>22</v>
      </c>
      <c r="P9" s="96" t="s">
        <v>22</v>
      </c>
      <c r="Q9" s="685"/>
      <c r="R9" s="685"/>
      <c r="S9" s="684" t="s">
        <v>27</v>
      </c>
      <c r="T9" s="684" t="s">
        <v>27</v>
      </c>
      <c r="U9" s="684" t="s">
        <v>27</v>
      </c>
      <c r="V9" s="684" t="s">
        <v>27</v>
      </c>
      <c r="W9" s="685"/>
      <c r="X9" s="685"/>
      <c r="Y9" s="685"/>
      <c r="Z9" s="684" t="s">
        <v>27</v>
      </c>
      <c r="AA9" s="684" t="s">
        <v>27</v>
      </c>
      <c r="AB9" s="684" t="s">
        <v>27</v>
      </c>
      <c r="AC9" s="685"/>
      <c r="AD9" s="685"/>
      <c r="AE9" s="684" t="s">
        <v>27</v>
      </c>
      <c r="AF9" s="684" t="s">
        <v>27</v>
      </c>
      <c r="AG9" s="684" t="s">
        <v>27</v>
      </c>
      <c r="AH9" s="684" t="s">
        <v>27</v>
      </c>
      <c r="AI9" s="685"/>
      <c r="AJ9" s="685"/>
      <c r="AK9" s="685"/>
      <c r="AL9" s="672"/>
      <c r="AM9" s="60" t="str">
        <f t="shared" si="1"/>
        <v>NO CORRESPONDE FRANCO</v>
      </c>
      <c r="AN9" s="60">
        <f t="shared" si="2"/>
        <v>0</v>
      </c>
      <c r="AO9" s="60">
        <f t="shared" si="3"/>
        <v>0</v>
      </c>
      <c r="AP9" s="60">
        <f t="shared" si="4"/>
        <v>0</v>
      </c>
      <c r="AQ9" s="60">
        <f t="shared" si="5"/>
        <v>0</v>
      </c>
      <c r="AR9" s="60">
        <f t="shared" si="6"/>
        <v>10</v>
      </c>
      <c r="AS9" s="60">
        <f t="shared" si="7"/>
        <v>10</v>
      </c>
      <c r="AT9" s="672"/>
    </row>
    <row r="10" ht="15.0" customHeight="1">
      <c r="A10" s="21"/>
      <c r="B10" s="25" t="s">
        <v>1347</v>
      </c>
      <c r="C10" s="6"/>
      <c r="D10" s="6"/>
      <c r="E10" s="6"/>
      <c r="F10" s="11"/>
      <c r="G10" s="699">
        <v>1.0</v>
      </c>
      <c r="H10" s="699">
        <v>2.0</v>
      </c>
      <c r="I10" s="699">
        <v>3.0</v>
      </c>
      <c r="J10" s="699">
        <v>4.0</v>
      </c>
      <c r="K10" s="699">
        <v>5.0</v>
      </c>
      <c r="L10" s="699">
        <v>6.0</v>
      </c>
      <c r="M10" s="699">
        <v>7.0</v>
      </c>
      <c r="N10" s="699">
        <v>8.0</v>
      </c>
      <c r="O10" s="699">
        <v>9.0</v>
      </c>
      <c r="P10" s="699">
        <v>10.0</v>
      </c>
      <c r="Q10" s="699">
        <v>11.0</v>
      </c>
      <c r="R10" s="699">
        <v>12.0</v>
      </c>
      <c r="S10" s="699">
        <v>13.0</v>
      </c>
      <c r="T10" s="699">
        <v>14.0</v>
      </c>
      <c r="U10" s="699">
        <v>15.0</v>
      </c>
      <c r="V10" s="699">
        <v>16.0</v>
      </c>
      <c r="W10" s="699">
        <v>17.0</v>
      </c>
      <c r="X10" s="699">
        <v>18.0</v>
      </c>
      <c r="Y10" s="699">
        <v>19.0</v>
      </c>
      <c r="Z10" s="699">
        <v>20.0</v>
      </c>
      <c r="AA10" s="699">
        <v>21.0</v>
      </c>
      <c r="AB10" s="699">
        <v>22.0</v>
      </c>
      <c r="AC10" s="699">
        <v>23.0</v>
      </c>
      <c r="AD10" s="699">
        <v>24.0</v>
      </c>
      <c r="AE10" s="699">
        <v>25.0</v>
      </c>
      <c r="AF10" s="699">
        <v>26.0</v>
      </c>
      <c r="AG10" s="699">
        <v>27.0</v>
      </c>
      <c r="AH10" s="699">
        <v>28.0</v>
      </c>
      <c r="AI10" s="699">
        <v>29.0</v>
      </c>
      <c r="AJ10" s="699">
        <v>30.0</v>
      </c>
      <c r="AK10" s="699">
        <v>31.0</v>
      </c>
      <c r="AL10" s="672"/>
      <c r="AM10" s="672"/>
      <c r="AN10" s="672"/>
      <c r="AO10" s="672"/>
      <c r="AP10" s="672"/>
      <c r="AQ10" s="672"/>
      <c r="AR10" s="672"/>
      <c r="AS10" s="672"/>
      <c r="AT10" s="672"/>
    </row>
    <row r="11" ht="15.0" customHeight="1">
      <c r="A11" s="21"/>
      <c r="B11" s="700" t="s">
        <v>4</v>
      </c>
      <c r="C11" s="701" t="s">
        <v>5</v>
      </c>
      <c r="D11" s="701" t="s">
        <v>6</v>
      </c>
      <c r="E11" s="702" t="s">
        <v>7</v>
      </c>
      <c r="F11" s="701" t="s">
        <v>8</v>
      </c>
      <c r="G11" s="9" t="s">
        <v>9</v>
      </c>
      <c r="H11" s="9" t="s">
        <v>10</v>
      </c>
      <c r="I11" s="9" t="s">
        <v>11</v>
      </c>
      <c r="J11" s="9" t="s">
        <v>12</v>
      </c>
      <c r="K11" s="9" t="s">
        <v>12</v>
      </c>
      <c r="L11" s="9" t="s">
        <v>13</v>
      </c>
      <c r="M11" s="9" t="s">
        <v>15</v>
      </c>
      <c r="N11" s="9" t="s">
        <v>9</v>
      </c>
      <c r="O11" s="9" t="s">
        <v>10</v>
      </c>
      <c r="P11" s="9" t="s">
        <v>11</v>
      </c>
      <c r="Q11" s="9" t="s">
        <v>12</v>
      </c>
      <c r="R11" s="9" t="s">
        <v>12</v>
      </c>
      <c r="S11" s="9" t="s">
        <v>13</v>
      </c>
      <c r="T11" s="9" t="s">
        <v>15</v>
      </c>
      <c r="U11" s="9" t="s">
        <v>9</v>
      </c>
      <c r="V11" s="9" t="s">
        <v>10</v>
      </c>
      <c r="W11" s="9" t="s">
        <v>11</v>
      </c>
      <c r="X11" s="9" t="s">
        <v>12</v>
      </c>
      <c r="Y11" s="9" t="s">
        <v>12</v>
      </c>
      <c r="Z11" s="9" t="s">
        <v>13</v>
      </c>
      <c r="AA11" s="9" t="s">
        <v>15</v>
      </c>
      <c r="AB11" s="9" t="s">
        <v>9</v>
      </c>
      <c r="AC11" s="9" t="s">
        <v>10</v>
      </c>
      <c r="AD11" s="9" t="s">
        <v>11</v>
      </c>
      <c r="AE11" s="9" t="s">
        <v>12</v>
      </c>
      <c r="AF11" s="9" t="s">
        <v>12</v>
      </c>
      <c r="AG11" s="9" t="s">
        <v>13</v>
      </c>
      <c r="AH11" s="13" t="s">
        <v>15</v>
      </c>
      <c r="AI11" s="9" t="s">
        <v>9</v>
      </c>
      <c r="AJ11" s="9" t="s">
        <v>10</v>
      </c>
      <c r="AK11" s="9" t="s">
        <v>11</v>
      </c>
      <c r="AL11" s="672"/>
      <c r="AM11" s="672"/>
      <c r="AN11" s="672"/>
      <c r="AO11" s="672"/>
      <c r="AP11" s="672"/>
      <c r="AQ11" s="672"/>
      <c r="AR11" s="672"/>
      <c r="AS11" s="672"/>
      <c r="AT11" s="672"/>
    </row>
    <row r="12" ht="15.0" customHeight="1">
      <c r="A12" s="703" t="s">
        <v>1348</v>
      </c>
      <c r="B12" s="704" t="s">
        <v>269</v>
      </c>
      <c r="C12" s="56" t="s">
        <v>1349</v>
      </c>
      <c r="D12" s="54">
        <v>12826.0</v>
      </c>
      <c r="E12" s="56" t="s">
        <v>1350</v>
      </c>
      <c r="F12" s="54" t="s">
        <v>1351</v>
      </c>
      <c r="G12" s="44"/>
      <c r="H12" s="44"/>
      <c r="I12" s="44"/>
      <c r="J12" s="45" t="s">
        <v>27</v>
      </c>
      <c r="K12" s="45" t="s">
        <v>120</v>
      </c>
      <c r="L12" s="45" t="s">
        <v>27</v>
      </c>
      <c r="M12" s="44"/>
      <c r="N12" s="44"/>
      <c r="O12" s="103" t="s">
        <v>27</v>
      </c>
      <c r="P12" s="45" t="s">
        <v>27</v>
      </c>
      <c r="Q12" s="45" t="s">
        <v>27</v>
      </c>
      <c r="R12" s="45" t="s">
        <v>27</v>
      </c>
      <c r="S12" s="44"/>
      <c r="T12" s="44"/>
      <c r="U12" s="44"/>
      <c r="V12" s="45" t="s">
        <v>27</v>
      </c>
      <c r="W12" s="45" t="s">
        <v>120</v>
      </c>
      <c r="X12" s="45" t="s">
        <v>27</v>
      </c>
      <c r="Y12" s="44"/>
      <c r="Z12" s="44"/>
      <c r="AA12" s="103" t="s">
        <v>27</v>
      </c>
      <c r="AB12" s="45" t="s">
        <v>27</v>
      </c>
      <c r="AC12" s="45" t="s">
        <v>27</v>
      </c>
      <c r="AD12" s="45" t="s">
        <v>27</v>
      </c>
      <c r="AE12" s="44"/>
      <c r="AF12" s="44"/>
      <c r="AG12" s="44"/>
      <c r="AH12" s="45" t="s">
        <v>27</v>
      </c>
      <c r="AI12" s="45" t="s">
        <v>27</v>
      </c>
      <c r="AJ12" s="45" t="s">
        <v>27</v>
      </c>
      <c r="AK12" s="44"/>
      <c r="AL12" s="672"/>
      <c r="AM12" s="60" t="str">
        <f t="shared" ref="AM12:AM16" si="8">IFS(AN12&gt;3,"NO CORRESPONDE FRANCO",AS12&gt;0,"NO CORRESPONDE FRANCO",AS12=0,"")</f>
        <v/>
      </c>
      <c r="AN12" s="60">
        <f t="shared" ref="AN12:AN16" si="9">COUNTIF($G12:$AK12,"LLT")</f>
        <v>0</v>
      </c>
      <c r="AO12" s="60">
        <f t="shared" ref="AO12:AO16" si="10">COUNTIF($G12:$AK12,"LM")</f>
        <v>0</v>
      </c>
      <c r="AP12" s="60">
        <f t="shared" ref="AP12:AP16" si="11">COUNTIF($G12:$AK12,"FaC")</f>
        <v>0</v>
      </c>
      <c r="AQ12" s="60">
        <f t="shared" ref="AQ12:AQ16" si="12">COUNTIF($G12:$AK12,"LxE")</f>
        <v>0</v>
      </c>
      <c r="AR12" s="60">
        <f t="shared" ref="AR12:AR16" si="13">COUNTIF($G12:$AK12,"LA")</f>
        <v>0</v>
      </c>
      <c r="AS12" s="60">
        <f t="shared" ref="AS12:AS16" si="14">SUM(AO12:AR12)</f>
        <v>0</v>
      </c>
      <c r="AT12" s="672"/>
    </row>
    <row r="13" ht="15.0" customHeight="1">
      <c r="A13" s="696"/>
      <c r="B13" s="705" t="s">
        <v>33</v>
      </c>
      <c r="C13" s="56" t="s">
        <v>1352</v>
      </c>
      <c r="D13" s="54">
        <v>4.7344153E7</v>
      </c>
      <c r="E13" s="56" t="s">
        <v>1353</v>
      </c>
      <c r="F13" s="54" t="s">
        <v>1354</v>
      </c>
      <c r="G13" s="44"/>
      <c r="H13" s="44"/>
      <c r="I13" s="44"/>
      <c r="J13" s="45" t="s">
        <v>27</v>
      </c>
      <c r="K13" s="45" t="s">
        <v>120</v>
      </c>
      <c r="L13" s="45" t="s">
        <v>27</v>
      </c>
      <c r="M13" s="44"/>
      <c r="N13" s="44"/>
      <c r="O13" s="103" t="s">
        <v>27</v>
      </c>
      <c r="P13" s="45" t="s">
        <v>27</v>
      </c>
      <c r="Q13" s="45" t="s">
        <v>27</v>
      </c>
      <c r="R13" s="45" t="s">
        <v>27</v>
      </c>
      <c r="S13" s="44"/>
      <c r="T13" s="44"/>
      <c r="U13" s="44"/>
      <c r="V13" s="45" t="s">
        <v>27</v>
      </c>
      <c r="W13" s="45" t="s">
        <v>120</v>
      </c>
      <c r="X13" s="45" t="s">
        <v>27</v>
      </c>
      <c r="Y13" s="44"/>
      <c r="Z13" s="44"/>
      <c r="AA13" s="103" t="s">
        <v>27</v>
      </c>
      <c r="AB13" s="45" t="s">
        <v>27</v>
      </c>
      <c r="AC13" s="45" t="s">
        <v>27</v>
      </c>
      <c r="AD13" s="45" t="s">
        <v>27</v>
      </c>
      <c r="AE13" s="44"/>
      <c r="AF13" s="44"/>
      <c r="AG13" s="44"/>
      <c r="AH13" s="45" t="s">
        <v>27</v>
      </c>
      <c r="AI13" s="45" t="s">
        <v>27</v>
      </c>
      <c r="AJ13" s="45" t="s">
        <v>27</v>
      </c>
      <c r="AK13" s="44"/>
      <c r="AL13" s="672"/>
      <c r="AM13" s="60" t="str">
        <f t="shared" si="8"/>
        <v/>
      </c>
      <c r="AN13" s="60">
        <f t="shared" si="9"/>
        <v>0</v>
      </c>
      <c r="AO13" s="60">
        <f t="shared" si="10"/>
        <v>0</v>
      </c>
      <c r="AP13" s="60">
        <f t="shared" si="11"/>
        <v>0</v>
      </c>
      <c r="AQ13" s="60">
        <f t="shared" si="12"/>
        <v>0</v>
      </c>
      <c r="AR13" s="60">
        <f t="shared" si="13"/>
        <v>0</v>
      </c>
      <c r="AS13" s="60">
        <f t="shared" si="14"/>
        <v>0</v>
      </c>
      <c r="AT13" s="672"/>
    </row>
    <row r="14" ht="15.0" customHeight="1">
      <c r="A14" s="687" t="s">
        <v>1355</v>
      </c>
      <c r="B14" s="706" t="s">
        <v>33</v>
      </c>
      <c r="C14" s="707" t="s">
        <v>1356</v>
      </c>
      <c r="D14" s="708">
        <v>4.6898849E7</v>
      </c>
      <c r="E14" s="709" t="s">
        <v>1357</v>
      </c>
      <c r="F14" s="708" t="s">
        <v>1358</v>
      </c>
      <c r="G14" s="710"/>
      <c r="H14" s="710"/>
      <c r="I14" s="710"/>
      <c r="J14" s="711" t="s">
        <v>27</v>
      </c>
      <c r="K14" s="711" t="s">
        <v>120</v>
      </c>
      <c r="L14" s="711" t="s">
        <v>27</v>
      </c>
      <c r="M14" s="710"/>
      <c r="N14" s="710"/>
      <c r="O14" s="712" t="s">
        <v>27</v>
      </c>
      <c r="P14" s="711" t="s">
        <v>27</v>
      </c>
      <c r="Q14" s="711" t="s">
        <v>27</v>
      </c>
      <c r="R14" s="711" t="s">
        <v>27</v>
      </c>
      <c r="S14" s="710"/>
      <c r="T14" s="710"/>
      <c r="U14" s="710"/>
      <c r="V14" s="711" t="s">
        <v>27</v>
      </c>
      <c r="W14" s="711" t="s">
        <v>120</v>
      </c>
      <c r="X14" s="711" t="s">
        <v>27</v>
      </c>
      <c r="Y14" s="710"/>
      <c r="Z14" s="710"/>
      <c r="AA14" s="712" t="s">
        <v>27</v>
      </c>
      <c r="AB14" s="711" t="s">
        <v>27</v>
      </c>
      <c r="AC14" s="711" t="s">
        <v>27</v>
      </c>
      <c r="AD14" s="711" t="s">
        <v>27</v>
      </c>
      <c r="AE14" s="710"/>
      <c r="AF14" s="710"/>
      <c r="AG14" s="710"/>
      <c r="AH14" s="711" t="s">
        <v>27</v>
      </c>
      <c r="AI14" s="711" t="s">
        <v>27</v>
      </c>
      <c r="AJ14" s="713" t="s">
        <v>79</v>
      </c>
      <c r="AK14" s="710"/>
      <c r="AL14" s="672"/>
      <c r="AM14" s="60" t="str">
        <f t="shared" si="8"/>
        <v/>
      </c>
      <c r="AN14" s="60">
        <f t="shared" si="9"/>
        <v>0</v>
      </c>
      <c r="AO14" s="60">
        <f t="shared" si="10"/>
        <v>0</v>
      </c>
      <c r="AP14" s="60">
        <f t="shared" si="11"/>
        <v>0</v>
      </c>
      <c r="AQ14" s="60">
        <f t="shared" si="12"/>
        <v>0</v>
      </c>
      <c r="AR14" s="60">
        <f t="shared" si="13"/>
        <v>0</v>
      </c>
      <c r="AS14" s="60">
        <f t="shared" si="14"/>
        <v>0</v>
      </c>
      <c r="AT14" s="672"/>
    </row>
    <row r="15" ht="15.0" customHeight="1">
      <c r="A15" s="696"/>
      <c r="B15" s="714" t="s">
        <v>269</v>
      </c>
      <c r="C15" s="715" t="s">
        <v>1359</v>
      </c>
      <c r="D15" s="716">
        <v>12342.0</v>
      </c>
      <c r="E15" s="717" t="s">
        <v>1360</v>
      </c>
      <c r="F15" s="716" t="s">
        <v>1361</v>
      </c>
      <c r="G15" s="718"/>
      <c r="H15" s="718"/>
      <c r="I15" s="719" t="s">
        <v>27</v>
      </c>
      <c r="J15" s="720" t="s">
        <v>27</v>
      </c>
      <c r="K15" s="720" t="s">
        <v>27</v>
      </c>
      <c r="L15" s="718"/>
      <c r="M15" s="718"/>
      <c r="N15" s="719" t="s">
        <v>27</v>
      </c>
      <c r="O15" s="720" t="s">
        <v>18</v>
      </c>
      <c r="P15" s="720" t="s">
        <v>27</v>
      </c>
      <c r="Q15" s="720" t="s">
        <v>27</v>
      </c>
      <c r="R15" s="720" t="s">
        <v>27</v>
      </c>
      <c r="S15" s="718"/>
      <c r="T15" s="96" t="s">
        <v>22</v>
      </c>
      <c r="U15" s="96" t="s">
        <v>22</v>
      </c>
      <c r="V15" s="96" t="s">
        <v>22</v>
      </c>
      <c r="W15" s="96" t="s">
        <v>22</v>
      </c>
      <c r="X15" s="96" t="s">
        <v>22</v>
      </c>
      <c r="Y15" s="96" t="s">
        <v>22</v>
      </c>
      <c r="Z15" s="96" t="s">
        <v>22</v>
      </c>
      <c r="AA15" s="96" t="s">
        <v>22</v>
      </c>
      <c r="AB15" s="96" t="s">
        <v>22</v>
      </c>
      <c r="AC15" s="96" t="s">
        <v>22</v>
      </c>
      <c r="AD15" s="96" t="s">
        <v>22</v>
      </c>
      <c r="AE15" s="96" t="s">
        <v>22</v>
      </c>
      <c r="AF15" s="96" t="s">
        <v>22</v>
      </c>
      <c r="AG15" s="96" t="s">
        <v>22</v>
      </c>
      <c r="AH15" s="96" t="s">
        <v>22</v>
      </c>
      <c r="AI15" s="721" t="s">
        <v>79</v>
      </c>
      <c r="AJ15" s="718"/>
      <c r="AK15" s="718"/>
      <c r="AL15" s="672"/>
      <c r="AM15" s="60" t="str">
        <f t="shared" si="8"/>
        <v>NO CORRESPONDE FRANCO</v>
      </c>
      <c r="AN15" s="60">
        <f t="shared" si="9"/>
        <v>1</v>
      </c>
      <c r="AO15" s="60">
        <f t="shared" si="10"/>
        <v>0</v>
      </c>
      <c r="AP15" s="60">
        <f t="shared" si="11"/>
        <v>0</v>
      </c>
      <c r="AQ15" s="60">
        <f t="shared" si="12"/>
        <v>0</v>
      </c>
      <c r="AR15" s="60">
        <f t="shared" si="13"/>
        <v>15</v>
      </c>
      <c r="AS15" s="60">
        <f t="shared" si="14"/>
        <v>15</v>
      </c>
      <c r="AT15" s="672"/>
    </row>
    <row r="16" ht="15.0" customHeight="1">
      <c r="A16" s="722"/>
      <c r="B16" s="723" t="s">
        <v>33</v>
      </c>
      <c r="C16" s="209" t="s">
        <v>1362</v>
      </c>
      <c r="D16" s="207">
        <v>2.4646968E7</v>
      </c>
      <c r="E16" s="724" t="s">
        <v>1363</v>
      </c>
      <c r="F16" s="207" t="s">
        <v>1364</v>
      </c>
      <c r="G16" s="710"/>
      <c r="H16" s="710"/>
      <c r="I16" s="712" t="s">
        <v>27</v>
      </c>
      <c r="J16" s="711" t="s">
        <v>27</v>
      </c>
      <c r="K16" s="711" t="s">
        <v>27</v>
      </c>
      <c r="L16" s="710"/>
      <c r="M16" s="710"/>
      <c r="N16" s="710"/>
      <c r="O16" s="711" t="s">
        <v>27</v>
      </c>
      <c r="P16" s="711" t="s">
        <v>27</v>
      </c>
      <c r="Q16" s="711" t="s">
        <v>27</v>
      </c>
      <c r="R16" s="711" t="s">
        <v>27</v>
      </c>
      <c r="S16" s="710"/>
      <c r="T16" s="710"/>
      <c r="U16" s="712" t="s">
        <v>27</v>
      </c>
      <c r="V16" s="711" t="s">
        <v>27</v>
      </c>
      <c r="W16" s="725"/>
      <c r="X16" s="710"/>
      <c r="Y16" s="710"/>
      <c r="Z16" s="710"/>
      <c r="AA16" s="711" t="s">
        <v>27</v>
      </c>
      <c r="AB16" s="711" t="s">
        <v>27</v>
      </c>
      <c r="AC16" s="711" t="s">
        <v>27</v>
      </c>
      <c r="AD16" s="711" t="s">
        <v>27</v>
      </c>
      <c r="AE16" s="710"/>
      <c r="AF16" s="710"/>
      <c r="AG16" s="711" t="s">
        <v>27</v>
      </c>
      <c r="AH16" s="711" t="s">
        <v>27</v>
      </c>
      <c r="AI16" s="711" t="s">
        <v>27</v>
      </c>
      <c r="AJ16" s="710"/>
      <c r="AK16" s="710"/>
      <c r="AL16" s="672"/>
      <c r="AM16" s="60" t="str">
        <f t="shared" si="8"/>
        <v/>
      </c>
      <c r="AN16" s="60">
        <f t="shared" si="9"/>
        <v>0</v>
      </c>
      <c r="AO16" s="60">
        <f t="shared" si="10"/>
        <v>0</v>
      </c>
      <c r="AP16" s="60">
        <f t="shared" si="11"/>
        <v>0</v>
      </c>
      <c r="AQ16" s="60">
        <f t="shared" si="12"/>
        <v>0</v>
      </c>
      <c r="AR16" s="60">
        <f t="shared" si="13"/>
        <v>0</v>
      </c>
      <c r="AS16" s="60">
        <f t="shared" si="14"/>
        <v>0</v>
      </c>
      <c r="AT16" s="672"/>
    </row>
    <row r="17" ht="15.0" customHeight="1">
      <c r="A17" s="21"/>
      <c r="B17" s="25" t="s">
        <v>1365</v>
      </c>
      <c r="C17" s="6"/>
      <c r="D17" s="6"/>
      <c r="E17" s="6"/>
      <c r="F17" s="11"/>
      <c r="G17" s="699">
        <v>1.0</v>
      </c>
      <c r="H17" s="699">
        <v>2.0</v>
      </c>
      <c r="I17" s="699">
        <v>3.0</v>
      </c>
      <c r="J17" s="699">
        <v>4.0</v>
      </c>
      <c r="K17" s="699">
        <v>5.0</v>
      </c>
      <c r="L17" s="699">
        <v>6.0</v>
      </c>
      <c r="M17" s="699">
        <v>7.0</v>
      </c>
      <c r="N17" s="699">
        <v>8.0</v>
      </c>
      <c r="O17" s="699">
        <v>9.0</v>
      </c>
      <c r="P17" s="699">
        <v>10.0</v>
      </c>
      <c r="Q17" s="699">
        <v>11.0</v>
      </c>
      <c r="R17" s="699">
        <v>12.0</v>
      </c>
      <c r="S17" s="699">
        <v>13.0</v>
      </c>
      <c r="T17" s="699">
        <v>14.0</v>
      </c>
      <c r="U17" s="699">
        <v>15.0</v>
      </c>
      <c r="V17" s="699">
        <v>16.0</v>
      </c>
      <c r="W17" s="699">
        <v>17.0</v>
      </c>
      <c r="X17" s="699">
        <v>18.0</v>
      </c>
      <c r="Y17" s="699">
        <v>19.0</v>
      </c>
      <c r="Z17" s="699">
        <v>20.0</v>
      </c>
      <c r="AA17" s="699">
        <v>21.0</v>
      </c>
      <c r="AB17" s="699">
        <v>22.0</v>
      </c>
      <c r="AC17" s="699">
        <v>23.0</v>
      </c>
      <c r="AD17" s="699">
        <v>24.0</v>
      </c>
      <c r="AE17" s="699">
        <v>25.0</v>
      </c>
      <c r="AF17" s="699">
        <v>26.0</v>
      </c>
      <c r="AG17" s="699">
        <v>27.0</v>
      </c>
      <c r="AH17" s="699">
        <v>28.0</v>
      </c>
      <c r="AI17" s="699">
        <v>29.0</v>
      </c>
      <c r="AJ17" s="699">
        <v>30.0</v>
      </c>
      <c r="AK17" s="699">
        <v>31.0</v>
      </c>
      <c r="AL17" s="672"/>
      <c r="AM17" s="672"/>
      <c r="AN17" s="672"/>
      <c r="AO17" s="672"/>
      <c r="AP17" s="672"/>
      <c r="AQ17" s="672"/>
      <c r="AR17" s="672"/>
      <c r="AS17" s="672"/>
      <c r="AT17" s="672"/>
    </row>
    <row r="18" ht="15.0" customHeight="1">
      <c r="A18" s="21"/>
      <c r="B18" s="665" t="s">
        <v>4</v>
      </c>
      <c r="C18" s="667" t="s">
        <v>5</v>
      </c>
      <c r="D18" s="667" t="s">
        <v>6</v>
      </c>
      <c r="E18" s="666" t="s">
        <v>7</v>
      </c>
      <c r="F18" s="667" t="s">
        <v>8</v>
      </c>
      <c r="G18" s="9" t="s">
        <v>9</v>
      </c>
      <c r="H18" s="9" t="s">
        <v>10</v>
      </c>
      <c r="I18" s="9" t="s">
        <v>11</v>
      </c>
      <c r="J18" s="9" t="s">
        <v>12</v>
      </c>
      <c r="K18" s="9" t="s">
        <v>12</v>
      </c>
      <c r="L18" s="9" t="s">
        <v>13</v>
      </c>
      <c r="M18" s="9" t="s">
        <v>15</v>
      </c>
      <c r="N18" s="9" t="s">
        <v>9</v>
      </c>
      <c r="O18" s="9" t="s">
        <v>10</v>
      </c>
      <c r="P18" s="9" t="s">
        <v>11</v>
      </c>
      <c r="Q18" s="9" t="s">
        <v>12</v>
      </c>
      <c r="R18" s="9" t="s">
        <v>12</v>
      </c>
      <c r="S18" s="9" t="s">
        <v>13</v>
      </c>
      <c r="T18" s="9" t="s">
        <v>15</v>
      </c>
      <c r="U18" s="9" t="s">
        <v>9</v>
      </c>
      <c r="V18" s="9" t="s">
        <v>10</v>
      </c>
      <c r="W18" s="9" t="s">
        <v>11</v>
      </c>
      <c r="X18" s="9" t="s">
        <v>12</v>
      </c>
      <c r="Y18" s="9" t="s">
        <v>12</v>
      </c>
      <c r="Z18" s="9" t="s">
        <v>13</v>
      </c>
      <c r="AA18" s="9" t="s">
        <v>15</v>
      </c>
      <c r="AB18" s="9" t="s">
        <v>9</v>
      </c>
      <c r="AC18" s="9" t="s">
        <v>10</v>
      </c>
      <c r="AD18" s="9" t="s">
        <v>11</v>
      </c>
      <c r="AE18" s="9" t="s">
        <v>12</v>
      </c>
      <c r="AF18" s="9" t="s">
        <v>12</v>
      </c>
      <c r="AG18" s="9" t="s">
        <v>13</v>
      </c>
      <c r="AH18" s="13" t="s">
        <v>15</v>
      </c>
      <c r="AI18" s="9" t="s">
        <v>9</v>
      </c>
      <c r="AJ18" s="9" t="s">
        <v>10</v>
      </c>
      <c r="AK18" s="9" t="s">
        <v>11</v>
      </c>
      <c r="AL18" s="672"/>
      <c r="AM18" s="672"/>
      <c r="AN18" s="672"/>
      <c r="AO18" s="672"/>
      <c r="AP18" s="672"/>
      <c r="AQ18" s="672"/>
      <c r="AR18" s="672"/>
      <c r="AS18" s="672"/>
      <c r="AT18" s="672"/>
    </row>
    <row r="19" ht="15.0" customHeight="1">
      <c r="A19" s="703" t="s">
        <v>1366</v>
      </c>
      <c r="B19" s="704" t="s">
        <v>269</v>
      </c>
      <c r="C19" s="56" t="s">
        <v>1367</v>
      </c>
      <c r="D19" s="54">
        <v>12351.0</v>
      </c>
      <c r="E19" s="56" t="s">
        <v>1368</v>
      </c>
      <c r="F19" s="54" t="s">
        <v>1369</v>
      </c>
      <c r="G19" s="72" t="s">
        <v>18</v>
      </c>
      <c r="H19" s="75"/>
      <c r="I19" s="75"/>
      <c r="J19" s="75"/>
      <c r="K19" s="72" t="s">
        <v>1370</v>
      </c>
      <c r="L19" s="72" t="s">
        <v>27</v>
      </c>
      <c r="M19" s="72" t="s">
        <v>120</v>
      </c>
      <c r="N19" s="72" t="s">
        <v>27</v>
      </c>
      <c r="O19" s="75"/>
      <c r="P19" s="75"/>
      <c r="Q19" s="72"/>
      <c r="R19" s="72" t="s">
        <v>27</v>
      </c>
      <c r="S19" s="72" t="s">
        <v>27</v>
      </c>
      <c r="T19" s="75"/>
      <c r="U19" s="75"/>
      <c r="V19" s="75"/>
      <c r="W19" s="72" t="s">
        <v>120</v>
      </c>
      <c r="X19" s="72" t="s">
        <v>27</v>
      </c>
      <c r="Y19" s="72" t="s">
        <v>27</v>
      </c>
      <c r="Z19" s="72" t="s">
        <v>27</v>
      </c>
      <c r="AA19" s="75"/>
      <c r="AB19" s="75"/>
      <c r="AC19" s="72" t="s">
        <v>27</v>
      </c>
      <c r="AD19" s="72" t="s">
        <v>27</v>
      </c>
      <c r="AE19" s="72" t="s">
        <v>27</v>
      </c>
      <c r="AF19" s="75"/>
      <c r="AG19" s="75"/>
      <c r="AH19" s="75"/>
      <c r="AI19" s="72" t="s">
        <v>27</v>
      </c>
      <c r="AJ19" s="72" t="s">
        <v>27</v>
      </c>
      <c r="AK19" s="72" t="s">
        <v>27</v>
      </c>
      <c r="AL19" s="672"/>
      <c r="AM19" s="60" t="str">
        <f t="shared" ref="AM19:AM22" si="15">IFS(AN19&gt;3,"NO CORRESPONDE FRANCO",AS19&gt;0,"NO CORRESPONDE FRANCO",AS19=0,"")</f>
        <v/>
      </c>
      <c r="AN19" s="60">
        <f t="shared" ref="AN19:AN22" si="16">COUNTIF($G19:$AK19,"LLT")</f>
        <v>1</v>
      </c>
      <c r="AO19" s="60">
        <f t="shared" ref="AO19:AO22" si="17">COUNTIF($G19:$AK19,"LM")</f>
        <v>0</v>
      </c>
      <c r="AP19" s="60">
        <f t="shared" ref="AP19:AP22" si="18">COUNTIF($G19:$AK19,"FaC")</f>
        <v>0</v>
      </c>
      <c r="AQ19" s="60">
        <f t="shared" ref="AQ19:AQ22" si="19">COUNTIF($G19:$AK19,"LxE")</f>
        <v>0</v>
      </c>
      <c r="AR19" s="60">
        <f t="shared" ref="AR19:AR22" si="20">COUNTIF($G19:$AK19,"LA")</f>
        <v>0</v>
      </c>
      <c r="AS19" s="60">
        <f t="shared" ref="AS19:AS22" si="21">SUM(AO19:AR19)</f>
        <v>0</v>
      </c>
      <c r="AT19" s="672"/>
    </row>
    <row r="20" ht="15.0" customHeight="1">
      <c r="A20" s="726"/>
      <c r="B20" s="727" t="s">
        <v>33</v>
      </c>
      <c r="C20" s="728" t="s">
        <v>1371</v>
      </c>
      <c r="D20" s="708">
        <v>4.0381683E7</v>
      </c>
      <c r="E20" s="728" t="s">
        <v>1372</v>
      </c>
      <c r="F20" s="729" t="s">
        <v>1373</v>
      </c>
      <c r="G20" s="684" t="s">
        <v>27</v>
      </c>
      <c r="H20" s="685"/>
      <c r="I20" s="685"/>
      <c r="J20" s="685"/>
      <c r="K20" s="684" t="s">
        <v>27</v>
      </c>
      <c r="L20" s="684" t="s">
        <v>18</v>
      </c>
      <c r="M20" s="730" t="s">
        <v>78</v>
      </c>
      <c r="N20" s="684" t="s">
        <v>18</v>
      </c>
      <c r="O20" s="685"/>
      <c r="P20" s="685"/>
      <c r="Q20" s="730" t="s">
        <v>78</v>
      </c>
      <c r="R20" s="684" t="s">
        <v>27</v>
      </c>
      <c r="S20" s="684" t="s">
        <v>27</v>
      </c>
      <c r="T20" s="685"/>
      <c r="U20" s="685"/>
      <c r="V20" s="685"/>
      <c r="W20" s="684" t="s">
        <v>18</v>
      </c>
      <c r="X20" s="731" t="s">
        <v>32</v>
      </c>
      <c r="Y20" s="684" t="s">
        <v>27</v>
      </c>
      <c r="Z20" s="684" t="s">
        <v>27</v>
      </c>
      <c r="AA20" s="685"/>
      <c r="AB20" s="685"/>
      <c r="AC20" s="684" t="s">
        <v>1370</v>
      </c>
      <c r="AD20" s="684" t="s">
        <v>27</v>
      </c>
      <c r="AE20" s="684" t="s">
        <v>27</v>
      </c>
      <c r="AF20" s="685"/>
      <c r="AG20" s="685"/>
      <c r="AH20" s="685"/>
      <c r="AI20" s="684" t="s">
        <v>27</v>
      </c>
      <c r="AJ20" s="684" t="s">
        <v>27</v>
      </c>
      <c r="AK20" s="684" t="s">
        <v>27</v>
      </c>
      <c r="AL20" s="672"/>
      <c r="AM20" s="60" t="str">
        <f t="shared" si="15"/>
        <v/>
      </c>
      <c r="AN20" s="60">
        <f t="shared" si="16"/>
        <v>3</v>
      </c>
      <c r="AO20" s="60">
        <f t="shared" si="17"/>
        <v>0</v>
      </c>
      <c r="AP20" s="60">
        <f t="shared" si="18"/>
        <v>0</v>
      </c>
      <c r="AQ20" s="60">
        <f t="shared" si="19"/>
        <v>0</v>
      </c>
      <c r="AR20" s="60">
        <f t="shared" si="20"/>
        <v>0</v>
      </c>
      <c r="AS20" s="60">
        <f t="shared" si="21"/>
        <v>0</v>
      </c>
      <c r="AT20" s="672"/>
    </row>
    <row r="21" ht="15.0" customHeight="1">
      <c r="A21" s="732" t="s">
        <v>1374</v>
      </c>
      <c r="B21" s="697" t="s">
        <v>23</v>
      </c>
      <c r="C21" s="449" t="s">
        <v>1375</v>
      </c>
      <c r="D21" s="450">
        <v>13551.0</v>
      </c>
      <c r="E21" s="733" t="s">
        <v>1376</v>
      </c>
      <c r="F21" s="450" t="s">
        <v>1377</v>
      </c>
      <c r="G21" s="692" t="s">
        <v>27</v>
      </c>
      <c r="H21" s="692" t="s">
        <v>18</v>
      </c>
      <c r="I21" s="693"/>
      <c r="J21" s="693"/>
      <c r="K21" s="693"/>
      <c r="L21" s="692" t="s">
        <v>27</v>
      </c>
      <c r="M21" s="734" t="s">
        <v>19</v>
      </c>
      <c r="N21" s="735" t="s">
        <v>79</v>
      </c>
      <c r="O21" s="693"/>
      <c r="P21" s="693"/>
      <c r="Q21" s="692" t="s">
        <v>27</v>
      </c>
      <c r="R21" s="692" t="s">
        <v>27</v>
      </c>
      <c r="S21" s="692" t="s">
        <v>27</v>
      </c>
      <c r="T21" s="692" t="s">
        <v>27</v>
      </c>
      <c r="U21" s="693"/>
      <c r="V21" s="693"/>
      <c r="W21" s="693"/>
      <c r="X21" s="692" t="s">
        <v>27</v>
      </c>
      <c r="Y21" s="692" t="s">
        <v>27</v>
      </c>
      <c r="Z21" s="692" t="s">
        <v>27</v>
      </c>
      <c r="AA21" s="693"/>
      <c r="AB21" s="693"/>
      <c r="AC21" s="692" t="s">
        <v>27</v>
      </c>
      <c r="AD21" s="692" t="s">
        <v>27</v>
      </c>
      <c r="AE21" s="692" t="s">
        <v>27</v>
      </c>
      <c r="AF21" s="692" t="s">
        <v>27</v>
      </c>
      <c r="AG21" s="693"/>
      <c r="AH21" s="693"/>
      <c r="AI21" s="695" t="s">
        <v>27</v>
      </c>
      <c r="AJ21" s="692" t="s">
        <v>27</v>
      </c>
      <c r="AK21" s="692" t="s">
        <v>27</v>
      </c>
      <c r="AL21" s="672"/>
      <c r="AM21" s="60" t="str">
        <f t="shared" si="15"/>
        <v>NO CORRESPONDE FRANCO</v>
      </c>
      <c r="AN21" s="60">
        <f t="shared" si="16"/>
        <v>1</v>
      </c>
      <c r="AO21" s="60">
        <f t="shared" si="17"/>
        <v>1</v>
      </c>
      <c r="AP21" s="60">
        <f t="shared" si="18"/>
        <v>0</v>
      </c>
      <c r="AQ21" s="60">
        <f t="shared" si="19"/>
        <v>0</v>
      </c>
      <c r="AR21" s="60">
        <f t="shared" si="20"/>
        <v>0</v>
      </c>
      <c r="AS21" s="60">
        <f t="shared" si="21"/>
        <v>1</v>
      </c>
      <c r="AT21" s="672"/>
    </row>
    <row r="22" ht="15.0" customHeight="1">
      <c r="A22" s="696"/>
      <c r="B22" s="697" t="s">
        <v>33</v>
      </c>
      <c r="C22" s="449" t="s">
        <v>1378</v>
      </c>
      <c r="D22" s="450">
        <v>2.0351386E7</v>
      </c>
      <c r="E22" s="733" t="s">
        <v>1379</v>
      </c>
      <c r="F22" s="450" t="s">
        <v>1380</v>
      </c>
      <c r="G22" s="96" t="s">
        <v>22</v>
      </c>
      <c r="H22" s="72" t="s">
        <v>27</v>
      </c>
      <c r="I22" s="75"/>
      <c r="J22" s="75"/>
      <c r="K22" s="75"/>
      <c r="L22" s="72" t="s">
        <v>27</v>
      </c>
      <c r="M22" s="72" t="s">
        <v>120</v>
      </c>
      <c r="N22" s="420" t="s">
        <v>32</v>
      </c>
      <c r="O22" s="75"/>
      <c r="P22" s="75"/>
      <c r="Q22" s="72" t="s">
        <v>27</v>
      </c>
      <c r="R22" s="72" t="s">
        <v>27</v>
      </c>
      <c r="S22" s="72" t="s">
        <v>27</v>
      </c>
      <c r="T22" s="72" t="s">
        <v>27</v>
      </c>
      <c r="U22" s="75"/>
      <c r="V22" s="75"/>
      <c r="W22" s="75"/>
      <c r="X22" s="72" t="s">
        <v>27</v>
      </c>
      <c r="Y22" s="72" t="s">
        <v>27</v>
      </c>
      <c r="Z22" s="72" t="s">
        <v>27</v>
      </c>
      <c r="AA22" s="75"/>
      <c r="AB22" s="75"/>
      <c r="AC22" s="72" t="s">
        <v>27</v>
      </c>
      <c r="AD22" s="734" t="s">
        <v>19</v>
      </c>
      <c r="AE22" s="72" t="s">
        <v>27</v>
      </c>
      <c r="AF22" s="72" t="s">
        <v>27</v>
      </c>
      <c r="AG22" s="75"/>
      <c r="AH22" s="75"/>
      <c r="AI22" s="75"/>
      <c r="AJ22" s="72" t="s">
        <v>27</v>
      </c>
      <c r="AK22" s="72" t="s">
        <v>27</v>
      </c>
      <c r="AL22" s="672"/>
      <c r="AM22" s="60" t="str">
        <f t="shared" si="15"/>
        <v>NO CORRESPONDE FRANCO</v>
      </c>
      <c r="AN22" s="60">
        <f t="shared" si="16"/>
        <v>0</v>
      </c>
      <c r="AO22" s="60">
        <f t="shared" si="17"/>
        <v>1</v>
      </c>
      <c r="AP22" s="60">
        <f t="shared" si="18"/>
        <v>0</v>
      </c>
      <c r="AQ22" s="60">
        <f t="shared" si="19"/>
        <v>0</v>
      </c>
      <c r="AR22" s="60">
        <f t="shared" si="20"/>
        <v>1</v>
      </c>
      <c r="AS22" s="60">
        <f t="shared" si="21"/>
        <v>2</v>
      </c>
      <c r="AT22" s="672"/>
    </row>
    <row r="23" ht="15.0" customHeight="1">
      <c r="G23" s="24">
        <f t="shared" ref="G23:AK23" si="22">COUNTIF(G4:G22,"P") + COUNTIF(G4:G22, "LLT")</f>
        <v>7</v>
      </c>
      <c r="H23" s="24">
        <f t="shared" si="22"/>
        <v>6</v>
      </c>
      <c r="I23" s="24">
        <f t="shared" si="22"/>
        <v>6</v>
      </c>
      <c r="J23" s="24">
        <f t="shared" si="22"/>
        <v>6</v>
      </c>
      <c r="K23" s="24">
        <f t="shared" si="22"/>
        <v>6</v>
      </c>
      <c r="L23" s="24">
        <f t="shared" si="22"/>
        <v>7</v>
      </c>
      <c r="M23" s="24">
        <f t="shared" si="22"/>
        <v>4</v>
      </c>
      <c r="N23" s="24">
        <f t="shared" si="22"/>
        <v>6</v>
      </c>
      <c r="O23" s="24">
        <f t="shared" si="22"/>
        <v>8</v>
      </c>
      <c r="P23" s="24">
        <f t="shared" si="22"/>
        <v>8</v>
      </c>
      <c r="Q23" s="24">
        <f t="shared" si="22"/>
        <v>7</v>
      </c>
      <c r="R23" s="24">
        <f t="shared" si="22"/>
        <v>9</v>
      </c>
      <c r="S23" s="24">
        <f t="shared" si="22"/>
        <v>9</v>
      </c>
      <c r="T23" s="24">
        <f t="shared" si="22"/>
        <v>7</v>
      </c>
      <c r="U23" s="24">
        <f t="shared" si="22"/>
        <v>5</v>
      </c>
      <c r="V23" s="24">
        <f t="shared" si="22"/>
        <v>5</v>
      </c>
      <c r="W23" s="24">
        <f t="shared" si="22"/>
        <v>5</v>
      </c>
      <c r="X23" s="24">
        <f t="shared" si="22"/>
        <v>6</v>
      </c>
      <c r="Y23" s="24">
        <f t="shared" si="22"/>
        <v>6</v>
      </c>
      <c r="Z23" s="24">
        <f t="shared" si="22"/>
        <v>8</v>
      </c>
      <c r="AA23" s="24">
        <f t="shared" si="22"/>
        <v>9</v>
      </c>
      <c r="AB23" s="24">
        <f t="shared" si="22"/>
        <v>9</v>
      </c>
      <c r="AC23" s="24">
        <f t="shared" si="22"/>
        <v>7</v>
      </c>
      <c r="AD23" s="24">
        <f t="shared" si="22"/>
        <v>7</v>
      </c>
      <c r="AE23" s="24">
        <f t="shared" si="22"/>
        <v>9</v>
      </c>
      <c r="AF23" s="24">
        <f t="shared" si="22"/>
        <v>8</v>
      </c>
      <c r="AG23" s="24">
        <f t="shared" si="22"/>
        <v>7</v>
      </c>
      <c r="AH23" s="24">
        <f t="shared" si="22"/>
        <v>7</v>
      </c>
      <c r="AI23" s="24">
        <f t="shared" si="22"/>
        <v>7</v>
      </c>
      <c r="AJ23" s="24">
        <f t="shared" si="22"/>
        <v>7</v>
      </c>
      <c r="AK23" s="24">
        <f t="shared" si="22"/>
        <v>7</v>
      </c>
      <c r="AL23" s="672"/>
      <c r="AM23" s="672"/>
      <c r="AN23" s="672"/>
      <c r="AO23" s="672"/>
      <c r="AP23" s="672"/>
      <c r="AQ23" s="672"/>
      <c r="AR23" s="672"/>
      <c r="AS23" s="672"/>
      <c r="AT23" s="672"/>
    </row>
    <row r="24" ht="15.75" customHeight="1">
      <c r="G24" s="24"/>
      <c r="H24" s="24"/>
      <c r="I24" s="24"/>
      <c r="J24" s="24"/>
      <c r="L24" s="24"/>
      <c r="M24" s="24"/>
      <c r="N24" s="24"/>
      <c r="O24" s="24"/>
      <c r="P24" s="24"/>
      <c r="Q24" s="24"/>
      <c r="R24" s="24"/>
      <c r="S24" s="24"/>
      <c r="T24" s="24"/>
      <c r="U24" s="24"/>
      <c r="V24" s="24"/>
      <c r="W24" s="24"/>
      <c r="X24" s="24"/>
      <c r="AL24" s="672"/>
      <c r="AM24" s="672"/>
      <c r="AN24" s="672"/>
      <c r="AO24" s="672"/>
      <c r="AP24" s="672"/>
      <c r="AQ24" s="672"/>
      <c r="AR24" s="672"/>
      <c r="AS24" s="672"/>
      <c r="AT24" s="672"/>
    </row>
    <row r="25" ht="25.5" customHeight="1">
      <c r="A25" s="663" t="s">
        <v>1381</v>
      </c>
      <c r="B25" s="6"/>
      <c r="C25" s="6"/>
      <c r="D25" s="6"/>
      <c r="E25" s="6"/>
      <c r="F25" s="6"/>
      <c r="G25" s="6"/>
      <c r="H25" s="6"/>
      <c r="I25" s="6"/>
      <c r="J25" s="6"/>
      <c r="K25" s="6"/>
      <c r="L25" s="6"/>
      <c r="M25" s="6"/>
      <c r="N25" s="6"/>
      <c r="O25" s="6"/>
      <c r="P25" s="6"/>
      <c r="Q25" s="6"/>
      <c r="R25" s="6"/>
      <c r="S25" s="6"/>
      <c r="T25" s="6"/>
      <c r="U25" s="6"/>
      <c r="V25" s="6"/>
      <c r="W25" s="6"/>
      <c r="X25" s="6"/>
      <c r="Y25" s="6"/>
      <c r="Z25" s="6"/>
      <c r="AA25" s="6"/>
      <c r="AB25" s="6"/>
      <c r="AC25" s="6"/>
      <c r="AD25" s="6"/>
      <c r="AE25" s="6"/>
      <c r="AF25" s="6"/>
      <c r="AG25" s="6"/>
      <c r="AH25" s="6"/>
      <c r="AI25" s="6"/>
      <c r="AJ25" s="6"/>
      <c r="AK25" s="11"/>
      <c r="AL25" s="672"/>
      <c r="AM25" s="672"/>
      <c r="AN25" s="672"/>
      <c r="AO25" s="672"/>
      <c r="AP25" s="672"/>
      <c r="AQ25" s="672"/>
      <c r="AR25" s="672"/>
      <c r="AS25" s="672"/>
      <c r="AT25" s="672"/>
    </row>
    <row r="26" ht="15.75" customHeight="1">
      <c r="A26" s="21"/>
      <c r="B26" s="664" t="s">
        <v>1382</v>
      </c>
      <c r="C26" s="2"/>
      <c r="D26" s="2"/>
      <c r="E26" s="2"/>
      <c r="F26" s="3"/>
      <c r="G26" s="9">
        <v>1.0</v>
      </c>
      <c r="H26" s="9">
        <v>2.0</v>
      </c>
      <c r="I26" s="9">
        <v>3.0</v>
      </c>
      <c r="J26" s="9">
        <v>4.0</v>
      </c>
      <c r="K26" s="9">
        <v>5.0</v>
      </c>
      <c r="L26" s="9">
        <v>6.0</v>
      </c>
      <c r="M26" s="9">
        <v>7.0</v>
      </c>
      <c r="N26" s="9">
        <v>8.0</v>
      </c>
      <c r="O26" s="9">
        <v>9.0</v>
      </c>
      <c r="P26" s="9">
        <v>10.0</v>
      </c>
      <c r="Q26" s="9">
        <v>11.0</v>
      </c>
      <c r="R26" s="9">
        <v>12.0</v>
      </c>
      <c r="S26" s="9">
        <v>13.0</v>
      </c>
      <c r="T26" s="9">
        <v>14.0</v>
      </c>
      <c r="U26" s="9">
        <v>15.0</v>
      </c>
      <c r="V26" s="9">
        <v>16.0</v>
      </c>
      <c r="W26" s="9">
        <v>17.0</v>
      </c>
      <c r="X26" s="9">
        <v>18.0</v>
      </c>
      <c r="Y26" s="9">
        <v>19.0</v>
      </c>
      <c r="Z26" s="9">
        <v>20.0</v>
      </c>
      <c r="AA26" s="9">
        <v>21.0</v>
      </c>
      <c r="AB26" s="9">
        <v>22.0</v>
      </c>
      <c r="AC26" s="9">
        <v>23.0</v>
      </c>
      <c r="AD26" s="9">
        <v>24.0</v>
      </c>
      <c r="AE26" s="9">
        <v>25.0</v>
      </c>
      <c r="AF26" s="9">
        <v>26.0</v>
      </c>
      <c r="AG26" s="9">
        <v>27.0</v>
      </c>
      <c r="AH26" s="9">
        <v>28.0</v>
      </c>
      <c r="AI26" s="9">
        <v>29.0</v>
      </c>
      <c r="AJ26" s="9">
        <v>30.0</v>
      </c>
      <c r="AK26" s="9">
        <v>31.0</v>
      </c>
      <c r="AL26" s="672"/>
      <c r="AM26" s="672"/>
      <c r="AN26" s="672"/>
      <c r="AO26" s="672"/>
      <c r="AP26" s="672"/>
      <c r="AQ26" s="672"/>
      <c r="AR26" s="672"/>
      <c r="AS26" s="672"/>
      <c r="AT26" s="672"/>
    </row>
    <row r="27" ht="15.75" customHeight="1">
      <c r="A27" s="21"/>
      <c r="B27" s="665" t="s">
        <v>4</v>
      </c>
      <c r="C27" s="667" t="s">
        <v>5</v>
      </c>
      <c r="D27" s="667" t="s">
        <v>6</v>
      </c>
      <c r="E27" s="736" t="s">
        <v>7</v>
      </c>
      <c r="F27" s="737" t="s">
        <v>8</v>
      </c>
      <c r="G27" s="9" t="s">
        <v>9</v>
      </c>
      <c r="H27" s="9" t="s">
        <v>10</v>
      </c>
      <c r="I27" s="9" t="s">
        <v>11</v>
      </c>
      <c r="J27" s="9" t="s">
        <v>12</v>
      </c>
      <c r="K27" s="9" t="s">
        <v>12</v>
      </c>
      <c r="L27" s="9" t="s">
        <v>13</v>
      </c>
      <c r="M27" s="9" t="s">
        <v>15</v>
      </c>
      <c r="N27" s="9" t="s">
        <v>9</v>
      </c>
      <c r="O27" s="9" t="s">
        <v>10</v>
      </c>
      <c r="P27" s="9" t="s">
        <v>11</v>
      </c>
      <c r="Q27" s="9" t="s">
        <v>12</v>
      </c>
      <c r="R27" s="9" t="s">
        <v>12</v>
      </c>
      <c r="S27" s="9" t="s">
        <v>13</v>
      </c>
      <c r="T27" s="9" t="s">
        <v>15</v>
      </c>
      <c r="U27" s="9" t="s">
        <v>9</v>
      </c>
      <c r="V27" s="9" t="s">
        <v>10</v>
      </c>
      <c r="W27" s="9" t="s">
        <v>11</v>
      </c>
      <c r="X27" s="9" t="s">
        <v>12</v>
      </c>
      <c r="Y27" s="9" t="s">
        <v>12</v>
      </c>
      <c r="Z27" s="9" t="s">
        <v>13</v>
      </c>
      <c r="AA27" s="9" t="s">
        <v>15</v>
      </c>
      <c r="AB27" s="9" t="s">
        <v>9</v>
      </c>
      <c r="AC27" s="9" t="s">
        <v>10</v>
      </c>
      <c r="AD27" s="9" t="s">
        <v>11</v>
      </c>
      <c r="AE27" s="9" t="s">
        <v>12</v>
      </c>
      <c r="AF27" s="9" t="s">
        <v>12</v>
      </c>
      <c r="AG27" s="9" t="s">
        <v>13</v>
      </c>
      <c r="AH27" s="13" t="s">
        <v>15</v>
      </c>
      <c r="AI27" s="9" t="s">
        <v>9</v>
      </c>
      <c r="AJ27" s="9" t="s">
        <v>10</v>
      </c>
      <c r="AK27" s="738" t="s">
        <v>11</v>
      </c>
      <c r="AL27" s="672"/>
      <c r="AM27" s="672"/>
      <c r="AN27" s="672"/>
      <c r="AO27" s="672"/>
      <c r="AP27" s="672"/>
      <c r="AQ27" s="672"/>
      <c r="AR27" s="672"/>
      <c r="AS27" s="672"/>
      <c r="AT27" s="672"/>
    </row>
    <row r="28" ht="15.75" customHeight="1">
      <c r="A28" s="703" t="s">
        <v>1383</v>
      </c>
      <c r="B28" s="669" t="s">
        <v>23</v>
      </c>
      <c r="C28" s="18" t="s">
        <v>1384</v>
      </c>
      <c r="D28" s="20">
        <v>12290.0</v>
      </c>
      <c r="E28" s="670" t="s">
        <v>1385</v>
      </c>
      <c r="F28" s="739" t="s">
        <v>1386</v>
      </c>
      <c r="G28" s="142"/>
      <c r="H28" s="72" t="s">
        <v>27</v>
      </c>
      <c r="I28" s="72" t="s">
        <v>27</v>
      </c>
      <c r="J28" s="75"/>
      <c r="K28" s="75"/>
      <c r="L28" s="75"/>
      <c r="M28" s="72" t="s">
        <v>27</v>
      </c>
      <c r="N28" s="72" t="s">
        <v>27</v>
      </c>
      <c r="O28" s="72" t="s">
        <v>27</v>
      </c>
      <c r="P28" s="142"/>
      <c r="Q28" s="75"/>
      <c r="R28" s="75"/>
      <c r="S28" s="72" t="s">
        <v>27</v>
      </c>
      <c r="T28" s="72" t="s">
        <v>27</v>
      </c>
      <c r="U28" s="72" t="s">
        <v>27</v>
      </c>
      <c r="V28" s="75"/>
      <c r="W28" s="75"/>
      <c r="X28" s="75"/>
      <c r="Y28" s="72" t="s">
        <v>27</v>
      </c>
      <c r="Z28" s="72"/>
      <c r="AA28" s="72" t="s">
        <v>27</v>
      </c>
      <c r="AB28" s="72" t="s">
        <v>27</v>
      </c>
      <c r="AC28" s="75"/>
      <c r="AD28" s="75"/>
      <c r="AE28" s="72" t="s">
        <v>27</v>
      </c>
      <c r="AF28" s="72" t="s">
        <v>27</v>
      </c>
      <c r="AG28" s="106" t="s">
        <v>32</v>
      </c>
      <c r="AH28" s="75"/>
      <c r="AI28" s="75"/>
      <c r="AJ28" s="75"/>
      <c r="AK28" s="72" t="s">
        <v>27</v>
      </c>
      <c r="AL28" s="672"/>
      <c r="AM28" s="60" t="str">
        <f t="shared" ref="AM28:AM31" si="23">IFS(AN28&gt;3,"NO CORRESPONDE FRANCO",AS28&gt;0,"NO CORRESPONDE FRANCO",AS28=0,"")</f>
        <v/>
      </c>
      <c r="AN28" s="60">
        <f t="shared" ref="AN28:AN31" si="24">COUNTIF($G28:$AK28,"LLT")</f>
        <v>0</v>
      </c>
      <c r="AO28" s="60">
        <f t="shared" ref="AO28:AO31" si="25">COUNTIF($G28:$AK28,"LM")</f>
        <v>0</v>
      </c>
      <c r="AP28" s="60">
        <f t="shared" ref="AP28:AP31" si="26">COUNTIF($G28:$AK28,"FaC")</f>
        <v>0</v>
      </c>
      <c r="AQ28" s="60">
        <f t="shared" ref="AQ28:AQ31" si="27">COUNTIF($G28:$AK28,"LxE")</f>
        <v>0</v>
      </c>
      <c r="AR28" s="60">
        <f t="shared" ref="AR28:AR31" si="28">COUNTIF($G28:$AK28,"LA")</f>
        <v>0</v>
      </c>
      <c r="AS28" s="60">
        <f t="shared" ref="AS28:AS31" si="29">SUM(AO28:AR28)</f>
        <v>0</v>
      </c>
      <c r="AT28" s="672"/>
    </row>
    <row r="29" ht="15.75" customHeight="1">
      <c r="A29" s="726"/>
      <c r="B29" s="727" t="s">
        <v>23</v>
      </c>
      <c r="C29" s="728" t="s">
        <v>1387</v>
      </c>
      <c r="D29" s="729">
        <v>12936.0</v>
      </c>
      <c r="E29" s="740" t="s">
        <v>1388</v>
      </c>
      <c r="F29" s="741" t="s">
        <v>1389</v>
      </c>
      <c r="G29" s="684" t="s">
        <v>18</v>
      </c>
      <c r="H29" s="684" t="s">
        <v>27</v>
      </c>
      <c r="I29" s="684" t="s">
        <v>18</v>
      </c>
      <c r="J29" s="685"/>
      <c r="K29" s="685"/>
      <c r="L29" s="9">
        <v>5.0</v>
      </c>
      <c r="M29" s="684" t="s">
        <v>18</v>
      </c>
      <c r="N29" s="684" t="s">
        <v>27</v>
      </c>
      <c r="O29" s="684" t="s">
        <v>120</v>
      </c>
      <c r="P29" s="684" t="s">
        <v>27</v>
      </c>
      <c r="Q29" s="685"/>
      <c r="R29" s="685"/>
      <c r="S29" s="684" t="s">
        <v>27</v>
      </c>
      <c r="T29" s="684" t="s">
        <v>1390</v>
      </c>
      <c r="U29" s="684" t="s">
        <v>1390</v>
      </c>
      <c r="V29" s="685"/>
      <c r="W29" s="685"/>
      <c r="X29" s="685"/>
      <c r="Y29" s="684" t="s">
        <v>27</v>
      </c>
      <c r="Z29" s="692"/>
      <c r="AA29" s="684" t="s">
        <v>27</v>
      </c>
      <c r="AB29" s="684" t="s">
        <v>18</v>
      </c>
      <c r="AC29" s="685"/>
      <c r="AD29" s="685"/>
      <c r="AE29" s="684" t="s">
        <v>27</v>
      </c>
      <c r="AF29" s="684" t="s">
        <v>27</v>
      </c>
      <c r="AG29" s="686"/>
      <c r="AH29" s="685"/>
      <c r="AI29" s="685"/>
      <c r="AJ29" s="685"/>
      <c r="AK29" s="684" t="s">
        <v>27</v>
      </c>
      <c r="AL29" s="672"/>
      <c r="AM29" s="60" t="str">
        <f t="shared" si="23"/>
        <v>NO CORRESPONDE FRANCO</v>
      </c>
      <c r="AN29" s="60">
        <f t="shared" si="24"/>
        <v>4</v>
      </c>
      <c r="AO29" s="60">
        <f t="shared" si="25"/>
        <v>0</v>
      </c>
      <c r="AP29" s="60">
        <f t="shared" si="26"/>
        <v>0</v>
      </c>
      <c r="AQ29" s="60">
        <f t="shared" si="27"/>
        <v>0</v>
      </c>
      <c r="AR29" s="60">
        <f t="shared" si="28"/>
        <v>0</v>
      </c>
      <c r="AS29" s="60">
        <f t="shared" si="29"/>
        <v>0</v>
      </c>
      <c r="AT29" s="672"/>
    </row>
    <row r="30" ht="15.75" customHeight="1">
      <c r="A30" s="732" t="s">
        <v>1391</v>
      </c>
      <c r="B30" s="714" t="s">
        <v>269</v>
      </c>
      <c r="C30" s="715" t="s">
        <v>1392</v>
      </c>
      <c r="D30" s="716">
        <v>12909.0</v>
      </c>
      <c r="E30" s="717" t="s">
        <v>1393</v>
      </c>
      <c r="F30" s="742" t="s">
        <v>1394</v>
      </c>
      <c r="G30" s="743" t="s">
        <v>22</v>
      </c>
      <c r="H30" s="743" t="s">
        <v>22</v>
      </c>
      <c r="I30" s="743" t="s">
        <v>22</v>
      </c>
      <c r="J30" s="743" t="s">
        <v>22</v>
      </c>
      <c r="K30" s="693"/>
      <c r="L30" s="693"/>
      <c r="M30" s="693"/>
      <c r="N30" s="692" t="s">
        <v>27</v>
      </c>
      <c r="O30" s="692" t="s">
        <v>120</v>
      </c>
      <c r="P30" s="692" t="s">
        <v>27</v>
      </c>
      <c r="Q30" s="693"/>
      <c r="R30" s="693"/>
      <c r="S30" s="692" t="s">
        <v>120</v>
      </c>
      <c r="T30" s="692" t="s">
        <v>27</v>
      </c>
      <c r="U30" s="692" t="s">
        <v>27</v>
      </c>
      <c r="V30" s="692" t="s">
        <v>27</v>
      </c>
      <c r="W30" s="693"/>
      <c r="X30" s="693"/>
      <c r="Y30" s="693"/>
      <c r="Z30" s="72" t="s">
        <v>27</v>
      </c>
      <c r="AA30" s="692" t="s">
        <v>27</v>
      </c>
      <c r="AB30" s="106" t="s">
        <v>32</v>
      </c>
      <c r="AC30" s="693"/>
      <c r="AD30" s="693"/>
      <c r="AE30" s="744"/>
      <c r="AF30" s="692" t="s">
        <v>27</v>
      </c>
      <c r="AG30" s="744"/>
      <c r="AH30" s="692" t="s">
        <v>27</v>
      </c>
      <c r="AI30" s="693"/>
      <c r="AJ30" s="693"/>
      <c r="AK30" s="693"/>
      <c r="AL30" s="672"/>
      <c r="AM30" s="60" t="str">
        <f t="shared" si="23"/>
        <v>NO CORRESPONDE FRANCO</v>
      </c>
      <c r="AN30" s="60">
        <f t="shared" si="24"/>
        <v>0</v>
      </c>
      <c r="AO30" s="60">
        <f t="shared" si="25"/>
        <v>0</v>
      </c>
      <c r="AP30" s="60">
        <f t="shared" si="26"/>
        <v>0</v>
      </c>
      <c r="AQ30" s="60">
        <f t="shared" si="27"/>
        <v>0</v>
      </c>
      <c r="AR30" s="60">
        <f t="shared" si="28"/>
        <v>4</v>
      </c>
      <c r="AS30" s="60">
        <f t="shared" si="29"/>
        <v>4</v>
      </c>
      <c r="AT30" s="672"/>
    </row>
    <row r="31" ht="15.75" customHeight="1">
      <c r="A31" s="696"/>
      <c r="B31" s="697" t="s">
        <v>33</v>
      </c>
      <c r="C31" s="449" t="s">
        <v>1395</v>
      </c>
      <c r="D31" s="450">
        <v>9.2854523E7</v>
      </c>
      <c r="E31" s="733" t="s">
        <v>1396</v>
      </c>
      <c r="F31" s="745">
        <v>1.165704606E9</v>
      </c>
      <c r="G31" s="105" t="s">
        <v>18</v>
      </c>
      <c r="H31" s="72" t="s">
        <v>18</v>
      </c>
      <c r="I31" s="72" t="s">
        <v>27</v>
      </c>
      <c r="J31" s="72" t="s">
        <v>27</v>
      </c>
      <c r="K31" s="75"/>
      <c r="L31" s="75"/>
      <c r="M31" s="75"/>
      <c r="N31" s="72" t="s">
        <v>27</v>
      </c>
      <c r="O31" s="72" t="s">
        <v>1397</v>
      </c>
      <c r="P31" s="72" t="s">
        <v>27</v>
      </c>
      <c r="Q31" s="75"/>
      <c r="R31" s="75"/>
      <c r="S31" s="72" t="s">
        <v>120</v>
      </c>
      <c r="T31" s="72" t="s">
        <v>27</v>
      </c>
      <c r="U31" s="72" t="s">
        <v>27</v>
      </c>
      <c r="V31" s="106" t="s">
        <v>32</v>
      </c>
      <c r="W31" s="75"/>
      <c r="X31" s="75"/>
      <c r="Y31" s="75"/>
      <c r="Z31" s="72" t="s">
        <v>27</v>
      </c>
      <c r="AA31" s="72" t="s">
        <v>1370</v>
      </c>
      <c r="AB31" s="72" t="s">
        <v>27</v>
      </c>
      <c r="AC31" s="75"/>
      <c r="AD31" s="75"/>
      <c r="AE31" s="72" t="s">
        <v>1370</v>
      </c>
      <c r="AF31" s="72" t="s">
        <v>27</v>
      </c>
      <c r="AG31" s="72" t="s">
        <v>27</v>
      </c>
      <c r="AH31" s="72" t="s">
        <v>27</v>
      </c>
      <c r="AI31" s="75"/>
      <c r="AJ31" s="75"/>
      <c r="AK31" s="75"/>
      <c r="AL31" s="746" t="s">
        <v>1398</v>
      </c>
      <c r="AM31" s="60" t="str">
        <f t="shared" si="23"/>
        <v/>
      </c>
      <c r="AN31" s="60">
        <f t="shared" si="24"/>
        <v>2</v>
      </c>
      <c r="AO31" s="60">
        <f t="shared" si="25"/>
        <v>0</v>
      </c>
      <c r="AP31" s="60">
        <f t="shared" si="26"/>
        <v>0</v>
      </c>
      <c r="AQ31" s="60">
        <f t="shared" si="27"/>
        <v>0</v>
      </c>
      <c r="AR31" s="60">
        <f t="shared" si="28"/>
        <v>0</v>
      </c>
      <c r="AS31" s="60">
        <f t="shared" si="29"/>
        <v>0</v>
      </c>
      <c r="AT31" s="672"/>
    </row>
    <row r="32" ht="15.0" customHeight="1">
      <c r="A32" s="21"/>
      <c r="B32" s="747"/>
      <c r="C32" s="747"/>
      <c r="D32" s="747"/>
      <c r="E32" s="747"/>
      <c r="F32" s="747"/>
      <c r="G32" s="24"/>
      <c r="H32" s="24"/>
      <c r="I32" s="24"/>
      <c r="J32" s="24"/>
      <c r="L32" s="24"/>
      <c r="M32" s="24"/>
      <c r="N32" s="24"/>
      <c r="O32" s="24"/>
      <c r="P32" s="24"/>
      <c r="Q32" s="24"/>
      <c r="R32" s="24"/>
      <c r="S32" s="24"/>
      <c r="T32" s="24"/>
      <c r="U32" s="24"/>
      <c r="V32" s="24"/>
      <c r="W32" s="24"/>
      <c r="X32" s="24"/>
      <c r="AL32" s="672"/>
      <c r="AM32" s="672"/>
      <c r="AN32" s="672"/>
      <c r="AO32" s="672"/>
      <c r="AP32" s="672"/>
      <c r="AQ32" s="672"/>
      <c r="AR32" s="672"/>
      <c r="AS32" s="672"/>
      <c r="AT32" s="672"/>
    </row>
    <row r="33" ht="15.75" customHeight="1">
      <c r="A33" s="21"/>
      <c r="B33" s="664" t="s">
        <v>1399</v>
      </c>
      <c r="C33" s="2"/>
      <c r="D33" s="2"/>
      <c r="E33" s="2"/>
      <c r="F33" s="3"/>
      <c r="G33" s="9">
        <v>1.0</v>
      </c>
      <c r="H33" s="9">
        <v>2.0</v>
      </c>
      <c r="I33" s="9">
        <v>3.0</v>
      </c>
      <c r="J33" s="9">
        <v>4.0</v>
      </c>
      <c r="L33" s="9">
        <v>6.0</v>
      </c>
      <c r="M33" s="9">
        <v>7.0</v>
      </c>
      <c r="N33" s="9">
        <v>8.0</v>
      </c>
      <c r="O33" s="9">
        <v>9.0</v>
      </c>
      <c r="P33" s="9">
        <v>10.0</v>
      </c>
      <c r="Q33" s="9">
        <v>11.0</v>
      </c>
      <c r="R33" s="9">
        <v>12.0</v>
      </c>
      <c r="S33" s="9">
        <v>13.0</v>
      </c>
      <c r="T33" s="9">
        <v>14.0</v>
      </c>
      <c r="U33" s="9">
        <v>15.0</v>
      </c>
      <c r="V33" s="9">
        <v>16.0</v>
      </c>
      <c r="W33" s="9">
        <v>17.0</v>
      </c>
      <c r="X33" s="9">
        <v>18.0</v>
      </c>
      <c r="Y33" s="9">
        <v>19.0</v>
      </c>
      <c r="Z33" s="9">
        <v>20.0</v>
      </c>
      <c r="AA33" s="9">
        <v>21.0</v>
      </c>
      <c r="AB33" s="9">
        <v>22.0</v>
      </c>
      <c r="AC33" s="9">
        <v>23.0</v>
      </c>
      <c r="AD33" s="9">
        <v>24.0</v>
      </c>
      <c r="AE33" s="9">
        <v>25.0</v>
      </c>
      <c r="AF33" s="9">
        <v>26.0</v>
      </c>
      <c r="AG33" s="9">
        <v>27.0</v>
      </c>
      <c r="AH33" s="9">
        <v>28.0</v>
      </c>
      <c r="AI33" s="9">
        <v>29.0</v>
      </c>
      <c r="AJ33" s="9">
        <v>30.0</v>
      </c>
      <c r="AK33" s="9">
        <v>31.0</v>
      </c>
      <c r="AL33" s="672"/>
      <c r="AM33" s="672"/>
      <c r="AN33" s="672"/>
      <c r="AO33" s="672"/>
      <c r="AP33" s="672"/>
      <c r="AQ33" s="672"/>
      <c r="AR33" s="672"/>
      <c r="AS33" s="672"/>
      <c r="AT33" s="672"/>
    </row>
    <row r="34" ht="15.0" customHeight="1">
      <c r="A34" s="21"/>
      <c r="B34" s="665" t="s">
        <v>4</v>
      </c>
      <c r="C34" s="666" t="s">
        <v>5</v>
      </c>
      <c r="D34" s="667" t="s">
        <v>6</v>
      </c>
      <c r="E34" s="666" t="s">
        <v>7</v>
      </c>
      <c r="F34" s="667" t="s">
        <v>8</v>
      </c>
      <c r="G34" s="9" t="s">
        <v>9</v>
      </c>
      <c r="H34" s="9" t="s">
        <v>10</v>
      </c>
      <c r="I34" s="9" t="s">
        <v>11</v>
      </c>
      <c r="J34" s="9" t="s">
        <v>12</v>
      </c>
      <c r="K34" s="9" t="s">
        <v>12</v>
      </c>
      <c r="L34" s="9" t="s">
        <v>13</v>
      </c>
      <c r="M34" s="9" t="s">
        <v>15</v>
      </c>
      <c r="N34" s="9" t="s">
        <v>9</v>
      </c>
      <c r="O34" s="9" t="s">
        <v>10</v>
      </c>
      <c r="P34" s="9" t="s">
        <v>11</v>
      </c>
      <c r="Q34" s="9" t="s">
        <v>12</v>
      </c>
      <c r="R34" s="9" t="s">
        <v>12</v>
      </c>
      <c r="S34" s="9" t="s">
        <v>13</v>
      </c>
      <c r="T34" s="9" t="s">
        <v>15</v>
      </c>
      <c r="U34" s="9" t="s">
        <v>9</v>
      </c>
      <c r="V34" s="9" t="s">
        <v>10</v>
      </c>
      <c r="W34" s="9" t="s">
        <v>11</v>
      </c>
      <c r="X34" s="9" t="s">
        <v>12</v>
      </c>
      <c r="Y34" s="9" t="s">
        <v>12</v>
      </c>
      <c r="Z34" s="9" t="s">
        <v>13</v>
      </c>
      <c r="AA34" s="9" t="s">
        <v>15</v>
      </c>
      <c r="AB34" s="9" t="s">
        <v>9</v>
      </c>
      <c r="AC34" s="9" t="s">
        <v>10</v>
      </c>
      <c r="AD34" s="9" t="s">
        <v>11</v>
      </c>
      <c r="AE34" s="9" t="s">
        <v>12</v>
      </c>
      <c r="AF34" s="9" t="s">
        <v>12</v>
      </c>
      <c r="AG34" s="9" t="s">
        <v>13</v>
      </c>
      <c r="AH34" s="13" t="s">
        <v>15</v>
      </c>
      <c r="AI34" s="9" t="s">
        <v>9</v>
      </c>
      <c r="AJ34" s="9" t="s">
        <v>10</v>
      </c>
      <c r="AK34" s="9" t="s">
        <v>11</v>
      </c>
      <c r="AL34" s="672"/>
      <c r="AM34" s="672"/>
      <c r="AN34" s="672"/>
      <c r="AO34" s="672"/>
      <c r="AP34" s="672"/>
      <c r="AQ34" s="672"/>
      <c r="AR34" s="672"/>
      <c r="AS34" s="672"/>
      <c r="AT34" s="672"/>
    </row>
    <row r="35" ht="15.0" customHeight="1">
      <c r="A35" s="703" t="s">
        <v>1400</v>
      </c>
      <c r="B35" s="704" t="s">
        <v>269</v>
      </c>
      <c r="C35" s="56" t="s">
        <v>1401</v>
      </c>
      <c r="D35" s="54">
        <v>12667.0</v>
      </c>
      <c r="E35" s="56" t="s">
        <v>1402</v>
      </c>
      <c r="F35" s="54" t="s">
        <v>1403</v>
      </c>
      <c r="G35" s="44"/>
      <c r="H35" s="44"/>
      <c r="I35" s="44"/>
      <c r="J35" s="45" t="s">
        <v>27</v>
      </c>
      <c r="K35" s="45" t="s">
        <v>27</v>
      </c>
      <c r="L35" s="45" t="s">
        <v>27</v>
      </c>
      <c r="M35" s="44"/>
      <c r="N35" s="44"/>
      <c r="O35" s="103" t="s">
        <v>27</v>
      </c>
      <c r="P35" s="45" t="s">
        <v>27</v>
      </c>
      <c r="Q35" s="70"/>
      <c r="R35" s="45" t="s">
        <v>27</v>
      </c>
      <c r="S35" s="44"/>
      <c r="T35" s="44"/>
      <c r="U35" s="103" t="s">
        <v>27</v>
      </c>
      <c r="V35" s="109" t="s">
        <v>79</v>
      </c>
      <c r="W35" s="45" t="s">
        <v>27</v>
      </c>
      <c r="X35" s="45"/>
      <c r="Y35" s="44"/>
      <c r="Z35" s="44"/>
      <c r="AA35" s="103" t="s">
        <v>27</v>
      </c>
      <c r="AB35" s="45" t="s">
        <v>27</v>
      </c>
      <c r="AC35" s="45" t="s">
        <v>27</v>
      </c>
      <c r="AD35" s="45" t="s">
        <v>27</v>
      </c>
      <c r="AE35" s="44"/>
      <c r="AF35" s="44"/>
      <c r="AG35" s="44"/>
      <c r="AH35" s="45" t="s">
        <v>27</v>
      </c>
      <c r="AI35" s="45" t="s">
        <v>27</v>
      </c>
      <c r="AJ35" s="45" t="s">
        <v>27</v>
      </c>
      <c r="AK35" s="44"/>
      <c r="AL35" s="672"/>
      <c r="AM35" s="60" t="str">
        <f t="shared" ref="AM35:AM37" si="30">IFS(AN35&gt;3,"NO CORRESPONDE FRANCO",AS35&gt;0,"NO CORRESPONDE FRANCO",AS35=0,"")</f>
        <v/>
      </c>
      <c r="AN35" s="60">
        <f t="shared" ref="AN35:AN37" si="31">COUNTIF($G35:$AK35,"LLT")</f>
        <v>0</v>
      </c>
      <c r="AO35" s="60">
        <f t="shared" ref="AO35:AO37" si="32">COUNTIF($G35:$AK35,"LM")</f>
        <v>0</v>
      </c>
      <c r="AP35" s="60">
        <f t="shared" ref="AP35:AP37" si="33">COUNTIF($G35:$AK35,"FaC")</f>
        <v>0</v>
      </c>
      <c r="AQ35" s="60">
        <f t="shared" ref="AQ35:AQ37" si="34">COUNTIF($G35:$AK35,"LxE")</f>
        <v>0</v>
      </c>
      <c r="AR35" s="60">
        <f t="shared" ref="AR35:AR37" si="35">COUNTIF($G35:$AK35,"LA")</f>
        <v>0</v>
      </c>
      <c r="AS35" s="60">
        <f t="shared" ref="AS35:AS37" si="36">SUM(AO35:AR35)</f>
        <v>0</v>
      </c>
      <c r="AT35" s="672"/>
    </row>
    <row r="36" ht="15.75" customHeight="1">
      <c r="A36" s="726"/>
      <c r="B36" s="748" t="s">
        <v>33</v>
      </c>
      <c r="C36" s="749" t="s">
        <v>1404</v>
      </c>
      <c r="D36" s="708">
        <v>4.1551914E7</v>
      </c>
      <c r="E36" s="709" t="s">
        <v>1405</v>
      </c>
      <c r="F36" s="708" t="s">
        <v>1406</v>
      </c>
      <c r="G36" s="734" t="s">
        <v>19</v>
      </c>
      <c r="H36" s="734" t="s">
        <v>19</v>
      </c>
      <c r="I36" s="734" t="s">
        <v>19</v>
      </c>
      <c r="J36" s="734" t="s">
        <v>19</v>
      </c>
      <c r="K36" s="734" t="s">
        <v>19</v>
      </c>
      <c r="L36" s="734" t="s">
        <v>19</v>
      </c>
      <c r="M36" s="734" t="s">
        <v>19</v>
      </c>
      <c r="N36" s="734" t="s">
        <v>19</v>
      </c>
      <c r="O36" s="734" t="s">
        <v>19</v>
      </c>
      <c r="P36" s="734" t="s">
        <v>19</v>
      </c>
      <c r="Q36" s="734" t="s">
        <v>19</v>
      </c>
      <c r="R36" s="734" t="s">
        <v>19</v>
      </c>
      <c r="S36" s="734" t="s">
        <v>19</v>
      </c>
      <c r="T36" s="734" t="s">
        <v>19</v>
      </c>
      <c r="U36" s="734" t="s">
        <v>19</v>
      </c>
      <c r="V36" s="734" t="s">
        <v>19</v>
      </c>
      <c r="W36" s="734" t="s">
        <v>19</v>
      </c>
      <c r="X36" s="734" t="s">
        <v>19</v>
      </c>
      <c r="Y36" s="734" t="s">
        <v>19</v>
      </c>
      <c r="Z36" s="734" t="s">
        <v>19</v>
      </c>
      <c r="AA36" s="734" t="s">
        <v>19</v>
      </c>
      <c r="AB36" s="734" t="s">
        <v>19</v>
      </c>
      <c r="AC36" s="734" t="s">
        <v>19</v>
      </c>
      <c r="AD36" s="734" t="s">
        <v>19</v>
      </c>
      <c r="AE36" s="734" t="s">
        <v>19</v>
      </c>
      <c r="AF36" s="734" t="s">
        <v>19</v>
      </c>
      <c r="AG36" s="734" t="s">
        <v>19</v>
      </c>
      <c r="AH36" s="734" t="s">
        <v>19</v>
      </c>
      <c r="AI36" s="734" t="s">
        <v>19</v>
      </c>
      <c r="AJ36" s="372" t="s">
        <v>519</v>
      </c>
      <c r="AK36" s="372" t="s">
        <v>519</v>
      </c>
      <c r="AL36" s="750" t="s">
        <v>1407</v>
      </c>
      <c r="AM36" s="60" t="str">
        <f t="shared" si="30"/>
        <v>NO CORRESPONDE FRANCO</v>
      </c>
      <c r="AN36" s="60">
        <f t="shared" si="31"/>
        <v>0</v>
      </c>
      <c r="AO36" s="60">
        <f t="shared" si="32"/>
        <v>29</v>
      </c>
      <c r="AP36" s="60">
        <f t="shared" si="33"/>
        <v>0</v>
      </c>
      <c r="AQ36" s="60">
        <f t="shared" si="34"/>
        <v>0</v>
      </c>
      <c r="AR36" s="60">
        <f t="shared" si="35"/>
        <v>0</v>
      </c>
      <c r="AS36" s="60">
        <f t="shared" si="36"/>
        <v>29</v>
      </c>
      <c r="AT36" s="672"/>
    </row>
    <row r="37" ht="17.25" customHeight="1">
      <c r="A37" s="751" t="s">
        <v>1408</v>
      </c>
      <c r="B37" s="697" t="s">
        <v>1173</v>
      </c>
      <c r="C37" s="449" t="s">
        <v>1409</v>
      </c>
      <c r="D37" s="450">
        <v>13761.0</v>
      </c>
      <c r="E37" s="449" t="s">
        <v>1410</v>
      </c>
      <c r="F37" s="450" t="s">
        <v>1411</v>
      </c>
      <c r="G37" s="96" t="s">
        <v>22</v>
      </c>
      <c r="H37" s="96" t="s">
        <v>22</v>
      </c>
      <c r="I37" s="96" t="s">
        <v>22</v>
      </c>
      <c r="J37" s="96" t="s">
        <v>22</v>
      </c>
      <c r="K37" s="96" t="s">
        <v>22</v>
      </c>
      <c r="L37" s="96" t="s">
        <v>22</v>
      </c>
      <c r="M37" s="44"/>
      <c r="N37" s="44"/>
      <c r="O37" s="45" t="s">
        <v>18</v>
      </c>
      <c r="P37" s="720" t="s">
        <v>120</v>
      </c>
      <c r="Q37" s="720" t="s">
        <v>120</v>
      </c>
      <c r="R37" s="720" t="s">
        <v>27</v>
      </c>
      <c r="S37" s="718"/>
      <c r="T37" s="718"/>
      <c r="U37" s="719" t="s">
        <v>27</v>
      </c>
      <c r="V37" s="720" t="s">
        <v>120</v>
      </c>
      <c r="W37" s="472"/>
      <c r="X37" s="718"/>
      <c r="Y37" s="718"/>
      <c r="Z37" s="718"/>
      <c r="AA37" s="720" t="s">
        <v>27</v>
      </c>
      <c r="AB37" s="719" t="s">
        <v>27</v>
      </c>
      <c r="AC37" s="720" t="s">
        <v>27</v>
      </c>
      <c r="AD37" s="720" t="s">
        <v>27</v>
      </c>
      <c r="AE37" s="718"/>
      <c r="AF37" s="718"/>
      <c r="AG37" s="720" t="s">
        <v>1370</v>
      </c>
      <c r="AH37" s="720" t="s">
        <v>27</v>
      </c>
      <c r="AI37" s="720" t="s">
        <v>27</v>
      </c>
      <c r="AJ37" s="718"/>
      <c r="AK37" s="718"/>
      <c r="AL37" s="672"/>
      <c r="AM37" s="60" t="str">
        <f t="shared" si="30"/>
        <v>NO CORRESPONDE FRANCO</v>
      </c>
      <c r="AN37" s="60">
        <f t="shared" si="31"/>
        <v>1</v>
      </c>
      <c r="AO37" s="60">
        <f t="shared" si="32"/>
        <v>0</v>
      </c>
      <c r="AP37" s="60">
        <f t="shared" si="33"/>
        <v>0</v>
      </c>
      <c r="AQ37" s="60">
        <f t="shared" si="34"/>
        <v>0</v>
      </c>
      <c r="AR37" s="60">
        <f t="shared" si="35"/>
        <v>6</v>
      </c>
      <c r="AS37" s="60">
        <f t="shared" si="36"/>
        <v>6</v>
      </c>
      <c r="AT37" s="672"/>
    </row>
    <row r="38" ht="15.0" customHeight="1">
      <c r="A38" s="21"/>
      <c r="B38" s="21"/>
      <c r="C38" s="21"/>
      <c r="D38" s="21"/>
      <c r="E38" s="21"/>
      <c r="F38" s="21"/>
      <c r="G38" s="24"/>
      <c r="H38" s="24"/>
      <c r="I38" s="24"/>
      <c r="J38" s="24"/>
      <c r="L38" s="24"/>
      <c r="M38" s="24"/>
      <c r="N38" s="24"/>
      <c r="O38" s="24"/>
      <c r="P38" s="24"/>
      <c r="Q38" s="24"/>
      <c r="R38" s="24"/>
      <c r="S38" s="24"/>
      <c r="T38" s="24"/>
      <c r="U38" s="24"/>
      <c r="V38" s="24"/>
      <c r="W38" s="24"/>
      <c r="X38" s="24"/>
      <c r="AL38" s="672"/>
      <c r="AM38" s="672"/>
      <c r="AN38" s="672"/>
      <c r="AO38" s="672"/>
      <c r="AP38" s="672"/>
      <c r="AQ38" s="672"/>
      <c r="AR38" s="672"/>
      <c r="AS38" s="672"/>
      <c r="AT38" s="672"/>
    </row>
    <row r="39" ht="15.0" customHeight="1">
      <c r="A39" s="21"/>
      <c r="B39" s="664" t="s">
        <v>1412</v>
      </c>
      <c r="C39" s="2"/>
      <c r="D39" s="2"/>
      <c r="E39" s="2"/>
      <c r="F39" s="3"/>
      <c r="G39" s="9">
        <v>1.0</v>
      </c>
      <c r="H39" s="9">
        <v>2.0</v>
      </c>
      <c r="I39" s="9">
        <v>3.0</v>
      </c>
      <c r="J39" s="9">
        <v>4.0</v>
      </c>
      <c r="K39" s="9">
        <v>5.0</v>
      </c>
      <c r="L39" s="9">
        <v>6.0</v>
      </c>
      <c r="M39" s="9">
        <v>7.0</v>
      </c>
      <c r="N39" s="9">
        <v>8.0</v>
      </c>
      <c r="O39" s="9">
        <v>9.0</v>
      </c>
      <c r="P39" s="9">
        <v>10.0</v>
      </c>
      <c r="Q39" s="9">
        <v>11.0</v>
      </c>
      <c r="R39" s="9">
        <v>12.0</v>
      </c>
      <c r="S39" s="9">
        <v>13.0</v>
      </c>
      <c r="T39" s="9">
        <v>14.0</v>
      </c>
      <c r="U39" s="9">
        <v>15.0</v>
      </c>
      <c r="V39" s="9">
        <v>16.0</v>
      </c>
      <c r="W39" s="9">
        <v>17.0</v>
      </c>
      <c r="X39" s="9">
        <v>18.0</v>
      </c>
      <c r="Y39" s="9">
        <v>19.0</v>
      </c>
      <c r="Z39" s="9">
        <v>20.0</v>
      </c>
      <c r="AA39" s="9">
        <v>21.0</v>
      </c>
      <c r="AB39" s="9">
        <v>22.0</v>
      </c>
      <c r="AC39" s="9">
        <v>23.0</v>
      </c>
      <c r="AD39" s="9">
        <v>24.0</v>
      </c>
      <c r="AE39" s="9">
        <v>25.0</v>
      </c>
      <c r="AF39" s="9">
        <v>26.0</v>
      </c>
      <c r="AG39" s="9">
        <v>27.0</v>
      </c>
      <c r="AH39" s="9">
        <v>28.0</v>
      </c>
      <c r="AI39" s="9">
        <v>29.0</v>
      </c>
      <c r="AJ39" s="9">
        <v>30.0</v>
      </c>
      <c r="AK39" s="9">
        <v>31.0</v>
      </c>
      <c r="AL39" s="672"/>
      <c r="AM39" s="672"/>
      <c r="AN39" s="672"/>
      <c r="AO39" s="672"/>
      <c r="AP39" s="672"/>
      <c r="AQ39" s="672"/>
      <c r="AR39" s="672"/>
      <c r="AS39" s="672"/>
      <c r="AT39" s="672"/>
    </row>
    <row r="40" ht="15.75" customHeight="1">
      <c r="A40" s="21"/>
      <c r="B40" s="665" t="s">
        <v>4</v>
      </c>
      <c r="C40" s="666" t="s">
        <v>5</v>
      </c>
      <c r="D40" s="667" t="s">
        <v>6</v>
      </c>
      <c r="E40" s="736" t="s">
        <v>7</v>
      </c>
      <c r="F40" s="667" t="s">
        <v>8</v>
      </c>
      <c r="G40" s="9" t="s">
        <v>9</v>
      </c>
      <c r="H40" s="9" t="s">
        <v>10</v>
      </c>
      <c r="I40" s="9" t="s">
        <v>11</v>
      </c>
      <c r="J40" s="9" t="s">
        <v>12</v>
      </c>
      <c r="K40" s="9" t="s">
        <v>12</v>
      </c>
      <c r="L40" s="9" t="s">
        <v>13</v>
      </c>
      <c r="M40" s="9" t="s">
        <v>15</v>
      </c>
      <c r="N40" s="9" t="s">
        <v>9</v>
      </c>
      <c r="O40" s="9" t="s">
        <v>10</v>
      </c>
      <c r="P40" s="9" t="s">
        <v>11</v>
      </c>
      <c r="Q40" s="9" t="s">
        <v>12</v>
      </c>
      <c r="R40" s="9" t="s">
        <v>12</v>
      </c>
      <c r="S40" s="9" t="s">
        <v>13</v>
      </c>
      <c r="T40" s="9" t="s">
        <v>15</v>
      </c>
      <c r="U40" s="9" t="s">
        <v>9</v>
      </c>
      <c r="V40" s="9" t="s">
        <v>10</v>
      </c>
      <c r="W40" s="9" t="s">
        <v>11</v>
      </c>
      <c r="X40" s="9" t="s">
        <v>12</v>
      </c>
      <c r="Y40" s="9" t="s">
        <v>12</v>
      </c>
      <c r="Z40" s="9" t="s">
        <v>13</v>
      </c>
      <c r="AA40" s="9" t="s">
        <v>15</v>
      </c>
      <c r="AB40" s="9" t="s">
        <v>9</v>
      </c>
      <c r="AC40" s="9" t="s">
        <v>10</v>
      </c>
      <c r="AD40" s="9" t="s">
        <v>11</v>
      </c>
      <c r="AE40" s="9" t="s">
        <v>12</v>
      </c>
      <c r="AF40" s="9" t="s">
        <v>12</v>
      </c>
      <c r="AG40" s="9" t="s">
        <v>13</v>
      </c>
      <c r="AH40" s="13" t="s">
        <v>15</v>
      </c>
      <c r="AI40" s="9" t="s">
        <v>9</v>
      </c>
      <c r="AJ40" s="9" t="s">
        <v>10</v>
      </c>
      <c r="AK40" s="9" t="s">
        <v>11</v>
      </c>
      <c r="AL40" s="672"/>
      <c r="AM40" s="672"/>
      <c r="AN40" s="672"/>
      <c r="AO40" s="672"/>
      <c r="AP40" s="672"/>
      <c r="AQ40" s="672"/>
      <c r="AR40" s="672"/>
      <c r="AS40" s="672"/>
      <c r="AT40" s="672"/>
    </row>
    <row r="41" ht="15.0" customHeight="1">
      <c r="A41" s="703" t="s">
        <v>1413</v>
      </c>
      <c r="B41" s="704" t="s">
        <v>230</v>
      </c>
      <c r="C41" s="56" t="s">
        <v>1414</v>
      </c>
      <c r="D41" s="54">
        <v>11614.0</v>
      </c>
      <c r="E41" s="752" t="s">
        <v>1415</v>
      </c>
      <c r="F41" s="54" t="s">
        <v>1416</v>
      </c>
      <c r="G41" s="72" t="s">
        <v>27</v>
      </c>
      <c r="H41" s="75"/>
      <c r="I41" s="75"/>
      <c r="J41" s="75"/>
      <c r="K41" s="72" t="s">
        <v>27</v>
      </c>
      <c r="L41" s="72" t="s">
        <v>27</v>
      </c>
      <c r="M41" s="72" t="s">
        <v>27</v>
      </c>
      <c r="N41" s="142"/>
      <c r="O41" s="75"/>
      <c r="P41" s="75"/>
      <c r="Q41" s="72" t="s">
        <v>27</v>
      </c>
      <c r="R41" s="72" t="s">
        <v>18</v>
      </c>
      <c r="S41" s="72" t="s">
        <v>27</v>
      </c>
      <c r="T41" s="75"/>
      <c r="U41" s="75"/>
      <c r="V41" s="75"/>
      <c r="W41" s="72" t="s">
        <v>27</v>
      </c>
      <c r="X41" s="72" t="s">
        <v>27</v>
      </c>
      <c r="Y41" s="72" t="s">
        <v>27</v>
      </c>
      <c r="Z41" s="72" t="s">
        <v>27</v>
      </c>
      <c r="AA41" s="75"/>
      <c r="AB41" s="75"/>
      <c r="AC41" s="72" t="s">
        <v>27</v>
      </c>
      <c r="AD41" s="72" t="s">
        <v>27</v>
      </c>
      <c r="AE41" s="72" t="s">
        <v>27</v>
      </c>
      <c r="AF41" s="75"/>
      <c r="AG41" s="75"/>
      <c r="AH41" s="75"/>
      <c r="AI41" s="106" t="s">
        <v>32</v>
      </c>
      <c r="AJ41" s="72" t="s">
        <v>27</v>
      </c>
      <c r="AK41" s="72" t="s">
        <v>27</v>
      </c>
      <c r="AL41" s="672"/>
      <c r="AM41" s="60" t="str">
        <f t="shared" ref="AM41:AM45" si="37">IFS(AN41&gt;3,"NO CORRESPONDE FRANCO",AS41&gt;0,"NO CORRESPONDE FRANCO",AS41=0,"")</f>
        <v/>
      </c>
      <c r="AN41" s="60">
        <f t="shared" ref="AN41:AN45" si="38">COUNTIF($G41:$AK41,"LLT")</f>
        <v>1</v>
      </c>
      <c r="AO41" s="60">
        <f t="shared" ref="AO41:AO45" si="39">COUNTIF($G41:$AK41,"LM")</f>
        <v>0</v>
      </c>
      <c r="AP41" s="60">
        <f t="shared" ref="AP41:AP45" si="40">COUNTIF($G41:$AK41,"FaC")</f>
        <v>0</v>
      </c>
      <c r="AQ41" s="60">
        <f t="shared" ref="AQ41:AQ45" si="41">COUNTIF($G41:$AK41,"LxE")</f>
        <v>0</v>
      </c>
      <c r="AR41" s="60">
        <f t="shared" ref="AR41:AR45" si="42">COUNTIF($G41:$AK41,"LA")</f>
        <v>0</v>
      </c>
      <c r="AS41" s="60">
        <f t="shared" ref="AS41:AS45" si="43">SUM(AO41:AR41)</f>
        <v>0</v>
      </c>
      <c r="AT41" s="672"/>
    </row>
    <row r="42" ht="15.75" customHeight="1">
      <c r="A42" s="696"/>
      <c r="B42" s="704" t="s">
        <v>33</v>
      </c>
      <c r="C42" s="56" t="s">
        <v>1417</v>
      </c>
      <c r="D42" s="54">
        <v>4.7343705E7</v>
      </c>
      <c r="E42" s="752" t="s">
        <v>1418</v>
      </c>
      <c r="F42" s="54" t="s">
        <v>1419</v>
      </c>
      <c r="G42" s="96" t="s">
        <v>22</v>
      </c>
      <c r="H42" s="96" t="s">
        <v>22</v>
      </c>
      <c r="I42" s="96" t="s">
        <v>22</v>
      </c>
      <c r="J42" s="96" t="s">
        <v>22</v>
      </c>
      <c r="K42" s="96" t="s">
        <v>22</v>
      </c>
      <c r="L42" s="96" t="s">
        <v>22</v>
      </c>
      <c r="M42" s="96" t="s">
        <v>22</v>
      </c>
      <c r="N42" s="96" t="s">
        <v>22</v>
      </c>
      <c r="O42" s="96" t="s">
        <v>22</v>
      </c>
      <c r="P42" s="96" t="s">
        <v>22</v>
      </c>
      <c r="Q42" s="96" t="s">
        <v>22</v>
      </c>
      <c r="R42" s="96" t="s">
        <v>22</v>
      </c>
      <c r="S42" s="96" t="s">
        <v>22</v>
      </c>
      <c r="T42" s="96" t="s">
        <v>22</v>
      </c>
      <c r="U42" s="75"/>
      <c r="V42" s="75"/>
      <c r="W42" s="106" t="s">
        <v>32</v>
      </c>
      <c r="X42" s="72" t="s">
        <v>27</v>
      </c>
      <c r="Y42" s="72" t="s">
        <v>27</v>
      </c>
      <c r="Z42" s="72" t="s">
        <v>27</v>
      </c>
      <c r="AA42" s="75"/>
      <c r="AB42" s="75"/>
      <c r="AC42" s="72" t="s">
        <v>27</v>
      </c>
      <c r="AD42" s="72" t="s">
        <v>27</v>
      </c>
      <c r="AE42" s="72" t="s">
        <v>27</v>
      </c>
      <c r="AF42" s="75"/>
      <c r="AG42" s="75"/>
      <c r="AH42" s="75"/>
      <c r="AI42" s="684" t="s">
        <v>27</v>
      </c>
      <c r="AJ42" s="72" t="s">
        <v>27</v>
      </c>
      <c r="AK42" s="72" t="s">
        <v>27</v>
      </c>
      <c r="AL42" s="672"/>
      <c r="AM42" s="60" t="str">
        <f t="shared" si="37"/>
        <v>NO CORRESPONDE FRANCO</v>
      </c>
      <c r="AN42" s="60">
        <f t="shared" si="38"/>
        <v>0</v>
      </c>
      <c r="AO42" s="60">
        <f t="shared" si="39"/>
        <v>0</v>
      </c>
      <c r="AP42" s="60">
        <f t="shared" si="40"/>
        <v>0</v>
      </c>
      <c r="AQ42" s="60">
        <f t="shared" si="41"/>
        <v>0</v>
      </c>
      <c r="AR42" s="60">
        <f t="shared" si="42"/>
        <v>14</v>
      </c>
      <c r="AS42" s="60">
        <f t="shared" si="43"/>
        <v>14</v>
      </c>
      <c r="AT42" s="672"/>
    </row>
    <row r="43" ht="15.75" customHeight="1">
      <c r="A43" s="753"/>
      <c r="B43" s="748" t="s">
        <v>33</v>
      </c>
      <c r="C43" s="707" t="s">
        <v>1420</v>
      </c>
      <c r="D43" s="708">
        <v>3.6561378E7</v>
      </c>
      <c r="E43" s="709" t="s">
        <v>1421</v>
      </c>
      <c r="F43" s="708" t="s">
        <v>1422</v>
      </c>
      <c r="G43" s="684" t="s">
        <v>27</v>
      </c>
      <c r="H43" s="685"/>
      <c r="I43" s="685"/>
      <c r="J43" s="685"/>
      <c r="K43" s="684" t="s">
        <v>27</v>
      </c>
      <c r="L43" s="684" t="s">
        <v>27</v>
      </c>
      <c r="M43" s="684" t="s">
        <v>27</v>
      </c>
      <c r="N43" s="684" t="s">
        <v>27</v>
      </c>
      <c r="O43" s="685"/>
      <c r="P43" s="685"/>
      <c r="Q43" s="684" t="s">
        <v>27</v>
      </c>
      <c r="R43" s="684" t="s">
        <v>27</v>
      </c>
      <c r="S43" s="684" t="s">
        <v>27</v>
      </c>
      <c r="T43" s="685"/>
      <c r="U43" s="685"/>
      <c r="V43" s="685"/>
      <c r="W43" s="684" t="s">
        <v>27</v>
      </c>
      <c r="X43" s="684" t="s">
        <v>27</v>
      </c>
      <c r="Y43" s="684" t="s">
        <v>27</v>
      </c>
      <c r="Z43" s="684" t="s">
        <v>27</v>
      </c>
      <c r="AA43" s="685"/>
      <c r="AB43" s="685"/>
      <c r="AC43" s="684" t="s">
        <v>27</v>
      </c>
      <c r="AD43" s="684" t="s">
        <v>27</v>
      </c>
      <c r="AE43" s="684" t="s">
        <v>27</v>
      </c>
      <c r="AF43" s="685"/>
      <c r="AG43" s="685"/>
      <c r="AH43" s="685"/>
      <c r="AI43" s="684" t="s">
        <v>27</v>
      </c>
      <c r="AJ43" s="684" t="s">
        <v>27</v>
      </c>
      <c r="AK43" s="684" t="s">
        <v>27</v>
      </c>
      <c r="AL43" s="672"/>
      <c r="AM43" s="60" t="str">
        <f t="shared" si="37"/>
        <v/>
      </c>
      <c r="AN43" s="60">
        <f t="shared" si="38"/>
        <v>0</v>
      </c>
      <c r="AO43" s="60">
        <f t="shared" si="39"/>
        <v>0</v>
      </c>
      <c r="AP43" s="60">
        <f t="shared" si="40"/>
        <v>0</v>
      </c>
      <c r="AQ43" s="60">
        <f t="shared" si="41"/>
        <v>0</v>
      </c>
      <c r="AR43" s="60">
        <f t="shared" si="42"/>
        <v>0</v>
      </c>
      <c r="AS43" s="60">
        <f t="shared" si="43"/>
        <v>0</v>
      </c>
      <c r="AT43" s="672"/>
    </row>
    <row r="44" ht="18.0" customHeight="1">
      <c r="A44" s="687" t="s">
        <v>1423</v>
      </c>
      <c r="B44" s="754" t="s">
        <v>33</v>
      </c>
      <c r="C44" s="755" t="s">
        <v>1424</v>
      </c>
      <c r="D44" s="756">
        <v>2.7769883E7</v>
      </c>
      <c r="E44" s="755" t="s">
        <v>1425</v>
      </c>
      <c r="F44" s="757" t="s">
        <v>1426</v>
      </c>
      <c r="G44" s="692" t="s">
        <v>27</v>
      </c>
      <c r="H44" s="692" t="s">
        <v>27</v>
      </c>
      <c r="I44" s="693"/>
      <c r="J44" s="693"/>
      <c r="K44" s="693"/>
      <c r="L44" s="692" t="s">
        <v>27</v>
      </c>
      <c r="M44" s="692" t="s">
        <v>27</v>
      </c>
      <c r="N44" s="692" t="s">
        <v>27</v>
      </c>
      <c r="O44" s="693"/>
      <c r="P44" s="693"/>
      <c r="Q44" s="692" t="s">
        <v>27</v>
      </c>
      <c r="R44" s="692" t="s">
        <v>27</v>
      </c>
      <c r="S44" s="692" t="s">
        <v>27</v>
      </c>
      <c r="T44" s="692" t="s">
        <v>27</v>
      </c>
      <c r="U44" s="693"/>
      <c r="V44" s="693"/>
      <c r="W44" s="693"/>
      <c r="X44" s="692" t="s">
        <v>27</v>
      </c>
      <c r="Y44" s="692" t="s">
        <v>27</v>
      </c>
      <c r="Z44" s="692" t="s">
        <v>27</v>
      </c>
      <c r="AA44" s="693"/>
      <c r="AB44" s="693"/>
      <c r="AC44" s="106" t="s">
        <v>32</v>
      </c>
      <c r="AD44" s="692" t="s">
        <v>27</v>
      </c>
      <c r="AE44" s="692" t="s">
        <v>27</v>
      </c>
      <c r="AF44" s="692" t="s">
        <v>27</v>
      </c>
      <c r="AG44" s="693"/>
      <c r="AH44" s="693"/>
      <c r="AI44" s="693"/>
      <c r="AJ44" s="692" t="s">
        <v>27</v>
      </c>
      <c r="AK44" s="692" t="s">
        <v>27</v>
      </c>
      <c r="AL44" s="257"/>
      <c r="AM44" s="60" t="str">
        <f t="shared" si="37"/>
        <v/>
      </c>
      <c r="AN44" s="60">
        <f t="shared" si="38"/>
        <v>0</v>
      </c>
      <c r="AO44" s="60">
        <f t="shared" si="39"/>
        <v>0</v>
      </c>
      <c r="AP44" s="60">
        <f t="shared" si="40"/>
        <v>0</v>
      </c>
      <c r="AQ44" s="60">
        <f t="shared" si="41"/>
        <v>0</v>
      </c>
      <c r="AR44" s="60">
        <f t="shared" si="42"/>
        <v>0</v>
      </c>
      <c r="AS44" s="60">
        <f t="shared" si="43"/>
        <v>0</v>
      </c>
      <c r="AT44" s="257"/>
    </row>
    <row r="45" ht="15.75" customHeight="1">
      <c r="A45" s="696"/>
      <c r="B45" s="758" t="s">
        <v>33</v>
      </c>
      <c r="C45" s="755" t="s">
        <v>716</v>
      </c>
      <c r="D45" s="759">
        <v>4.3259387E7</v>
      </c>
      <c r="E45" s="760" t="s">
        <v>718</v>
      </c>
      <c r="F45" s="759" t="s">
        <v>719</v>
      </c>
      <c r="G45" s="761" t="s">
        <v>1427</v>
      </c>
      <c r="H45" s="650"/>
      <c r="I45" s="651"/>
      <c r="J45" s="693"/>
      <c r="K45" s="693"/>
      <c r="L45" s="692" t="s">
        <v>27</v>
      </c>
      <c r="M45" s="692" t="s">
        <v>27</v>
      </c>
      <c r="N45" s="692" t="s">
        <v>27</v>
      </c>
      <c r="O45" s="693"/>
      <c r="P45" s="693"/>
      <c r="Q45" s="692" t="s">
        <v>27</v>
      </c>
      <c r="R45" s="692" t="s">
        <v>27</v>
      </c>
      <c r="S45" s="692" t="s">
        <v>27</v>
      </c>
      <c r="T45" s="692" t="s">
        <v>27</v>
      </c>
      <c r="U45" s="693"/>
      <c r="V45" s="693"/>
      <c r="W45" s="693"/>
      <c r="X45" s="692" t="s">
        <v>27</v>
      </c>
      <c r="Y45" s="692" t="s">
        <v>27</v>
      </c>
      <c r="Z45" s="692" t="s">
        <v>27</v>
      </c>
      <c r="AA45" s="693"/>
      <c r="AB45" s="693"/>
      <c r="AC45" s="692" t="s">
        <v>27</v>
      </c>
      <c r="AD45" s="692" t="s">
        <v>27</v>
      </c>
      <c r="AE45" s="692" t="s">
        <v>27</v>
      </c>
      <c r="AF45" s="692" t="s">
        <v>27</v>
      </c>
      <c r="AG45" s="693"/>
      <c r="AH45" s="693"/>
      <c r="AI45" s="693"/>
      <c r="AJ45" s="692" t="s">
        <v>27</v>
      </c>
      <c r="AK45" s="692" t="s">
        <v>27</v>
      </c>
      <c r="AL45" s="257"/>
      <c r="AM45" s="60" t="str">
        <f t="shared" si="37"/>
        <v/>
      </c>
      <c r="AN45" s="60">
        <f t="shared" si="38"/>
        <v>0</v>
      </c>
      <c r="AO45" s="60">
        <f t="shared" si="39"/>
        <v>0</v>
      </c>
      <c r="AP45" s="60">
        <f t="shared" si="40"/>
        <v>0</v>
      </c>
      <c r="AQ45" s="60">
        <f t="shared" si="41"/>
        <v>0</v>
      </c>
      <c r="AR45" s="60">
        <f t="shared" si="42"/>
        <v>0</v>
      </c>
      <c r="AS45" s="60">
        <f t="shared" si="43"/>
        <v>0</v>
      </c>
      <c r="AT45" s="257"/>
    </row>
    <row r="46" ht="15.75" customHeight="1">
      <c r="G46" s="24">
        <f t="shared" ref="G46:AK46" si="44">COUNTIF(G27:G45,"P") + COUNTIF(G27:G45, "LLT")</f>
        <v>5</v>
      </c>
      <c r="H46" s="24">
        <f t="shared" si="44"/>
        <v>4</v>
      </c>
      <c r="I46" s="24">
        <f t="shared" si="44"/>
        <v>3</v>
      </c>
      <c r="J46" s="24">
        <f t="shared" si="44"/>
        <v>2</v>
      </c>
      <c r="K46" s="24">
        <f t="shared" si="44"/>
        <v>3</v>
      </c>
      <c r="L46" s="24">
        <f t="shared" si="44"/>
        <v>5</v>
      </c>
      <c r="M46" s="24">
        <f t="shared" si="44"/>
        <v>6</v>
      </c>
      <c r="N46" s="24">
        <f t="shared" si="44"/>
        <v>7</v>
      </c>
      <c r="O46" s="24">
        <f t="shared" si="44"/>
        <v>5</v>
      </c>
      <c r="P46" s="24">
        <f t="shared" si="44"/>
        <v>5</v>
      </c>
      <c r="Q46" s="24">
        <f t="shared" si="44"/>
        <v>5</v>
      </c>
      <c r="R46" s="24">
        <f t="shared" si="44"/>
        <v>6</v>
      </c>
      <c r="S46" s="24">
        <f t="shared" si="44"/>
        <v>8</v>
      </c>
      <c r="T46" s="24">
        <f t="shared" si="44"/>
        <v>5</v>
      </c>
      <c r="U46" s="24">
        <f t="shared" si="44"/>
        <v>5</v>
      </c>
      <c r="V46" s="24">
        <f t="shared" si="44"/>
        <v>2</v>
      </c>
      <c r="W46" s="24">
        <f t="shared" si="44"/>
        <v>3</v>
      </c>
      <c r="X46" s="24">
        <f t="shared" si="44"/>
        <v>5</v>
      </c>
      <c r="Y46" s="24">
        <f t="shared" si="44"/>
        <v>7</v>
      </c>
      <c r="Z46" s="24">
        <f t="shared" si="44"/>
        <v>7</v>
      </c>
      <c r="AA46" s="24">
        <f t="shared" si="44"/>
        <v>5</v>
      </c>
      <c r="AB46" s="24">
        <f t="shared" si="44"/>
        <v>5</v>
      </c>
      <c r="AC46" s="24">
        <f t="shared" si="44"/>
        <v>6</v>
      </c>
      <c r="AD46" s="24">
        <f t="shared" si="44"/>
        <v>7</v>
      </c>
      <c r="AE46" s="24">
        <f t="shared" si="44"/>
        <v>7</v>
      </c>
      <c r="AF46" s="24">
        <f t="shared" si="44"/>
        <v>6</v>
      </c>
      <c r="AG46" s="24">
        <f t="shared" si="44"/>
        <v>1</v>
      </c>
      <c r="AH46" s="24">
        <f t="shared" si="44"/>
        <v>4</v>
      </c>
      <c r="AI46" s="24">
        <f t="shared" si="44"/>
        <v>4</v>
      </c>
      <c r="AJ46" s="24">
        <f t="shared" si="44"/>
        <v>6</v>
      </c>
      <c r="AK46" s="24">
        <f t="shared" si="44"/>
        <v>7</v>
      </c>
    </row>
    <row r="47" ht="15.75" customHeight="1">
      <c r="G47" s="24"/>
      <c r="H47" s="24"/>
      <c r="I47" s="24"/>
      <c r="J47" s="24"/>
      <c r="L47" s="24"/>
      <c r="M47" s="24"/>
      <c r="N47" s="24"/>
      <c r="O47" s="24"/>
      <c r="P47" s="24"/>
      <c r="Q47" s="24"/>
      <c r="R47" s="24"/>
      <c r="S47" s="24"/>
      <c r="T47" s="24"/>
      <c r="U47" s="24"/>
      <c r="V47" s="24"/>
      <c r="W47" s="24"/>
      <c r="X47" s="24"/>
    </row>
    <row r="48" ht="15.75" customHeight="1">
      <c r="A48" s="535" t="s">
        <v>1428</v>
      </c>
      <c r="B48" s="6"/>
      <c r="C48" s="6"/>
      <c r="D48" s="6"/>
      <c r="E48" s="6"/>
      <c r="F48" s="6"/>
      <c r="G48" s="6"/>
      <c r="H48" s="6"/>
      <c r="I48" s="6"/>
      <c r="J48" s="6"/>
      <c r="K48" s="6"/>
      <c r="L48" s="6"/>
      <c r="M48" s="6"/>
      <c r="N48" s="6"/>
      <c r="O48" s="6"/>
      <c r="P48" s="6"/>
      <c r="Q48" s="6"/>
      <c r="R48" s="6"/>
      <c r="S48" s="6"/>
      <c r="T48" s="6"/>
      <c r="U48" s="6"/>
      <c r="V48" s="6"/>
      <c r="W48" s="6"/>
      <c r="X48" s="6"/>
      <c r="Y48" s="6"/>
      <c r="Z48" s="6"/>
      <c r="AA48" s="6"/>
      <c r="AB48" s="6"/>
      <c r="AC48" s="6"/>
      <c r="AD48" s="6"/>
      <c r="AE48" s="6"/>
      <c r="AF48" s="6"/>
      <c r="AG48" s="6"/>
      <c r="AH48" s="6"/>
      <c r="AI48" s="6"/>
      <c r="AJ48" s="6"/>
      <c r="AK48" s="11"/>
    </row>
    <row r="49" ht="15.75" customHeight="1">
      <c r="A49" s="21"/>
      <c r="B49" s="664" t="s">
        <v>1429</v>
      </c>
      <c r="C49" s="2"/>
      <c r="D49" s="2"/>
      <c r="E49" s="2"/>
      <c r="F49" s="3"/>
      <c r="G49" s="9">
        <v>1.0</v>
      </c>
      <c r="H49" s="9">
        <v>2.0</v>
      </c>
      <c r="I49" s="9">
        <v>3.0</v>
      </c>
      <c r="J49" s="9">
        <v>4.0</v>
      </c>
      <c r="K49" s="9">
        <v>5.0</v>
      </c>
      <c r="L49" s="9">
        <v>6.0</v>
      </c>
      <c r="M49" s="9">
        <v>7.0</v>
      </c>
      <c r="N49" s="9">
        <v>8.0</v>
      </c>
      <c r="O49" s="9">
        <v>9.0</v>
      </c>
      <c r="P49" s="9">
        <v>10.0</v>
      </c>
      <c r="Q49" s="9">
        <v>11.0</v>
      </c>
      <c r="R49" s="9">
        <v>12.0</v>
      </c>
      <c r="S49" s="9">
        <v>13.0</v>
      </c>
      <c r="T49" s="9">
        <v>14.0</v>
      </c>
      <c r="U49" s="9">
        <v>15.0</v>
      </c>
      <c r="V49" s="9">
        <v>16.0</v>
      </c>
      <c r="W49" s="9">
        <v>17.0</v>
      </c>
      <c r="X49" s="9">
        <v>18.0</v>
      </c>
      <c r="Y49" s="9">
        <v>19.0</v>
      </c>
      <c r="Z49" s="9">
        <v>20.0</v>
      </c>
      <c r="AA49" s="9">
        <v>21.0</v>
      </c>
      <c r="AB49" s="9">
        <v>22.0</v>
      </c>
      <c r="AC49" s="9">
        <v>23.0</v>
      </c>
      <c r="AD49" s="9">
        <v>24.0</v>
      </c>
      <c r="AE49" s="9">
        <v>25.0</v>
      </c>
      <c r="AF49" s="9">
        <v>26.0</v>
      </c>
      <c r="AG49" s="9">
        <v>27.0</v>
      </c>
      <c r="AH49" s="9">
        <v>28.0</v>
      </c>
      <c r="AI49" s="9">
        <v>29.0</v>
      </c>
      <c r="AJ49" s="9">
        <v>30.0</v>
      </c>
      <c r="AK49" s="9">
        <v>31.0</v>
      </c>
    </row>
    <row r="50" ht="15.75" customHeight="1">
      <c r="A50" s="21"/>
      <c r="B50" s="665" t="s">
        <v>4</v>
      </c>
      <c r="C50" s="666" t="s">
        <v>5</v>
      </c>
      <c r="D50" s="667" t="s">
        <v>6</v>
      </c>
      <c r="E50" s="666" t="s">
        <v>7</v>
      </c>
      <c r="F50" s="667" t="s">
        <v>8</v>
      </c>
      <c r="G50" s="9" t="s">
        <v>9</v>
      </c>
      <c r="H50" s="9" t="s">
        <v>10</v>
      </c>
      <c r="I50" s="9" t="s">
        <v>11</v>
      </c>
      <c r="J50" s="9" t="s">
        <v>12</v>
      </c>
      <c r="K50" s="9" t="s">
        <v>12</v>
      </c>
      <c r="L50" s="9" t="s">
        <v>13</v>
      </c>
      <c r="M50" s="9" t="s">
        <v>15</v>
      </c>
      <c r="N50" s="9" t="s">
        <v>9</v>
      </c>
      <c r="O50" s="9" t="s">
        <v>10</v>
      </c>
      <c r="P50" s="9" t="s">
        <v>11</v>
      </c>
      <c r="Q50" s="9" t="s">
        <v>12</v>
      </c>
      <c r="R50" s="9" t="s">
        <v>12</v>
      </c>
      <c r="S50" s="9" t="s">
        <v>13</v>
      </c>
      <c r="T50" s="9" t="s">
        <v>15</v>
      </c>
      <c r="U50" s="9" t="s">
        <v>9</v>
      </c>
      <c r="V50" s="9" t="s">
        <v>10</v>
      </c>
      <c r="W50" s="9" t="s">
        <v>11</v>
      </c>
      <c r="X50" s="9" t="s">
        <v>12</v>
      </c>
      <c r="Y50" s="9" t="s">
        <v>12</v>
      </c>
      <c r="Z50" s="9" t="s">
        <v>13</v>
      </c>
      <c r="AA50" s="9" t="s">
        <v>15</v>
      </c>
      <c r="AB50" s="9" t="s">
        <v>9</v>
      </c>
      <c r="AC50" s="9" t="s">
        <v>10</v>
      </c>
      <c r="AD50" s="9" t="s">
        <v>11</v>
      </c>
      <c r="AE50" s="9" t="s">
        <v>12</v>
      </c>
      <c r="AF50" s="9" t="s">
        <v>12</v>
      </c>
      <c r="AG50" s="9" t="s">
        <v>13</v>
      </c>
      <c r="AH50" s="13" t="s">
        <v>15</v>
      </c>
      <c r="AI50" s="9" t="s">
        <v>9</v>
      </c>
      <c r="AJ50" s="9" t="s">
        <v>10</v>
      </c>
      <c r="AK50" s="9" t="s">
        <v>11</v>
      </c>
    </row>
    <row r="51" ht="15.75" customHeight="1">
      <c r="A51" s="703" t="s">
        <v>1430</v>
      </c>
      <c r="B51" s="669" t="s">
        <v>33</v>
      </c>
      <c r="C51" s="18" t="s">
        <v>1431</v>
      </c>
      <c r="D51" s="20">
        <v>3.9339538E7</v>
      </c>
      <c r="E51" s="18" t="s">
        <v>1432</v>
      </c>
      <c r="F51" s="20" t="s">
        <v>1433</v>
      </c>
      <c r="G51" s="72" t="s">
        <v>27</v>
      </c>
      <c r="H51" s="72" t="s">
        <v>27</v>
      </c>
      <c r="I51" s="72" t="s">
        <v>27</v>
      </c>
      <c r="J51" s="75"/>
      <c r="K51" s="75"/>
      <c r="L51" s="75"/>
      <c r="M51" s="72" t="s">
        <v>120</v>
      </c>
      <c r="N51" s="72" t="s">
        <v>27</v>
      </c>
      <c r="O51" s="72" t="s">
        <v>27</v>
      </c>
      <c r="P51" s="72" t="s">
        <v>27</v>
      </c>
      <c r="Q51" s="75"/>
      <c r="R51" s="75"/>
      <c r="S51" s="72" t="s">
        <v>27</v>
      </c>
      <c r="T51" s="72" t="s">
        <v>27</v>
      </c>
      <c r="U51" s="72" t="s">
        <v>27</v>
      </c>
      <c r="V51" s="75"/>
      <c r="W51" s="75"/>
      <c r="X51" s="75"/>
      <c r="Y51" s="72" t="s">
        <v>27</v>
      </c>
      <c r="Z51" s="72" t="s">
        <v>18</v>
      </c>
      <c r="AA51" s="96" t="s">
        <v>22</v>
      </c>
      <c r="AB51" s="96" t="s">
        <v>22</v>
      </c>
      <c r="AC51" s="96" t="s">
        <v>22</v>
      </c>
      <c r="AD51" s="96" t="s">
        <v>22</v>
      </c>
      <c r="AE51" s="96" t="s">
        <v>22</v>
      </c>
      <c r="AF51" s="96" t="s">
        <v>22</v>
      </c>
      <c r="AG51" s="96" t="s">
        <v>22</v>
      </c>
      <c r="AH51" s="75"/>
      <c r="AI51" s="75"/>
      <c r="AJ51" s="75"/>
      <c r="AK51" s="106" t="s">
        <v>32</v>
      </c>
      <c r="AL51" s="672"/>
      <c r="AM51" s="60" t="str">
        <f t="shared" ref="AM51:AM54" si="45">IFS(AN51&gt;3,"NO CORRESPONDE FRANCO",AS51&gt;0,"NO CORRESPONDE FRANCO",AS51=0,"")</f>
        <v>NO CORRESPONDE FRANCO</v>
      </c>
      <c r="AN51" s="60">
        <f t="shared" ref="AN51:AN54" si="46">COUNTIF($G51:$AK51,"LLT")</f>
        <v>1</v>
      </c>
      <c r="AO51" s="60">
        <f t="shared" ref="AO51:AO54" si="47">COUNTIF($G51:$AK51,"LM")</f>
        <v>0</v>
      </c>
      <c r="AP51" s="60">
        <f t="shared" ref="AP51:AP54" si="48">COUNTIF($G51:$AK51,"FaC")</f>
        <v>0</v>
      </c>
      <c r="AQ51" s="60">
        <f t="shared" ref="AQ51:AQ54" si="49">COUNTIF($G51:$AK51,"LxE")</f>
        <v>0</v>
      </c>
      <c r="AR51" s="60">
        <f t="shared" ref="AR51:AR54" si="50">COUNTIF($G51:$AK51,"LA")</f>
        <v>7</v>
      </c>
      <c r="AS51" s="60">
        <f t="shared" ref="AS51:AS54" si="51">SUM(AO51:AR51)</f>
        <v>7</v>
      </c>
      <c r="AT51" s="672"/>
    </row>
    <row r="52" ht="15.75" customHeight="1">
      <c r="A52" s="696"/>
      <c r="B52" s="727" t="s">
        <v>33</v>
      </c>
      <c r="C52" s="728" t="s">
        <v>1434</v>
      </c>
      <c r="D52" s="729">
        <v>3.1163513E7</v>
      </c>
      <c r="E52" s="728" t="s">
        <v>1435</v>
      </c>
      <c r="F52" s="729" t="s">
        <v>1436</v>
      </c>
      <c r="G52" s="72" t="s">
        <v>120</v>
      </c>
      <c r="H52" s="142"/>
      <c r="I52" s="72" t="s">
        <v>27</v>
      </c>
      <c r="J52" s="75"/>
      <c r="K52" s="75"/>
      <c r="L52" s="75"/>
      <c r="M52" s="72" t="s">
        <v>18</v>
      </c>
      <c r="N52" s="106" t="s">
        <v>32</v>
      </c>
      <c r="O52" s="138" t="s">
        <v>19</v>
      </c>
      <c r="P52" s="138" t="s">
        <v>19</v>
      </c>
      <c r="Q52" s="75"/>
      <c r="R52" s="75"/>
      <c r="S52" s="96" t="s">
        <v>22</v>
      </c>
      <c r="T52" s="96" t="s">
        <v>22</v>
      </c>
      <c r="U52" s="96" t="s">
        <v>22</v>
      </c>
      <c r="V52" s="96" t="s">
        <v>22</v>
      </c>
      <c r="W52" s="96" t="s">
        <v>22</v>
      </c>
      <c r="X52" s="96" t="s">
        <v>22</v>
      </c>
      <c r="Y52" s="96" t="s">
        <v>22</v>
      </c>
      <c r="Z52" s="72" t="s">
        <v>27</v>
      </c>
      <c r="AA52" s="142"/>
      <c r="AB52" s="72" t="s">
        <v>27</v>
      </c>
      <c r="AC52" s="75"/>
      <c r="AD52" s="75"/>
      <c r="AE52" s="72" t="s">
        <v>27</v>
      </c>
      <c r="AF52" s="105" t="s">
        <v>18</v>
      </c>
      <c r="AG52" s="72" t="s">
        <v>27</v>
      </c>
      <c r="AH52" s="75"/>
      <c r="AI52" s="75"/>
      <c r="AJ52" s="75"/>
      <c r="AK52" s="72" t="s">
        <v>27</v>
      </c>
      <c r="AL52" s="672"/>
      <c r="AM52" s="60" t="str">
        <f t="shared" si="45"/>
        <v>NO CORRESPONDE FRANCO</v>
      </c>
      <c r="AN52" s="60">
        <f t="shared" si="46"/>
        <v>2</v>
      </c>
      <c r="AO52" s="60">
        <f t="shared" si="47"/>
        <v>2</v>
      </c>
      <c r="AP52" s="60">
        <f t="shared" si="48"/>
        <v>0</v>
      </c>
      <c r="AQ52" s="60">
        <f t="shared" si="49"/>
        <v>0</v>
      </c>
      <c r="AR52" s="60">
        <f t="shared" si="50"/>
        <v>7</v>
      </c>
      <c r="AS52" s="60">
        <f t="shared" si="51"/>
        <v>9</v>
      </c>
      <c r="AT52" s="672"/>
    </row>
    <row r="53" ht="15.75" customHeight="1">
      <c r="A53" s="722" t="s">
        <v>1437</v>
      </c>
      <c r="B53" s="762" t="s">
        <v>33</v>
      </c>
      <c r="C53" s="763" t="s">
        <v>1438</v>
      </c>
      <c r="D53" s="764">
        <v>3.7548171E7</v>
      </c>
      <c r="E53" s="763" t="s">
        <v>1439</v>
      </c>
      <c r="F53" s="765" t="s">
        <v>1440</v>
      </c>
      <c r="G53" s="72" t="s">
        <v>27</v>
      </c>
      <c r="H53" s="105" t="s">
        <v>18</v>
      </c>
      <c r="I53" s="72" t="s">
        <v>27</v>
      </c>
      <c r="J53" s="72" t="s">
        <v>27</v>
      </c>
      <c r="K53" s="75"/>
      <c r="L53" s="75"/>
      <c r="M53" s="75"/>
      <c r="N53" s="105" t="s">
        <v>18</v>
      </c>
      <c r="O53" s="72" t="s">
        <v>27</v>
      </c>
      <c r="P53" s="72" t="s">
        <v>27</v>
      </c>
      <c r="Q53" s="75"/>
      <c r="R53" s="75"/>
      <c r="S53" s="72" t="s">
        <v>27</v>
      </c>
      <c r="T53" s="72" t="s">
        <v>27</v>
      </c>
      <c r="U53" s="72" t="s">
        <v>27</v>
      </c>
      <c r="V53" s="72" t="s">
        <v>27</v>
      </c>
      <c r="W53" s="75"/>
      <c r="X53" s="75"/>
      <c r="Y53" s="75"/>
      <c r="Z53" s="72" t="s">
        <v>27</v>
      </c>
      <c r="AA53" s="72" t="s">
        <v>27</v>
      </c>
      <c r="AB53" s="72" t="s">
        <v>120</v>
      </c>
      <c r="AC53" s="75"/>
      <c r="AD53" s="75"/>
      <c r="AE53" s="72" t="s">
        <v>27</v>
      </c>
      <c r="AF53" s="72" t="s">
        <v>18</v>
      </c>
      <c r="AG53" s="72" t="s">
        <v>27</v>
      </c>
      <c r="AH53" s="72" t="s">
        <v>27</v>
      </c>
      <c r="AI53" s="75"/>
      <c r="AJ53" s="75"/>
      <c r="AK53" s="75"/>
      <c r="AL53" s="746" t="s">
        <v>120</v>
      </c>
      <c r="AM53" s="60" t="str">
        <f t="shared" si="45"/>
        <v/>
      </c>
      <c r="AN53" s="60">
        <f t="shared" si="46"/>
        <v>3</v>
      </c>
      <c r="AO53" s="60">
        <f t="shared" si="47"/>
        <v>0</v>
      </c>
      <c r="AP53" s="60">
        <f t="shared" si="48"/>
        <v>0</v>
      </c>
      <c r="AQ53" s="60">
        <f t="shared" si="49"/>
        <v>0</v>
      </c>
      <c r="AR53" s="60">
        <f t="shared" si="50"/>
        <v>0</v>
      </c>
      <c r="AS53" s="60">
        <f t="shared" si="51"/>
        <v>0</v>
      </c>
      <c r="AT53" s="672"/>
    </row>
    <row r="54" ht="15.75" customHeight="1">
      <c r="A54" s="698"/>
      <c r="B54" s="766" t="s">
        <v>33</v>
      </c>
      <c r="C54" s="209" t="s">
        <v>1441</v>
      </c>
      <c r="D54" s="207">
        <v>3.4470856E7</v>
      </c>
      <c r="E54" s="209" t="s">
        <v>1442</v>
      </c>
      <c r="F54" s="207" t="s">
        <v>1443</v>
      </c>
      <c r="G54" s="72" t="s">
        <v>27</v>
      </c>
      <c r="H54" s="72" t="s">
        <v>27</v>
      </c>
      <c r="I54" s="72" t="s">
        <v>27</v>
      </c>
      <c r="J54" s="72" t="s">
        <v>27</v>
      </c>
      <c r="K54" s="75"/>
      <c r="L54" s="75"/>
      <c r="M54" s="75"/>
      <c r="N54" s="72" t="s">
        <v>27</v>
      </c>
      <c r="O54" s="72" t="s">
        <v>27</v>
      </c>
      <c r="P54" s="96" t="s">
        <v>22</v>
      </c>
      <c r="Q54" s="96" t="s">
        <v>22</v>
      </c>
      <c r="R54" s="96" t="s">
        <v>22</v>
      </c>
      <c r="S54" s="96" t="s">
        <v>22</v>
      </c>
      <c r="T54" s="96" t="s">
        <v>22</v>
      </c>
      <c r="U54" s="96" t="s">
        <v>22</v>
      </c>
      <c r="V54" s="96" t="s">
        <v>22</v>
      </c>
      <c r="W54" s="75"/>
      <c r="X54" s="75"/>
      <c r="Y54" s="75"/>
      <c r="Z54" s="420" t="s">
        <v>32</v>
      </c>
      <c r="AA54" s="72" t="s">
        <v>27</v>
      </c>
      <c r="AB54" s="72" t="s">
        <v>120</v>
      </c>
      <c r="AC54" s="75"/>
      <c r="AD54" s="75"/>
      <c r="AE54" s="72" t="s">
        <v>27</v>
      </c>
      <c r="AF54" s="72" t="s">
        <v>27</v>
      </c>
      <c r="AG54" s="72" t="s">
        <v>27</v>
      </c>
      <c r="AH54" s="72" t="s">
        <v>27</v>
      </c>
      <c r="AI54" s="75"/>
      <c r="AJ54" s="75"/>
      <c r="AK54" s="75"/>
      <c r="AL54" s="672"/>
      <c r="AM54" s="60" t="str">
        <f t="shared" si="45"/>
        <v>NO CORRESPONDE FRANCO</v>
      </c>
      <c r="AN54" s="60">
        <f t="shared" si="46"/>
        <v>0</v>
      </c>
      <c r="AO54" s="60">
        <f t="shared" si="47"/>
        <v>0</v>
      </c>
      <c r="AP54" s="60">
        <f t="shared" si="48"/>
        <v>0</v>
      </c>
      <c r="AQ54" s="60">
        <f t="shared" si="49"/>
        <v>0</v>
      </c>
      <c r="AR54" s="60">
        <f t="shared" si="50"/>
        <v>7</v>
      </c>
      <c r="AS54" s="60">
        <f t="shared" si="51"/>
        <v>7</v>
      </c>
      <c r="AT54" s="672"/>
    </row>
    <row r="55" ht="15.75" customHeight="1">
      <c r="A55" s="21"/>
      <c r="B55" s="747"/>
      <c r="C55" s="747"/>
      <c r="D55" s="747"/>
      <c r="E55" s="767"/>
      <c r="F55" s="747"/>
      <c r="G55" s="24"/>
      <c r="H55" s="24"/>
      <c r="I55" s="24"/>
      <c r="J55" s="24"/>
      <c r="L55" s="24"/>
      <c r="M55" s="24"/>
      <c r="N55" s="24"/>
      <c r="O55" s="24"/>
      <c r="P55" s="24"/>
      <c r="Q55" s="24"/>
      <c r="R55" s="24"/>
      <c r="S55" s="24"/>
      <c r="T55" s="24"/>
      <c r="U55" s="24"/>
      <c r="V55" s="24"/>
      <c r="W55" s="24"/>
      <c r="X55" s="24"/>
      <c r="AL55" s="672"/>
      <c r="AM55" s="672"/>
      <c r="AN55" s="672"/>
      <c r="AO55" s="672"/>
      <c r="AP55" s="672"/>
      <c r="AQ55" s="672"/>
      <c r="AR55" s="672"/>
      <c r="AS55" s="672"/>
      <c r="AT55" s="672"/>
    </row>
    <row r="56" ht="15.75" customHeight="1">
      <c r="A56" s="21"/>
      <c r="B56" s="664" t="s">
        <v>1444</v>
      </c>
      <c r="C56" s="2"/>
      <c r="D56" s="2"/>
      <c r="E56" s="2"/>
      <c r="F56" s="3"/>
      <c r="G56" s="9">
        <v>1.0</v>
      </c>
      <c r="H56" s="9">
        <v>2.0</v>
      </c>
      <c r="I56" s="9">
        <v>3.0</v>
      </c>
      <c r="J56" s="9">
        <v>4.0</v>
      </c>
      <c r="K56" s="9">
        <v>5.0</v>
      </c>
      <c r="L56" s="9">
        <v>6.0</v>
      </c>
      <c r="M56" s="9">
        <v>7.0</v>
      </c>
      <c r="N56" s="9">
        <v>8.0</v>
      </c>
      <c r="O56" s="9">
        <v>9.0</v>
      </c>
      <c r="P56" s="9">
        <v>10.0</v>
      </c>
      <c r="Q56" s="9">
        <v>11.0</v>
      </c>
      <c r="R56" s="9">
        <v>12.0</v>
      </c>
      <c r="S56" s="9">
        <v>13.0</v>
      </c>
      <c r="T56" s="9">
        <v>14.0</v>
      </c>
      <c r="U56" s="9">
        <v>15.0</v>
      </c>
      <c r="V56" s="9">
        <v>16.0</v>
      </c>
      <c r="W56" s="9">
        <v>17.0</v>
      </c>
      <c r="X56" s="9">
        <v>18.0</v>
      </c>
      <c r="Y56" s="9">
        <v>19.0</v>
      </c>
      <c r="Z56" s="9">
        <v>20.0</v>
      </c>
      <c r="AA56" s="9">
        <v>21.0</v>
      </c>
      <c r="AB56" s="9">
        <v>22.0</v>
      </c>
      <c r="AC56" s="9">
        <v>23.0</v>
      </c>
      <c r="AD56" s="9">
        <v>24.0</v>
      </c>
      <c r="AE56" s="9">
        <v>25.0</v>
      </c>
      <c r="AF56" s="738">
        <v>26.0</v>
      </c>
      <c r="AG56" s="9">
        <v>27.0</v>
      </c>
      <c r="AH56" s="9">
        <v>28.0</v>
      </c>
      <c r="AI56" s="9">
        <v>29.0</v>
      </c>
      <c r="AJ56" s="9">
        <v>30.0</v>
      </c>
      <c r="AK56" s="9">
        <v>31.0</v>
      </c>
      <c r="AL56" s="672"/>
      <c r="AM56" s="672"/>
      <c r="AN56" s="672"/>
      <c r="AO56" s="672"/>
      <c r="AP56" s="672"/>
      <c r="AQ56" s="672"/>
      <c r="AR56" s="672"/>
      <c r="AS56" s="672"/>
      <c r="AT56" s="672"/>
    </row>
    <row r="57" ht="15.75" customHeight="1">
      <c r="A57" s="21"/>
      <c r="B57" s="665" t="s">
        <v>4</v>
      </c>
      <c r="C57" s="666" t="s">
        <v>5</v>
      </c>
      <c r="D57" s="667" t="s">
        <v>6</v>
      </c>
      <c r="E57" s="666" t="s">
        <v>7</v>
      </c>
      <c r="F57" s="667" t="s">
        <v>8</v>
      </c>
      <c r="G57" s="9" t="s">
        <v>9</v>
      </c>
      <c r="H57" s="9" t="s">
        <v>10</v>
      </c>
      <c r="I57" s="9" t="s">
        <v>11</v>
      </c>
      <c r="J57" s="9" t="s">
        <v>12</v>
      </c>
      <c r="K57" s="9" t="s">
        <v>12</v>
      </c>
      <c r="L57" s="9" t="s">
        <v>13</v>
      </c>
      <c r="M57" s="9" t="s">
        <v>15</v>
      </c>
      <c r="N57" s="9" t="s">
        <v>9</v>
      </c>
      <c r="O57" s="9" t="s">
        <v>10</v>
      </c>
      <c r="P57" s="9" t="s">
        <v>11</v>
      </c>
      <c r="Q57" s="9" t="s">
        <v>12</v>
      </c>
      <c r="R57" s="9" t="s">
        <v>12</v>
      </c>
      <c r="S57" s="9" t="s">
        <v>13</v>
      </c>
      <c r="T57" s="9" t="s">
        <v>15</v>
      </c>
      <c r="U57" s="9" t="s">
        <v>9</v>
      </c>
      <c r="V57" s="9" t="s">
        <v>10</v>
      </c>
      <c r="W57" s="9" t="s">
        <v>11</v>
      </c>
      <c r="X57" s="9" t="s">
        <v>12</v>
      </c>
      <c r="Y57" s="9" t="s">
        <v>12</v>
      </c>
      <c r="Z57" s="9" t="s">
        <v>13</v>
      </c>
      <c r="AA57" s="9" t="s">
        <v>15</v>
      </c>
      <c r="AB57" s="9" t="s">
        <v>9</v>
      </c>
      <c r="AC57" s="9" t="s">
        <v>10</v>
      </c>
      <c r="AD57" s="9" t="s">
        <v>11</v>
      </c>
      <c r="AE57" s="9" t="s">
        <v>12</v>
      </c>
      <c r="AF57" s="9" t="s">
        <v>12</v>
      </c>
      <c r="AG57" s="9" t="s">
        <v>13</v>
      </c>
      <c r="AH57" s="13" t="s">
        <v>15</v>
      </c>
      <c r="AI57" s="9" t="s">
        <v>9</v>
      </c>
      <c r="AJ57" s="9" t="s">
        <v>10</v>
      </c>
      <c r="AK57" s="9" t="s">
        <v>11</v>
      </c>
      <c r="AL57" s="672"/>
      <c r="AM57" s="672"/>
      <c r="AN57" s="672"/>
      <c r="AO57" s="672"/>
      <c r="AP57" s="672"/>
      <c r="AQ57" s="672"/>
      <c r="AR57" s="672"/>
      <c r="AS57" s="672"/>
      <c r="AT57" s="672"/>
    </row>
    <row r="58" ht="15.75" customHeight="1">
      <c r="A58" s="768" t="s">
        <v>1445</v>
      </c>
      <c r="B58" s="704" t="s">
        <v>33</v>
      </c>
      <c r="C58" s="56" t="s">
        <v>1446</v>
      </c>
      <c r="D58" s="54">
        <v>3.0642469E7</v>
      </c>
      <c r="E58" s="56" t="s">
        <v>1447</v>
      </c>
      <c r="F58" s="54" t="s">
        <v>1448</v>
      </c>
      <c r="G58" s="44"/>
      <c r="H58" s="44"/>
      <c r="I58" s="44"/>
      <c r="J58" s="45" t="s">
        <v>27</v>
      </c>
      <c r="K58" s="45" t="s">
        <v>27</v>
      </c>
      <c r="L58" s="45" t="s">
        <v>27</v>
      </c>
      <c r="M58" s="44"/>
      <c r="N58" s="44"/>
      <c r="O58" s="103" t="s">
        <v>27</v>
      </c>
      <c r="P58" s="45" t="s">
        <v>27</v>
      </c>
      <c r="Q58" s="45" t="s">
        <v>27</v>
      </c>
      <c r="R58" s="45" t="s">
        <v>27</v>
      </c>
      <c r="S58" s="44"/>
      <c r="T58" s="44"/>
      <c r="U58" s="44"/>
      <c r="V58" s="45" t="s">
        <v>27</v>
      </c>
      <c r="W58" s="45" t="s">
        <v>27</v>
      </c>
      <c r="X58" s="45" t="s">
        <v>27</v>
      </c>
      <c r="Y58" s="44"/>
      <c r="Z58" s="44"/>
      <c r="AA58" s="103" t="s">
        <v>27</v>
      </c>
      <c r="AB58" s="72" t="s">
        <v>27</v>
      </c>
      <c r="AC58" s="45" t="s">
        <v>27</v>
      </c>
      <c r="AD58" s="106" t="s">
        <v>32</v>
      </c>
      <c r="AE58" s="44"/>
      <c r="AF58" s="44"/>
      <c r="AG58" s="44"/>
      <c r="AH58" s="45" t="s">
        <v>27</v>
      </c>
      <c r="AI58" s="45" t="s">
        <v>27</v>
      </c>
      <c r="AJ58" s="45" t="s">
        <v>27</v>
      </c>
      <c r="AK58" s="44"/>
      <c r="AL58" s="672"/>
      <c r="AM58" s="60" t="str">
        <f t="shared" ref="AM58:AM61" si="52">IFS(AN58&gt;3,"NO CORRESPONDE FRANCO",AS58&gt;0,"NO CORRESPONDE FRANCO",AS58=0,"")</f>
        <v/>
      </c>
      <c r="AN58" s="60">
        <f t="shared" ref="AN58:AN61" si="53">COUNTIF($G58:$AK58,"LLT")</f>
        <v>0</v>
      </c>
      <c r="AO58" s="60">
        <f t="shared" ref="AO58:AO61" si="54">COUNTIF($G58:$AK58,"LM")</f>
        <v>0</v>
      </c>
      <c r="AP58" s="60">
        <f t="shared" ref="AP58:AP61" si="55">COUNTIF($G58:$AK58,"FaC")</f>
        <v>0</v>
      </c>
      <c r="AQ58" s="60">
        <f t="shared" ref="AQ58:AQ61" si="56">COUNTIF($G58:$AK58,"LxE")</f>
        <v>0</v>
      </c>
      <c r="AR58" s="60">
        <f t="shared" ref="AR58:AR61" si="57">COUNTIF($G58:$AK58,"LA")</f>
        <v>0</v>
      </c>
      <c r="AS58" s="60">
        <f t="shared" ref="AS58:AS61" si="58">SUM(AO58:AR58)</f>
        <v>0</v>
      </c>
      <c r="AT58" s="672"/>
    </row>
    <row r="59" ht="15.75" customHeight="1">
      <c r="A59" s="696"/>
      <c r="B59" s="17" t="s">
        <v>33</v>
      </c>
      <c r="C59" s="56" t="s">
        <v>543</v>
      </c>
      <c r="D59" s="54">
        <v>2.5805778E7</v>
      </c>
      <c r="E59" s="56" t="s">
        <v>544</v>
      </c>
      <c r="F59" s="54" t="s">
        <v>545</v>
      </c>
      <c r="G59" s="196" t="s">
        <v>1449</v>
      </c>
      <c r="H59" s="6"/>
      <c r="I59" s="11"/>
      <c r="J59" s="711" t="s">
        <v>27</v>
      </c>
      <c r="K59" s="711" t="s">
        <v>27</v>
      </c>
      <c r="L59" s="711" t="s">
        <v>27</v>
      </c>
      <c r="M59" s="710"/>
      <c r="N59" s="710"/>
      <c r="O59" s="712" t="s">
        <v>27</v>
      </c>
      <c r="P59" s="711" t="s">
        <v>27</v>
      </c>
      <c r="Q59" s="711" t="s">
        <v>27</v>
      </c>
      <c r="R59" s="711" t="s">
        <v>27</v>
      </c>
      <c r="S59" s="710"/>
      <c r="T59" s="710"/>
      <c r="U59" s="710"/>
      <c r="V59" s="711" t="s">
        <v>27</v>
      </c>
      <c r="W59" s="712" t="s">
        <v>18</v>
      </c>
      <c r="X59" s="711" t="s">
        <v>27</v>
      </c>
      <c r="Y59" s="710"/>
      <c r="Z59" s="710"/>
      <c r="AA59" s="712" t="s">
        <v>27</v>
      </c>
      <c r="AB59" s="684" t="s">
        <v>27</v>
      </c>
      <c r="AC59" s="711" t="s">
        <v>27</v>
      </c>
      <c r="AD59" s="711" t="s">
        <v>27</v>
      </c>
      <c r="AE59" s="710"/>
      <c r="AF59" s="710"/>
      <c r="AG59" s="710"/>
      <c r="AH59" s="711" t="s">
        <v>27</v>
      </c>
      <c r="AI59" s="711" t="s">
        <v>27</v>
      </c>
      <c r="AJ59" s="711" t="s">
        <v>27</v>
      </c>
      <c r="AK59" s="710"/>
      <c r="AL59" s="672"/>
      <c r="AM59" s="60" t="str">
        <f t="shared" si="52"/>
        <v/>
      </c>
      <c r="AN59" s="60">
        <f t="shared" si="53"/>
        <v>1</v>
      </c>
      <c r="AO59" s="60">
        <f t="shared" si="54"/>
        <v>0</v>
      </c>
      <c r="AP59" s="60">
        <f t="shared" si="55"/>
        <v>0</v>
      </c>
      <c r="AQ59" s="60">
        <f t="shared" si="56"/>
        <v>0</v>
      </c>
      <c r="AR59" s="60">
        <f t="shared" si="57"/>
        <v>0</v>
      </c>
      <c r="AS59" s="60">
        <f t="shared" si="58"/>
        <v>0</v>
      </c>
      <c r="AT59" s="672"/>
    </row>
    <row r="60" ht="15.75" customHeight="1">
      <c r="A60" s="687" t="s">
        <v>1450</v>
      </c>
      <c r="B60" s="688" t="s">
        <v>33</v>
      </c>
      <c r="C60" s="689" t="s">
        <v>1451</v>
      </c>
      <c r="D60" s="207">
        <v>4.086895E7</v>
      </c>
      <c r="E60" s="689" t="s">
        <v>1452</v>
      </c>
      <c r="F60" s="690" t="s">
        <v>1453</v>
      </c>
      <c r="G60" s="175" t="s">
        <v>18</v>
      </c>
      <c r="H60" s="44"/>
      <c r="I60" s="103" t="s">
        <v>27</v>
      </c>
      <c r="J60" s="720" t="s">
        <v>27</v>
      </c>
      <c r="K60" s="720" t="s">
        <v>18</v>
      </c>
      <c r="L60" s="718"/>
      <c r="M60" s="718"/>
      <c r="N60" s="718"/>
      <c r="O60" s="720" t="s">
        <v>27</v>
      </c>
      <c r="P60" s="720" t="s">
        <v>27</v>
      </c>
      <c r="Q60" s="720" t="s">
        <v>18</v>
      </c>
      <c r="R60" s="720" t="s">
        <v>27</v>
      </c>
      <c r="S60" s="718"/>
      <c r="T60" s="718"/>
      <c r="U60" s="719" t="s">
        <v>27</v>
      </c>
      <c r="V60" s="720" t="s">
        <v>18</v>
      </c>
      <c r="W60" s="720" t="s">
        <v>18</v>
      </c>
      <c r="X60" s="718"/>
      <c r="Y60" s="718"/>
      <c r="Z60" s="718"/>
      <c r="AA60" s="720"/>
      <c r="AB60" s="692" t="s">
        <v>27</v>
      </c>
      <c r="AC60" s="720" t="s">
        <v>27</v>
      </c>
      <c r="AD60" s="720" t="s">
        <v>18</v>
      </c>
      <c r="AE60" s="718"/>
      <c r="AF60" s="718"/>
      <c r="AG60" s="720" t="s">
        <v>18</v>
      </c>
      <c r="AH60" s="720" t="s">
        <v>27</v>
      </c>
      <c r="AI60" s="720" t="s">
        <v>18</v>
      </c>
      <c r="AJ60" s="718"/>
      <c r="AK60" s="718"/>
      <c r="AL60" s="672"/>
      <c r="AM60" s="60" t="str">
        <f t="shared" si="52"/>
        <v>NO CORRESPONDE FRANCO</v>
      </c>
      <c r="AN60" s="60">
        <f t="shared" si="53"/>
        <v>8</v>
      </c>
      <c r="AO60" s="60">
        <f t="shared" si="54"/>
        <v>0</v>
      </c>
      <c r="AP60" s="60">
        <f t="shared" si="55"/>
        <v>0</v>
      </c>
      <c r="AQ60" s="60">
        <f t="shared" si="56"/>
        <v>0</v>
      </c>
      <c r="AR60" s="60">
        <f t="shared" si="57"/>
        <v>0</v>
      </c>
      <c r="AS60" s="60">
        <f t="shared" si="58"/>
        <v>0</v>
      </c>
      <c r="AT60" s="672"/>
    </row>
    <row r="61" ht="15.75" customHeight="1">
      <c r="A61" s="696"/>
      <c r="B61" s="697" t="s">
        <v>33</v>
      </c>
      <c r="C61" s="769" t="s">
        <v>1454</v>
      </c>
      <c r="D61" s="207">
        <v>3.9626397E7</v>
      </c>
      <c r="E61" s="209" t="s">
        <v>1455</v>
      </c>
      <c r="F61" s="207" t="s">
        <v>1456</v>
      </c>
      <c r="G61" s="44"/>
      <c r="H61" s="44"/>
      <c r="I61" s="103" t="s">
        <v>27</v>
      </c>
      <c r="J61" s="45" t="s">
        <v>27</v>
      </c>
      <c r="K61" s="720" t="s">
        <v>18</v>
      </c>
      <c r="L61" s="44"/>
      <c r="M61" s="44"/>
      <c r="N61" s="44"/>
      <c r="O61" s="45" t="s">
        <v>27</v>
      </c>
      <c r="P61" s="45" t="s">
        <v>27</v>
      </c>
      <c r="Q61" s="103" t="s">
        <v>18</v>
      </c>
      <c r="R61" s="45" t="s">
        <v>27</v>
      </c>
      <c r="S61" s="44"/>
      <c r="T61" s="44"/>
      <c r="U61" s="103" t="s">
        <v>27</v>
      </c>
      <c r="V61" s="106" t="s">
        <v>32</v>
      </c>
      <c r="W61" s="45" t="s">
        <v>18</v>
      </c>
      <c r="X61" s="44"/>
      <c r="Y61" s="44"/>
      <c r="Z61" s="44"/>
      <c r="AA61" s="45" t="s">
        <v>27</v>
      </c>
      <c r="AB61" s="106" t="s">
        <v>32</v>
      </c>
      <c r="AC61" s="106" t="s">
        <v>32</v>
      </c>
      <c r="AD61" s="124" t="s">
        <v>22</v>
      </c>
      <c r="AE61" s="124" t="s">
        <v>22</v>
      </c>
      <c r="AF61" s="124" t="s">
        <v>22</v>
      </c>
      <c r="AG61" s="124" t="s">
        <v>22</v>
      </c>
      <c r="AH61" s="124" t="s">
        <v>22</v>
      </c>
      <c r="AI61" s="124" t="s">
        <v>22</v>
      </c>
      <c r="AJ61" s="124" t="s">
        <v>22</v>
      </c>
      <c r="AK61" s="44"/>
      <c r="AL61" s="672"/>
      <c r="AM61" s="60" t="str">
        <f t="shared" si="52"/>
        <v>NO CORRESPONDE FRANCO</v>
      </c>
      <c r="AN61" s="60">
        <f t="shared" si="53"/>
        <v>3</v>
      </c>
      <c r="AO61" s="60">
        <f t="shared" si="54"/>
        <v>0</v>
      </c>
      <c r="AP61" s="60">
        <f t="shared" si="55"/>
        <v>0</v>
      </c>
      <c r="AQ61" s="60">
        <f t="shared" si="56"/>
        <v>0</v>
      </c>
      <c r="AR61" s="60">
        <f t="shared" si="57"/>
        <v>7</v>
      </c>
      <c r="AS61" s="60">
        <f t="shared" si="58"/>
        <v>7</v>
      </c>
      <c r="AT61" s="672"/>
    </row>
    <row r="62" ht="15.75" customHeight="1">
      <c r="A62" s="21"/>
      <c r="B62" s="21"/>
      <c r="C62" s="21"/>
      <c r="D62" s="21"/>
      <c r="E62" s="21"/>
      <c r="F62" s="21"/>
      <c r="G62" s="24"/>
      <c r="H62" s="24"/>
      <c r="I62" s="24"/>
      <c r="J62" s="24"/>
      <c r="L62" s="24"/>
      <c r="M62" s="24"/>
      <c r="N62" s="24"/>
      <c r="O62" s="24"/>
      <c r="P62" s="24"/>
      <c r="Q62" s="24"/>
      <c r="R62" s="24"/>
      <c r="S62" s="24"/>
      <c r="T62" s="24"/>
      <c r="U62" s="24"/>
      <c r="V62" s="24"/>
      <c r="W62" s="24"/>
      <c r="X62" s="24"/>
      <c r="AL62" s="672"/>
      <c r="AM62" s="672"/>
      <c r="AN62" s="672"/>
      <c r="AO62" s="672"/>
      <c r="AP62" s="672"/>
      <c r="AQ62" s="672"/>
      <c r="AR62" s="672"/>
      <c r="AS62" s="672"/>
      <c r="AT62" s="672"/>
    </row>
    <row r="63" ht="15.75" customHeight="1">
      <c r="A63" s="21"/>
      <c r="B63" s="664" t="s">
        <v>1457</v>
      </c>
      <c r="C63" s="2"/>
      <c r="D63" s="2"/>
      <c r="E63" s="2"/>
      <c r="F63" s="3"/>
      <c r="G63" s="9">
        <v>1.0</v>
      </c>
      <c r="H63" s="9">
        <v>2.0</v>
      </c>
      <c r="I63" s="9">
        <v>3.0</v>
      </c>
      <c r="J63" s="9">
        <v>4.0</v>
      </c>
      <c r="K63" s="9">
        <v>5.0</v>
      </c>
      <c r="L63" s="9">
        <v>6.0</v>
      </c>
      <c r="M63" s="9">
        <v>7.0</v>
      </c>
      <c r="N63" s="9">
        <v>8.0</v>
      </c>
      <c r="O63" s="9">
        <v>9.0</v>
      </c>
      <c r="P63" s="9">
        <v>10.0</v>
      </c>
      <c r="Q63" s="9">
        <v>11.0</v>
      </c>
      <c r="R63" s="9">
        <v>12.0</v>
      </c>
      <c r="S63" s="9">
        <v>13.0</v>
      </c>
      <c r="T63" s="9">
        <v>14.0</v>
      </c>
      <c r="U63" s="9">
        <v>15.0</v>
      </c>
      <c r="V63" s="9">
        <v>16.0</v>
      </c>
      <c r="W63" s="9">
        <v>17.0</v>
      </c>
      <c r="X63" s="9">
        <v>18.0</v>
      </c>
      <c r="Y63" s="9">
        <v>19.0</v>
      </c>
      <c r="Z63" s="9">
        <v>20.0</v>
      </c>
      <c r="AA63" s="9">
        <v>21.0</v>
      </c>
      <c r="AB63" s="9">
        <v>22.0</v>
      </c>
      <c r="AC63" s="9">
        <v>23.0</v>
      </c>
      <c r="AD63" s="9">
        <v>24.0</v>
      </c>
      <c r="AE63" s="9">
        <v>25.0</v>
      </c>
      <c r="AF63" s="9">
        <v>26.0</v>
      </c>
      <c r="AG63" s="9">
        <v>27.0</v>
      </c>
      <c r="AH63" s="9">
        <v>28.0</v>
      </c>
      <c r="AI63" s="9">
        <v>29.0</v>
      </c>
      <c r="AJ63" s="9">
        <v>30.0</v>
      </c>
      <c r="AK63" s="9">
        <v>31.0</v>
      </c>
      <c r="AL63" s="672"/>
      <c r="AM63" s="672"/>
      <c r="AN63" s="672"/>
      <c r="AO63" s="672"/>
      <c r="AP63" s="672"/>
      <c r="AQ63" s="672"/>
      <c r="AR63" s="672"/>
      <c r="AS63" s="672"/>
      <c r="AT63" s="672"/>
    </row>
    <row r="64" ht="15.75" customHeight="1">
      <c r="A64" s="21"/>
      <c r="B64" s="700" t="s">
        <v>4</v>
      </c>
      <c r="C64" s="702" t="s">
        <v>5</v>
      </c>
      <c r="D64" s="701" t="s">
        <v>6</v>
      </c>
      <c r="E64" s="702" t="s">
        <v>7</v>
      </c>
      <c r="F64" s="701" t="s">
        <v>8</v>
      </c>
      <c r="G64" s="9" t="s">
        <v>9</v>
      </c>
      <c r="H64" s="9" t="s">
        <v>10</v>
      </c>
      <c r="I64" s="9" t="s">
        <v>11</v>
      </c>
      <c r="J64" s="9" t="s">
        <v>12</v>
      </c>
      <c r="K64" s="9" t="s">
        <v>12</v>
      </c>
      <c r="L64" s="9" t="s">
        <v>13</v>
      </c>
      <c r="M64" s="9" t="s">
        <v>15</v>
      </c>
      <c r="N64" s="9" t="s">
        <v>9</v>
      </c>
      <c r="O64" s="9" t="s">
        <v>10</v>
      </c>
      <c r="P64" s="9" t="s">
        <v>11</v>
      </c>
      <c r="Q64" s="9" t="s">
        <v>12</v>
      </c>
      <c r="R64" s="9" t="s">
        <v>12</v>
      </c>
      <c r="S64" s="9" t="s">
        <v>13</v>
      </c>
      <c r="T64" s="9" t="s">
        <v>15</v>
      </c>
      <c r="U64" s="9" t="s">
        <v>9</v>
      </c>
      <c r="V64" s="9" t="s">
        <v>10</v>
      </c>
      <c r="W64" s="9" t="s">
        <v>11</v>
      </c>
      <c r="X64" s="9" t="s">
        <v>12</v>
      </c>
      <c r="Y64" s="9" t="s">
        <v>12</v>
      </c>
      <c r="Z64" s="9" t="s">
        <v>13</v>
      </c>
      <c r="AA64" s="9" t="s">
        <v>15</v>
      </c>
      <c r="AB64" s="9" t="s">
        <v>9</v>
      </c>
      <c r="AC64" s="9" t="s">
        <v>10</v>
      </c>
      <c r="AD64" s="9" t="s">
        <v>11</v>
      </c>
      <c r="AE64" s="9" t="s">
        <v>12</v>
      </c>
      <c r="AF64" s="9" t="s">
        <v>12</v>
      </c>
      <c r="AG64" s="9" t="s">
        <v>13</v>
      </c>
      <c r="AH64" s="770" t="s">
        <v>15</v>
      </c>
      <c r="AI64" s="9" t="s">
        <v>9</v>
      </c>
      <c r="AJ64" s="9" t="s">
        <v>10</v>
      </c>
      <c r="AK64" s="9" t="s">
        <v>11</v>
      </c>
      <c r="AL64" s="672"/>
      <c r="AM64" s="672"/>
      <c r="AN64" s="672"/>
      <c r="AO64" s="672"/>
      <c r="AP64" s="672"/>
      <c r="AQ64" s="672"/>
      <c r="AR64" s="672"/>
      <c r="AS64" s="672"/>
      <c r="AT64" s="672"/>
    </row>
    <row r="65" ht="15.75" customHeight="1">
      <c r="A65" s="771" t="s">
        <v>1458</v>
      </c>
      <c r="B65" s="772" t="s">
        <v>33</v>
      </c>
      <c r="C65" s="773" t="s">
        <v>258</v>
      </c>
      <c r="D65" s="774">
        <v>9.5372579E7</v>
      </c>
      <c r="E65" s="752" t="s">
        <v>259</v>
      </c>
      <c r="F65" s="54" t="s">
        <v>260</v>
      </c>
      <c r="G65" s="224" t="s">
        <v>1459</v>
      </c>
      <c r="H65" s="6"/>
      <c r="I65" s="11"/>
      <c r="J65" s="75"/>
      <c r="K65" s="72" t="s">
        <v>27</v>
      </c>
      <c r="L65" s="72" t="s">
        <v>27</v>
      </c>
      <c r="M65" s="72" t="s">
        <v>120</v>
      </c>
      <c r="N65" s="72" t="s">
        <v>27</v>
      </c>
      <c r="O65" s="75"/>
      <c r="P65" s="75"/>
      <c r="Q65" s="72" t="s">
        <v>27</v>
      </c>
      <c r="R65" s="72" t="s">
        <v>27</v>
      </c>
      <c r="S65" s="72" t="s">
        <v>27</v>
      </c>
      <c r="T65" s="75"/>
      <c r="U65" s="75"/>
      <c r="V65" s="75"/>
      <c r="W65" s="72" t="s">
        <v>27</v>
      </c>
      <c r="X65" s="72" t="s">
        <v>27</v>
      </c>
      <c r="Y65" s="72" t="s">
        <v>27</v>
      </c>
      <c r="Z65" s="72" t="s">
        <v>27</v>
      </c>
      <c r="AA65" s="75"/>
      <c r="AB65" s="75"/>
      <c r="AC65" s="72" t="s">
        <v>27</v>
      </c>
      <c r="AD65" s="72" t="s">
        <v>27</v>
      </c>
      <c r="AE65" s="72" t="s">
        <v>27</v>
      </c>
      <c r="AF65" s="75"/>
      <c r="AG65" s="775"/>
      <c r="AH65" s="75"/>
      <c r="AI65" s="106" t="s">
        <v>32</v>
      </c>
      <c r="AJ65" s="72" t="s">
        <v>27</v>
      </c>
      <c r="AK65" s="72" t="s">
        <v>27</v>
      </c>
      <c r="AL65" s="672"/>
      <c r="AM65" s="60" t="str">
        <f t="shared" ref="AM65:AM68" si="59">IFS(AN65&gt;3,"NO CORRESPONDE FRANCO",AS65&gt;0,"NO CORRESPONDE FRANCO",AS65=0,"")</f>
        <v/>
      </c>
      <c r="AN65" s="60">
        <f t="shared" ref="AN65:AN68" si="60">COUNTIF($G65:$AK65,"LLT")</f>
        <v>0</v>
      </c>
      <c r="AO65" s="60">
        <f t="shared" ref="AO65:AO68" si="61">COUNTIF($G65:$AK65,"LM")</f>
        <v>0</v>
      </c>
      <c r="AP65" s="60">
        <f t="shared" ref="AP65:AP68" si="62">COUNTIF($G65:$AK65,"FaC")</f>
        <v>0</v>
      </c>
      <c r="AQ65" s="60">
        <f t="shared" ref="AQ65:AQ68" si="63">COUNTIF($G65:$AK65,"LxE")</f>
        <v>0</v>
      </c>
      <c r="AR65" s="60">
        <f t="shared" ref="AR65:AR68" si="64">COUNTIF($G65:$AK65,"LA")</f>
        <v>0</v>
      </c>
      <c r="AS65" s="60">
        <f t="shared" ref="AS65:AS68" si="65">SUM(AO65:AR65)</f>
        <v>0</v>
      </c>
      <c r="AT65" s="672"/>
    </row>
    <row r="66" ht="15.75" customHeight="1">
      <c r="B66" s="54" t="s">
        <v>33</v>
      </c>
      <c r="C66" s="56" t="s">
        <v>291</v>
      </c>
      <c r="D66" s="776">
        <v>4.3629203E7</v>
      </c>
      <c r="E66" s="752" t="s">
        <v>292</v>
      </c>
      <c r="F66" s="54" t="s">
        <v>293</v>
      </c>
      <c r="G66" s="777" t="s">
        <v>1459</v>
      </c>
      <c r="H66" s="778"/>
      <c r="I66" s="779"/>
      <c r="J66" s="685"/>
      <c r="K66" s="684" t="s">
        <v>27</v>
      </c>
      <c r="L66" s="684" t="s">
        <v>27</v>
      </c>
      <c r="M66" s="684" t="s">
        <v>120</v>
      </c>
      <c r="N66" s="684" t="s">
        <v>27</v>
      </c>
      <c r="O66" s="685"/>
      <c r="P66" s="685"/>
      <c r="Q66" s="684" t="s">
        <v>27</v>
      </c>
      <c r="R66" s="684" t="s">
        <v>27</v>
      </c>
      <c r="S66" s="684" t="s">
        <v>27</v>
      </c>
      <c r="T66" s="685"/>
      <c r="U66" s="685"/>
      <c r="V66" s="685"/>
      <c r="W66" s="684" t="s">
        <v>27</v>
      </c>
      <c r="X66" s="684" t="s">
        <v>27</v>
      </c>
      <c r="Y66" s="684" t="s">
        <v>27</v>
      </c>
      <c r="Z66" s="684" t="s">
        <v>27</v>
      </c>
      <c r="AA66" s="685"/>
      <c r="AB66" s="685"/>
      <c r="AC66" s="684" t="s">
        <v>27</v>
      </c>
      <c r="AD66" s="684" t="s">
        <v>27</v>
      </c>
      <c r="AE66" s="684" t="s">
        <v>27</v>
      </c>
      <c r="AF66" s="685"/>
      <c r="AG66" s="780"/>
      <c r="AH66" s="685"/>
      <c r="AI66" s="781" t="s">
        <v>27</v>
      </c>
      <c r="AJ66" s="684" t="s">
        <v>27</v>
      </c>
      <c r="AK66" s="684" t="s">
        <v>27</v>
      </c>
      <c r="AL66" s="672"/>
      <c r="AM66" s="60" t="str">
        <f t="shared" si="59"/>
        <v/>
      </c>
      <c r="AN66" s="60">
        <f t="shared" si="60"/>
        <v>0</v>
      </c>
      <c r="AO66" s="60">
        <f t="shared" si="61"/>
        <v>0</v>
      </c>
      <c r="AP66" s="60">
        <f t="shared" si="62"/>
        <v>0</v>
      </c>
      <c r="AQ66" s="60">
        <f t="shared" si="63"/>
        <v>0</v>
      </c>
      <c r="AR66" s="60">
        <f t="shared" si="64"/>
        <v>0</v>
      </c>
      <c r="AS66" s="60">
        <f t="shared" si="65"/>
        <v>0</v>
      </c>
      <c r="AT66" s="672"/>
    </row>
    <row r="67" ht="15.75" customHeight="1">
      <c r="A67" s="687" t="s">
        <v>1460</v>
      </c>
      <c r="B67" s="688" t="s">
        <v>33</v>
      </c>
      <c r="C67" s="782" t="s">
        <v>1461</v>
      </c>
      <c r="D67" s="783">
        <v>4.3819657E7</v>
      </c>
      <c r="E67" s="782" t="s">
        <v>1462</v>
      </c>
      <c r="F67" s="783" t="s">
        <v>1463</v>
      </c>
      <c r="G67" s="692" t="s">
        <v>18</v>
      </c>
      <c r="H67" s="105" t="s">
        <v>18</v>
      </c>
      <c r="I67" s="693"/>
      <c r="J67" s="693"/>
      <c r="K67" s="693"/>
      <c r="L67" s="692" t="s">
        <v>27</v>
      </c>
      <c r="M67" s="692" t="s">
        <v>18</v>
      </c>
      <c r="N67" s="695" t="s">
        <v>18</v>
      </c>
      <c r="O67" s="693"/>
      <c r="P67" s="693"/>
      <c r="Q67" s="692" t="s">
        <v>27</v>
      </c>
      <c r="R67" s="692" t="s">
        <v>27</v>
      </c>
      <c r="S67" s="692" t="s">
        <v>27</v>
      </c>
      <c r="T67" s="692" t="s">
        <v>27</v>
      </c>
      <c r="U67" s="693"/>
      <c r="V67" s="693"/>
      <c r="W67" s="693"/>
      <c r="X67" s="692" t="s">
        <v>27</v>
      </c>
      <c r="Y67" s="138" t="s">
        <v>19</v>
      </c>
      <c r="Z67" s="695" t="s">
        <v>18</v>
      </c>
      <c r="AA67" s="693"/>
      <c r="AB67" s="693"/>
      <c r="AC67" s="695" t="s">
        <v>18</v>
      </c>
      <c r="AD67" s="138" t="s">
        <v>19</v>
      </c>
      <c r="AE67" s="692" t="s">
        <v>27</v>
      </c>
      <c r="AF67" s="744"/>
      <c r="AG67" s="784"/>
      <c r="AH67" s="693"/>
      <c r="AI67" s="785"/>
      <c r="AJ67" s="692" t="s">
        <v>18</v>
      </c>
      <c r="AK67" s="692" t="s">
        <v>27</v>
      </c>
      <c r="AL67" s="672"/>
      <c r="AM67" s="60" t="str">
        <f t="shared" si="59"/>
        <v>NO CORRESPONDE FRANCO</v>
      </c>
      <c r="AN67" s="60">
        <f t="shared" si="60"/>
        <v>7</v>
      </c>
      <c r="AO67" s="60">
        <f t="shared" si="61"/>
        <v>2</v>
      </c>
      <c r="AP67" s="60">
        <f t="shared" si="62"/>
        <v>0</v>
      </c>
      <c r="AQ67" s="60">
        <f t="shared" si="63"/>
        <v>0</v>
      </c>
      <c r="AR67" s="60">
        <f t="shared" si="64"/>
        <v>0</v>
      </c>
      <c r="AS67" s="60">
        <f t="shared" si="65"/>
        <v>2</v>
      </c>
      <c r="AT67" s="672"/>
    </row>
    <row r="68" ht="15.75" customHeight="1">
      <c r="A68" s="696"/>
      <c r="B68" s="723" t="s">
        <v>33</v>
      </c>
      <c r="C68" s="209" t="s">
        <v>1464</v>
      </c>
      <c r="D68" s="207">
        <v>2.5500526E7</v>
      </c>
      <c r="E68" s="724" t="s">
        <v>1465</v>
      </c>
      <c r="F68" s="207" t="s">
        <v>1466</v>
      </c>
      <c r="G68" s="72" t="s">
        <v>27</v>
      </c>
      <c r="H68" s="72" t="s">
        <v>27</v>
      </c>
      <c r="I68" s="72" t="s">
        <v>27</v>
      </c>
      <c r="J68" s="75"/>
      <c r="K68" s="75"/>
      <c r="L68" s="72" t="s">
        <v>27</v>
      </c>
      <c r="M68" s="72" t="s">
        <v>120</v>
      </c>
      <c r="N68" s="72" t="s">
        <v>27</v>
      </c>
      <c r="O68" s="75"/>
      <c r="P68" s="124" t="s">
        <v>22</v>
      </c>
      <c r="Q68" s="124" t="s">
        <v>22</v>
      </c>
      <c r="R68" s="124" t="s">
        <v>22</v>
      </c>
      <c r="S68" s="124" t="s">
        <v>22</v>
      </c>
      <c r="T68" s="124" t="s">
        <v>22</v>
      </c>
      <c r="U68" s="124" t="s">
        <v>22</v>
      </c>
      <c r="V68" s="124" t="s">
        <v>22</v>
      </c>
      <c r="W68" s="124" t="s">
        <v>22</v>
      </c>
      <c r="X68" s="124" t="s">
        <v>22</v>
      </c>
      <c r="Y68" s="124" t="s">
        <v>22</v>
      </c>
      <c r="Z68" s="124" t="s">
        <v>22</v>
      </c>
      <c r="AA68" s="75"/>
      <c r="AB68" s="75"/>
      <c r="AC68" s="72" t="s">
        <v>27</v>
      </c>
      <c r="AD68" s="72" t="s">
        <v>27</v>
      </c>
      <c r="AE68" s="72" t="s">
        <v>27</v>
      </c>
      <c r="AF68" s="72" t="s">
        <v>27</v>
      </c>
      <c r="AG68" s="75"/>
      <c r="AH68" s="693"/>
      <c r="AI68" s="75"/>
      <c r="AJ68" s="72" t="s">
        <v>27</v>
      </c>
      <c r="AK68" s="72" t="s">
        <v>27</v>
      </c>
      <c r="AL68" s="672"/>
      <c r="AM68" s="60" t="str">
        <f t="shared" si="59"/>
        <v>NO CORRESPONDE FRANCO</v>
      </c>
      <c r="AN68" s="60">
        <f t="shared" si="60"/>
        <v>0</v>
      </c>
      <c r="AO68" s="60">
        <f t="shared" si="61"/>
        <v>0</v>
      </c>
      <c r="AP68" s="60">
        <f t="shared" si="62"/>
        <v>0</v>
      </c>
      <c r="AQ68" s="60">
        <f t="shared" si="63"/>
        <v>0</v>
      </c>
      <c r="AR68" s="60">
        <f t="shared" si="64"/>
        <v>11</v>
      </c>
      <c r="AS68" s="60">
        <f t="shared" si="65"/>
        <v>11</v>
      </c>
      <c r="AT68" s="672"/>
    </row>
    <row r="69" ht="15.75" customHeight="1">
      <c r="G69" s="24">
        <f t="shared" ref="G69:AK69" si="66">COUNTIF(G50:G68,"P") + COUNTIF(G50:G68, "LLT")</f>
        <v>7</v>
      </c>
      <c r="H69" s="24">
        <f t="shared" si="66"/>
        <v>5</v>
      </c>
      <c r="I69" s="24">
        <f t="shared" si="66"/>
        <v>7</v>
      </c>
      <c r="J69" s="24">
        <f t="shared" si="66"/>
        <v>6</v>
      </c>
      <c r="K69" s="24">
        <f t="shared" si="66"/>
        <v>6</v>
      </c>
      <c r="L69" s="24">
        <f t="shared" si="66"/>
        <v>6</v>
      </c>
      <c r="M69" s="24">
        <f t="shared" si="66"/>
        <v>6</v>
      </c>
      <c r="N69" s="24">
        <f t="shared" si="66"/>
        <v>7</v>
      </c>
      <c r="O69" s="24">
        <f t="shared" si="66"/>
        <v>7</v>
      </c>
      <c r="P69" s="24">
        <f t="shared" si="66"/>
        <v>6</v>
      </c>
      <c r="Q69" s="24">
        <f t="shared" si="66"/>
        <v>7</v>
      </c>
      <c r="R69" s="24">
        <f t="shared" si="66"/>
        <v>7</v>
      </c>
      <c r="S69" s="24">
        <f t="shared" si="66"/>
        <v>5</v>
      </c>
      <c r="T69" s="24">
        <f t="shared" si="66"/>
        <v>3</v>
      </c>
      <c r="U69" s="24">
        <f t="shared" si="66"/>
        <v>4</v>
      </c>
      <c r="V69" s="24">
        <f t="shared" si="66"/>
        <v>4</v>
      </c>
      <c r="W69" s="24">
        <f t="shared" si="66"/>
        <v>6</v>
      </c>
      <c r="X69" s="24">
        <f t="shared" si="66"/>
        <v>5</v>
      </c>
      <c r="Y69" s="24">
        <f t="shared" si="66"/>
        <v>3</v>
      </c>
      <c r="Z69" s="24">
        <f t="shared" si="66"/>
        <v>6</v>
      </c>
      <c r="AA69" s="24">
        <f t="shared" si="66"/>
        <v>5</v>
      </c>
      <c r="AB69" s="24">
        <f t="shared" si="66"/>
        <v>6</v>
      </c>
      <c r="AC69" s="24">
        <f t="shared" si="66"/>
        <v>7</v>
      </c>
      <c r="AD69" s="24">
        <f t="shared" si="66"/>
        <v>5</v>
      </c>
      <c r="AE69" s="24">
        <f t="shared" si="66"/>
        <v>7</v>
      </c>
      <c r="AF69" s="24">
        <f t="shared" si="66"/>
        <v>4</v>
      </c>
      <c r="AG69" s="24">
        <f t="shared" si="66"/>
        <v>4</v>
      </c>
      <c r="AH69" s="24">
        <f t="shared" si="66"/>
        <v>5</v>
      </c>
      <c r="AI69" s="24">
        <f t="shared" si="66"/>
        <v>4</v>
      </c>
      <c r="AJ69" s="24">
        <f t="shared" si="66"/>
        <v>6</v>
      </c>
      <c r="AK69" s="24">
        <f t="shared" si="66"/>
        <v>5</v>
      </c>
      <c r="AL69" s="257"/>
      <c r="AM69" s="257"/>
      <c r="AN69" s="257"/>
      <c r="AO69" s="257"/>
      <c r="AP69" s="257"/>
      <c r="AQ69" s="257"/>
      <c r="AR69" s="257"/>
      <c r="AS69" s="257"/>
      <c r="AT69" s="257"/>
    </row>
    <row r="70" ht="15.75" customHeight="1">
      <c r="G70" s="24">
        <f t="shared" ref="G70:AK70" si="67">COUNTIF(G3:G68,"P") + COUNTIF(G3:G68, "LLT")</f>
        <v>19</v>
      </c>
      <c r="H70" s="24">
        <f t="shared" si="67"/>
        <v>15</v>
      </c>
      <c r="I70" s="24">
        <f t="shared" si="67"/>
        <v>16</v>
      </c>
      <c r="J70" s="24">
        <f t="shared" si="67"/>
        <v>14</v>
      </c>
      <c r="K70" s="24">
        <f t="shared" si="67"/>
        <v>15</v>
      </c>
      <c r="L70" s="24">
        <f t="shared" si="67"/>
        <v>18</v>
      </c>
      <c r="M70" s="24">
        <f t="shared" si="67"/>
        <v>16</v>
      </c>
      <c r="N70" s="24">
        <f t="shared" si="67"/>
        <v>20</v>
      </c>
      <c r="O70" s="24">
        <f t="shared" si="67"/>
        <v>20</v>
      </c>
      <c r="P70" s="24">
        <f t="shared" si="67"/>
        <v>19</v>
      </c>
      <c r="Q70" s="24">
        <f t="shared" si="67"/>
        <v>19</v>
      </c>
      <c r="R70" s="24">
        <f t="shared" si="67"/>
        <v>22</v>
      </c>
      <c r="S70" s="24">
        <f t="shared" si="67"/>
        <v>22</v>
      </c>
      <c r="T70" s="24">
        <f t="shared" si="67"/>
        <v>15</v>
      </c>
      <c r="U70" s="24">
        <f t="shared" si="67"/>
        <v>14</v>
      </c>
      <c r="V70" s="24">
        <f t="shared" si="67"/>
        <v>11</v>
      </c>
      <c r="W70" s="24">
        <f t="shared" si="67"/>
        <v>14</v>
      </c>
      <c r="X70" s="24">
        <f t="shared" si="67"/>
        <v>16</v>
      </c>
      <c r="Y70" s="24">
        <f t="shared" si="67"/>
        <v>16</v>
      </c>
      <c r="Z70" s="24">
        <f t="shared" si="67"/>
        <v>21</v>
      </c>
      <c r="AA70" s="24">
        <f t="shared" si="67"/>
        <v>19</v>
      </c>
      <c r="AB70" s="24">
        <f t="shared" si="67"/>
        <v>20</v>
      </c>
      <c r="AC70" s="24">
        <f t="shared" si="67"/>
        <v>20</v>
      </c>
      <c r="AD70" s="24">
        <f t="shared" si="67"/>
        <v>19</v>
      </c>
      <c r="AE70" s="24">
        <f t="shared" si="67"/>
        <v>23</v>
      </c>
      <c r="AF70" s="24">
        <f t="shared" si="67"/>
        <v>18</v>
      </c>
      <c r="AG70" s="24">
        <f t="shared" si="67"/>
        <v>12</v>
      </c>
      <c r="AH70" s="24">
        <f t="shared" si="67"/>
        <v>16</v>
      </c>
      <c r="AI70" s="24">
        <f t="shared" si="67"/>
        <v>15</v>
      </c>
      <c r="AJ70" s="24">
        <f t="shared" si="67"/>
        <v>19</v>
      </c>
      <c r="AK70" s="24">
        <f t="shared" si="67"/>
        <v>19</v>
      </c>
      <c r="AL70" s="257"/>
      <c r="AM70" s="257"/>
      <c r="AN70" s="257"/>
      <c r="AO70" s="257"/>
      <c r="AP70" s="257"/>
      <c r="AQ70" s="257"/>
      <c r="AR70" s="257"/>
      <c r="AS70" s="257"/>
      <c r="AT70" s="257"/>
    </row>
    <row r="71" ht="15.75" customHeight="1">
      <c r="G71" s="24">
        <f t="shared" ref="G71:AK71" si="68">COUNTIF(G5:G262,"P") + COUNTIF(G5:G262, "LLT") + COUNTIF(G5:G262, "FA") + COUNTIF(G5:G262, "A") + COUNTIF(G5:G262, "LM") + COUNTIF(G5:G262, "LA") + COUNTIF(G5:G262, "FAC") + COUNTIF(G5:G262, "LXF") + COUNTIF(G5:G262, "LXE") + COUNTIF(G5:G262, "LXM")</f>
        <v>25</v>
      </c>
      <c r="H71" s="24">
        <f t="shared" si="68"/>
        <v>20</v>
      </c>
      <c r="I71" s="24">
        <f t="shared" si="68"/>
        <v>21</v>
      </c>
      <c r="J71" s="24">
        <f t="shared" si="68"/>
        <v>20</v>
      </c>
      <c r="K71" s="24">
        <f t="shared" si="68"/>
        <v>20</v>
      </c>
      <c r="L71" s="24">
        <f t="shared" si="68"/>
        <v>23</v>
      </c>
      <c r="M71" s="24">
        <f t="shared" si="68"/>
        <v>22</v>
      </c>
      <c r="N71" s="24">
        <f t="shared" si="68"/>
        <v>26</v>
      </c>
      <c r="O71" s="24">
        <f t="shared" si="68"/>
        <v>25</v>
      </c>
      <c r="P71" s="24">
        <f t="shared" si="68"/>
        <v>26</v>
      </c>
      <c r="Q71" s="24">
        <f t="shared" si="68"/>
        <v>24</v>
      </c>
      <c r="R71" s="24">
        <f t="shared" si="68"/>
        <v>26</v>
      </c>
      <c r="S71" s="24">
        <f t="shared" si="68"/>
        <v>27</v>
      </c>
      <c r="T71" s="24">
        <f t="shared" si="68"/>
        <v>21</v>
      </c>
      <c r="U71" s="24">
        <f t="shared" si="68"/>
        <v>20</v>
      </c>
      <c r="V71" s="24">
        <f t="shared" si="68"/>
        <v>20</v>
      </c>
      <c r="W71" s="24">
        <f t="shared" si="68"/>
        <v>19</v>
      </c>
      <c r="X71" s="24">
        <f t="shared" si="68"/>
        <v>21</v>
      </c>
      <c r="Y71" s="24">
        <f t="shared" si="68"/>
        <v>21</v>
      </c>
      <c r="Z71" s="24">
        <f t="shared" si="68"/>
        <v>26</v>
      </c>
      <c r="AA71" s="24">
        <f t="shared" si="68"/>
        <v>22</v>
      </c>
      <c r="AB71" s="24">
        <f t="shared" si="68"/>
        <v>25</v>
      </c>
      <c r="AC71" s="24">
        <f t="shared" si="68"/>
        <v>25</v>
      </c>
      <c r="AD71" s="24">
        <f t="shared" si="68"/>
        <v>26</v>
      </c>
      <c r="AE71" s="24">
        <f t="shared" si="68"/>
        <v>26</v>
      </c>
      <c r="AF71" s="24">
        <f t="shared" si="68"/>
        <v>21</v>
      </c>
      <c r="AG71" s="24">
        <f t="shared" si="68"/>
        <v>16</v>
      </c>
      <c r="AH71" s="24">
        <f t="shared" si="68"/>
        <v>19</v>
      </c>
      <c r="AI71" s="24">
        <f t="shared" si="68"/>
        <v>19</v>
      </c>
      <c r="AJ71" s="24">
        <f t="shared" si="68"/>
        <v>21</v>
      </c>
      <c r="AK71" s="24">
        <f t="shared" si="68"/>
        <v>20</v>
      </c>
      <c r="AL71" s="257"/>
      <c r="AM71" s="257"/>
      <c r="AN71" s="257"/>
      <c r="AO71" s="257"/>
      <c r="AP71" s="257"/>
      <c r="AQ71" s="257"/>
      <c r="AR71" s="257"/>
      <c r="AS71" s="257"/>
      <c r="AT71" s="257"/>
    </row>
    <row r="72" ht="15.75" customHeight="1">
      <c r="G72" s="24"/>
      <c r="H72" s="24"/>
      <c r="I72" s="24"/>
      <c r="J72" s="24"/>
      <c r="L72" s="24"/>
      <c r="M72" s="24"/>
      <c r="N72" s="24"/>
      <c r="O72" s="24"/>
      <c r="P72" s="24"/>
      <c r="Q72" s="24"/>
      <c r="R72" s="24"/>
      <c r="S72" s="24"/>
      <c r="T72" s="24"/>
      <c r="U72" s="24"/>
      <c r="V72" s="24"/>
      <c r="W72" s="24"/>
      <c r="X72" s="24"/>
      <c r="AL72" s="257"/>
      <c r="AM72" s="257"/>
      <c r="AN72" s="257"/>
      <c r="AO72" s="257"/>
      <c r="AP72" s="257"/>
      <c r="AQ72" s="257"/>
      <c r="AR72" s="257"/>
      <c r="AS72" s="257"/>
      <c r="AT72" s="257"/>
    </row>
    <row r="73" ht="15.75" customHeight="1">
      <c r="G73" s="24"/>
      <c r="H73" s="24"/>
      <c r="I73" s="24"/>
      <c r="J73" s="24"/>
      <c r="L73" s="24"/>
      <c r="M73" s="24"/>
      <c r="N73" s="24"/>
      <c r="O73" s="24"/>
      <c r="P73" s="24"/>
      <c r="Q73" s="24"/>
      <c r="R73" s="24"/>
      <c r="S73" s="24"/>
      <c r="T73" s="50"/>
      <c r="U73" s="24"/>
      <c r="V73" s="24"/>
      <c r="W73" s="24"/>
      <c r="X73" s="24"/>
      <c r="AL73" s="257"/>
      <c r="AM73" s="257"/>
      <c r="AN73" s="257"/>
      <c r="AO73" s="257"/>
      <c r="AP73" s="257"/>
      <c r="AQ73" s="257"/>
      <c r="AR73" s="257"/>
      <c r="AS73" s="257"/>
      <c r="AT73" s="257"/>
    </row>
    <row r="74" ht="15.75" customHeight="1">
      <c r="G74" s="24"/>
      <c r="H74" s="24"/>
      <c r="I74" s="24"/>
      <c r="J74" s="24"/>
      <c r="L74" s="24"/>
      <c r="M74" s="24"/>
      <c r="N74" s="24"/>
      <c r="O74" s="24"/>
      <c r="P74" s="24"/>
      <c r="Q74" s="24"/>
      <c r="R74" s="24"/>
      <c r="S74" s="24"/>
      <c r="T74" s="24"/>
      <c r="U74" s="24"/>
      <c r="V74" s="24"/>
      <c r="W74" s="24"/>
      <c r="X74" s="24"/>
      <c r="AL74" s="672"/>
      <c r="AM74" s="672"/>
      <c r="AN74" s="672"/>
      <c r="AO74" s="672"/>
      <c r="AP74" s="672"/>
      <c r="AQ74" s="672"/>
      <c r="AR74" s="672"/>
      <c r="AS74" s="672"/>
      <c r="AT74" s="672"/>
    </row>
    <row r="75" ht="15.75" customHeight="1">
      <c r="G75" s="24"/>
      <c r="H75" s="24"/>
      <c r="I75" s="24"/>
      <c r="J75" s="24"/>
      <c r="L75" s="24"/>
      <c r="M75" s="24"/>
      <c r="N75" s="24"/>
      <c r="O75" s="24"/>
      <c r="Q75" s="24"/>
      <c r="R75" s="24"/>
      <c r="S75" s="24"/>
      <c r="T75" s="24"/>
      <c r="U75" s="24"/>
      <c r="V75" s="24"/>
      <c r="W75" s="24"/>
      <c r="X75" s="24"/>
      <c r="AL75" s="672"/>
      <c r="AM75" s="672"/>
      <c r="AN75" s="672"/>
      <c r="AO75" s="672"/>
      <c r="AP75" s="672"/>
      <c r="AQ75" s="672"/>
      <c r="AR75" s="672"/>
      <c r="AS75" s="672"/>
      <c r="AT75" s="672"/>
    </row>
    <row r="76" ht="15.75" customHeight="1">
      <c r="G76" s="24"/>
      <c r="H76" s="24"/>
      <c r="I76" s="24"/>
      <c r="J76" s="24"/>
      <c r="L76" s="24"/>
      <c r="M76" s="24"/>
      <c r="N76" s="24"/>
      <c r="O76" s="24"/>
      <c r="P76" s="24"/>
      <c r="Q76" s="24"/>
      <c r="R76" s="24"/>
      <c r="S76" s="24"/>
      <c r="T76" s="24"/>
      <c r="U76" s="24"/>
      <c r="V76" s="24"/>
      <c r="W76" s="24"/>
      <c r="X76" s="24"/>
      <c r="AL76" s="257"/>
      <c r="AM76" s="257"/>
      <c r="AN76" s="257"/>
      <c r="AO76" s="257"/>
      <c r="AP76" s="257"/>
      <c r="AQ76" s="257"/>
      <c r="AR76" s="257"/>
      <c r="AS76" s="257"/>
      <c r="AT76" s="257"/>
    </row>
    <row r="77" ht="15.75" customHeight="1">
      <c r="G77" s="24"/>
      <c r="H77" s="24"/>
      <c r="I77" s="24"/>
      <c r="J77" s="24"/>
      <c r="L77" s="24"/>
      <c r="M77" s="24"/>
      <c r="N77" s="24"/>
      <c r="O77" s="24"/>
      <c r="P77" s="24"/>
      <c r="Q77" s="24"/>
      <c r="R77" s="24"/>
      <c r="S77" s="24"/>
      <c r="T77" s="24"/>
      <c r="U77" s="24"/>
      <c r="V77" s="24"/>
      <c r="W77" s="24"/>
      <c r="X77" s="24"/>
      <c r="AL77" s="257"/>
      <c r="AM77" s="257"/>
      <c r="AN77" s="257"/>
      <c r="AO77" s="257"/>
      <c r="AP77" s="257"/>
      <c r="AQ77" s="257"/>
      <c r="AR77" s="257"/>
      <c r="AS77" s="257"/>
      <c r="AT77" s="257"/>
    </row>
    <row r="78" ht="15.75" customHeight="1">
      <c r="G78" s="24"/>
      <c r="H78" s="24"/>
      <c r="I78" s="24"/>
      <c r="J78" s="24"/>
      <c r="L78" s="24"/>
      <c r="M78" s="24"/>
      <c r="N78" s="24"/>
      <c r="O78" s="24"/>
      <c r="P78" s="24"/>
      <c r="Q78" s="24"/>
      <c r="R78" s="24"/>
      <c r="S78" s="24"/>
      <c r="T78" s="24"/>
      <c r="U78" s="24"/>
      <c r="V78" s="24"/>
      <c r="W78" s="24"/>
      <c r="X78" s="24"/>
    </row>
    <row r="79" ht="15.75" customHeight="1">
      <c r="G79" s="24"/>
      <c r="H79" s="24"/>
      <c r="I79" s="24"/>
      <c r="J79" s="24"/>
      <c r="L79" s="24"/>
      <c r="M79" s="24"/>
      <c r="N79" s="24"/>
      <c r="O79" s="24"/>
      <c r="P79" s="24"/>
      <c r="Q79" s="24"/>
      <c r="R79" s="24"/>
      <c r="S79" s="24"/>
      <c r="T79" s="24"/>
      <c r="U79" s="24"/>
      <c r="V79" s="24"/>
      <c r="W79" s="24"/>
      <c r="X79" s="24"/>
    </row>
    <row r="80" ht="15.75" customHeight="1">
      <c r="G80" s="24"/>
      <c r="H80" s="24"/>
      <c r="I80" s="24"/>
      <c r="J80" s="24"/>
      <c r="L80" s="24"/>
      <c r="M80" s="24"/>
      <c r="N80" s="24"/>
      <c r="O80" s="24"/>
      <c r="P80" s="24"/>
      <c r="Q80" s="24"/>
      <c r="R80" s="24"/>
      <c r="S80" s="24"/>
      <c r="T80" s="24"/>
      <c r="U80" s="24"/>
      <c r="V80" s="24"/>
      <c r="W80" s="24"/>
      <c r="X80" s="24"/>
    </row>
    <row r="81" ht="15.75" customHeight="1">
      <c r="G81" s="24"/>
      <c r="H81" s="24"/>
      <c r="I81" s="24"/>
      <c r="J81" s="24"/>
      <c r="L81" s="24"/>
      <c r="M81" s="24"/>
      <c r="N81" s="24"/>
      <c r="O81" s="24"/>
      <c r="P81" s="24"/>
      <c r="Q81" s="24"/>
      <c r="R81" s="24"/>
      <c r="S81" s="24"/>
      <c r="T81" s="24"/>
      <c r="U81" s="24"/>
      <c r="V81" s="24"/>
      <c r="W81" s="24"/>
      <c r="X81" s="24"/>
    </row>
    <row r="82" ht="15.75" customHeight="1">
      <c r="G82" s="24"/>
      <c r="H82" s="24"/>
      <c r="I82" s="24"/>
      <c r="J82" s="24"/>
      <c r="L82" s="24"/>
      <c r="M82" s="24"/>
      <c r="N82" s="24"/>
      <c r="O82" s="24"/>
      <c r="P82" s="24"/>
      <c r="Q82" s="24"/>
      <c r="R82" s="24"/>
      <c r="S82" s="24"/>
      <c r="T82" s="24"/>
      <c r="U82" s="24"/>
      <c r="V82" s="24"/>
      <c r="W82" s="24"/>
      <c r="X82" s="24"/>
      <c r="AL82" s="48"/>
      <c r="AM82" s="82"/>
      <c r="AN82" s="82"/>
      <c r="AO82" s="82"/>
      <c r="AP82" s="82"/>
      <c r="AQ82" s="82"/>
      <c r="AR82" s="82"/>
      <c r="AS82" s="82"/>
      <c r="AT82" s="82"/>
    </row>
    <row r="83" ht="15.75" customHeight="1">
      <c r="G83" s="24"/>
      <c r="H83" s="24"/>
      <c r="I83" s="24"/>
      <c r="J83" s="24"/>
      <c r="L83" s="24"/>
      <c r="M83" s="24"/>
      <c r="N83" s="24"/>
      <c r="O83" s="24"/>
      <c r="P83" s="24"/>
      <c r="Q83" s="24"/>
      <c r="R83" s="24"/>
      <c r="S83" s="24"/>
      <c r="T83" s="24"/>
      <c r="U83" s="24"/>
      <c r="V83" s="24"/>
      <c r="W83" s="24"/>
      <c r="X83" s="24"/>
      <c r="AL83" s="48"/>
      <c r="AM83" s="82"/>
      <c r="AN83" s="82"/>
      <c r="AO83" s="82"/>
      <c r="AP83" s="82"/>
      <c r="AQ83" s="82"/>
      <c r="AR83" s="82"/>
      <c r="AS83" s="82"/>
      <c r="AT83" s="82"/>
    </row>
    <row r="84" ht="15.75" customHeight="1">
      <c r="G84" s="24"/>
      <c r="H84" s="24"/>
      <c r="I84" s="24"/>
      <c r="J84" s="24"/>
      <c r="L84" s="24"/>
      <c r="M84" s="24"/>
      <c r="N84" s="24"/>
      <c r="O84" s="24"/>
      <c r="P84" s="24"/>
      <c r="Q84" s="24"/>
      <c r="R84" s="24"/>
      <c r="S84" s="24"/>
      <c r="T84" s="24"/>
      <c r="U84" s="24"/>
      <c r="V84" s="24"/>
      <c r="W84" s="24"/>
      <c r="X84" s="24"/>
      <c r="AL84" s="48"/>
      <c r="AM84" s="82"/>
      <c r="AN84" s="82"/>
      <c r="AO84" s="82"/>
      <c r="AP84" s="82"/>
      <c r="AQ84" s="82"/>
      <c r="AR84" s="82"/>
      <c r="AS84" s="82"/>
      <c r="AT84" s="82"/>
    </row>
    <row r="85" ht="15.75" customHeight="1">
      <c r="G85" s="24"/>
      <c r="H85" s="24"/>
      <c r="I85" s="24"/>
      <c r="J85" s="24"/>
      <c r="L85" s="24"/>
      <c r="M85" s="24"/>
      <c r="N85" s="24"/>
      <c r="O85" s="24"/>
      <c r="P85" s="24"/>
      <c r="Q85" s="24"/>
      <c r="R85" s="24"/>
      <c r="S85" s="24"/>
      <c r="T85" s="24"/>
      <c r="U85" s="24"/>
      <c r="V85" s="24"/>
      <c r="W85" s="24"/>
      <c r="X85" s="24"/>
      <c r="AL85" s="48"/>
      <c r="AM85" s="82"/>
      <c r="AN85" s="82"/>
      <c r="AO85" s="82"/>
      <c r="AP85" s="82"/>
      <c r="AQ85" s="82"/>
      <c r="AR85" s="82"/>
      <c r="AS85" s="82"/>
      <c r="AT85" s="82"/>
    </row>
    <row r="86" ht="15.75" customHeight="1">
      <c r="G86" s="24"/>
      <c r="H86" s="24"/>
      <c r="I86" s="24"/>
      <c r="J86" s="24"/>
      <c r="L86" s="24"/>
      <c r="M86" s="24"/>
      <c r="N86" s="24"/>
      <c r="O86" s="24"/>
      <c r="P86" s="24"/>
      <c r="Q86" s="24"/>
      <c r="R86" s="24"/>
      <c r="S86" s="24"/>
      <c r="T86" s="24"/>
      <c r="U86" s="24"/>
      <c r="V86" s="24"/>
      <c r="W86" s="24"/>
      <c r="X86" s="24"/>
      <c r="AL86" s="48"/>
      <c r="AM86" s="82"/>
      <c r="AN86" s="82"/>
      <c r="AO86" s="82"/>
      <c r="AP86" s="82"/>
      <c r="AQ86" s="82"/>
      <c r="AR86" s="82"/>
      <c r="AS86" s="82"/>
      <c r="AT86" s="82"/>
    </row>
    <row r="87" ht="15.75" customHeight="1">
      <c r="G87" s="24"/>
      <c r="H87" s="24"/>
      <c r="I87" s="24"/>
      <c r="J87" s="24"/>
      <c r="L87" s="24"/>
      <c r="M87" s="24"/>
      <c r="N87" s="24"/>
      <c r="O87" s="24"/>
      <c r="P87" s="24"/>
      <c r="Q87" s="24"/>
      <c r="R87" s="24"/>
      <c r="S87" s="24"/>
      <c r="T87" s="24"/>
      <c r="U87" s="24"/>
      <c r="V87" s="24"/>
      <c r="W87" s="24"/>
      <c r="X87" s="24"/>
      <c r="AL87" s="499"/>
      <c r="AM87" s="290"/>
      <c r="AN87" s="290"/>
      <c r="AO87" s="290"/>
      <c r="AP87" s="290"/>
      <c r="AQ87" s="290"/>
      <c r="AR87" s="290"/>
      <c r="AS87" s="290"/>
      <c r="AT87" s="290"/>
    </row>
    <row r="88" ht="15.75" customHeight="1">
      <c r="G88" s="24"/>
      <c r="H88" s="24"/>
      <c r="I88" s="24"/>
      <c r="J88" s="24"/>
      <c r="L88" s="24"/>
      <c r="M88" s="24"/>
      <c r="N88" s="24"/>
      <c r="O88" s="24"/>
      <c r="P88" s="24"/>
      <c r="Q88" s="24"/>
      <c r="R88" s="24"/>
      <c r="S88" s="24"/>
      <c r="T88" s="24"/>
      <c r="U88" s="24"/>
      <c r="V88" s="24"/>
      <c r="W88" s="24"/>
      <c r="X88" s="24"/>
      <c r="AL88" s="48"/>
      <c r="AM88" s="82"/>
      <c r="AN88" s="82"/>
      <c r="AO88" s="82"/>
      <c r="AP88" s="82"/>
      <c r="AQ88" s="82"/>
      <c r="AR88" s="82"/>
      <c r="AS88" s="82"/>
      <c r="AT88" s="82"/>
    </row>
    <row r="89" ht="15.75" customHeight="1">
      <c r="G89" s="24"/>
      <c r="H89" s="24"/>
      <c r="I89" s="24"/>
      <c r="J89" s="24"/>
      <c r="L89" s="24"/>
      <c r="M89" s="24"/>
      <c r="N89" s="24"/>
      <c r="O89" s="24"/>
      <c r="P89" s="24"/>
      <c r="Q89" s="24"/>
      <c r="R89" s="24"/>
      <c r="S89" s="24"/>
      <c r="T89" s="24"/>
      <c r="U89" s="24"/>
      <c r="V89" s="24"/>
      <c r="W89" s="24"/>
      <c r="X89" s="24"/>
      <c r="AL89" s="48"/>
      <c r="AM89" s="82"/>
      <c r="AN89" s="82"/>
      <c r="AO89" s="82"/>
      <c r="AP89" s="82"/>
      <c r="AQ89" s="82"/>
      <c r="AR89" s="82"/>
      <c r="AS89" s="82"/>
      <c r="AT89" s="82"/>
    </row>
    <row r="90" ht="15.75" customHeight="1">
      <c r="G90" s="24"/>
      <c r="H90" s="24"/>
      <c r="I90" s="24"/>
      <c r="J90" s="24"/>
      <c r="L90" s="24"/>
      <c r="M90" s="24"/>
      <c r="N90" s="24"/>
      <c r="O90" s="24"/>
      <c r="P90" s="24"/>
      <c r="Q90" s="24"/>
      <c r="R90" s="24"/>
      <c r="S90" s="24"/>
      <c r="T90" s="24"/>
      <c r="U90" s="24"/>
      <c r="V90" s="24"/>
      <c r="W90" s="24"/>
      <c r="X90" s="24"/>
      <c r="AL90" s="48"/>
      <c r="AM90" s="82"/>
      <c r="AN90" s="82"/>
      <c r="AO90" s="82"/>
      <c r="AP90" s="82"/>
      <c r="AQ90" s="82"/>
      <c r="AR90" s="82"/>
      <c r="AS90" s="82"/>
      <c r="AT90" s="82"/>
    </row>
    <row r="91" ht="15.75" customHeight="1">
      <c r="G91" s="24"/>
      <c r="H91" s="24"/>
      <c r="I91" s="24"/>
      <c r="J91" s="24"/>
      <c r="L91" s="24"/>
      <c r="M91" s="24"/>
      <c r="N91" s="24"/>
      <c r="O91" s="24"/>
      <c r="P91" s="24"/>
      <c r="Q91" s="24"/>
      <c r="R91" s="24"/>
      <c r="S91" s="24"/>
      <c r="T91" s="24"/>
      <c r="U91" s="24"/>
      <c r="V91" s="24"/>
      <c r="W91" s="24"/>
      <c r="X91" s="24"/>
      <c r="AL91" s="48"/>
      <c r="AM91" s="82"/>
      <c r="AN91" s="82"/>
      <c r="AO91" s="82"/>
      <c r="AP91" s="82"/>
      <c r="AQ91" s="82"/>
      <c r="AR91" s="82"/>
      <c r="AS91" s="82"/>
      <c r="AT91" s="82"/>
    </row>
    <row r="92" ht="15.75" customHeight="1">
      <c r="G92" s="24"/>
      <c r="H92" s="24"/>
      <c r="I92" s="24"/>
      <c r="J92" s="24"/>
      <c r="L92" s="24"/>
      <c r="M92" s="24"/>
      <c r="N92" s="24"/>
      <c r="O92" s="24"/>
      <c r="P92" s="24"/>
      <c r="Q92" s="24"/>
      <c r="R92" s="24"/>
      <c r="S92" s="24"/>
      <c r="T92" s="24"/>
      <c r="U92" s="24"/>
      <c r="V92" s="24"/>
      <c r="W92" s="24"/>
      <c r="X92" s="24"/>
      <c r="AL92" s="48"/>
      <c r="AM92" s="82"/>
      <c r="AN92" s="82"/>
      <c r="AO92" s="82"/>
      <c r="AP92" s="82"/>
      <c r="AQ92" s="82"/>
      <c r="AR92" s="82"/>
      <c r="AS92" s="82"/>
      <c r="AT92" s="82"/>
    </row>
    <row r="93" ht="15.75" customHeight="1">
      <c r="G93" s="24"/>
      <c r="H93" s="24"/>
      <c r="I93" s="24"/>
      <c r="J93" s="24"/>
      <c r="L93" s="24"/>
      <c r="M93" s="24"/>
      <c r="N93" s="24"/>
      <c r="O93" s="24"/>
      <c r="P93" s="24"/>
      <c r="Q93" s="24"/>
      <c r="R93" s="24"/>
      <c r="S93" s="24"/>
      <c r="T93" s="24"/>
      <c r="U93" s="24"/>
      <c r="V93" s="24"/>
      <c r="W93" s="24"/>
      <c r="X93" s="24"/>
      <c r="AL93" s="499"/>
      <c r="AM93" s="290"/>
      <c r="AN93" s="290"/>
      <c r="AO93" s="290"/>
      <c r="AP93" s="290"/>
      <c r="AQ93" s="290"/>
      <c r="AR93" s="290"/>
      <c r="AS93" s="290"/>
      <c r="AT93" s="290"/>
    </row>
    <row r="94" ht="15.75" customHeight="1">
      <c r="G94" s="24"/>
      <c r="H94" s="24"/>
      <c r="I94" s="24"/>
      <c r="J94" s="24"/>
      <c r="L94" s="24"/>
      <c r="M94" s="24"/>
      <c r="N94" s="24"/>
      <c r="O94" s="24"/>
      <c r="P94" s="24"/>
      <c r="Q94" s="24"/>
      <c r="R94" s="24"/>
      <c r="S94" s="24"/>
      <c r="T94" s="24"/>
      <c r="U94" s="24"/>
      <c r="V94" s="24"/>
      <c r="W94" s="24"/>
      <c r="X94" s="24"/>
      <c r="AL94" s="499"/>
      <c r="AM94" s="290"/>
      <c r="AN94" s="290"/>
      <c r="AO94" s="290"/>
      <c r="AP94" s="290"/>
      <c r="AQ94" s="290"/>
      <c r="AR94" s="290"/>
      <c r="AS94" s="290"/>
      <c r="AT94" s="290"/>
    </row>
    <row r="95" ht="15.75" customHeight="1">
      <c r="G95" s="24"/>
      <c r="H95" s="24"/>
      <c r="I95" s="24"/>
      <c r="J95" s="24"/>
      <c r="L95" s="24"/>
      <c r="M95" s="24"/>
      <c r="N95" s="24"/>
      <c r="O95" s="24"/>
      <c r="P95" s="24"/>
      <c r="Q95" s="24"/>
      <c r="R95" s="24"/>
      <c r="S95" s="24"/>
      <c r="T95" s="24"/>
      <c r="U95" s="24"/>
      <c r="V95" s="24"/>
      <c r="W95" s="24"/>
      <c r="X95" s="24"/>
      <c r="AL95" s="499"/>
      <c r="AM95" s="290"/>
      <c r="AN95" s="290"/>
      <c r="AO95" s="290"/>
      <c r="AP95" s="290"/>
      <c r="AQ95" s="290"/>
      <c r="AR95" s="290"/>
      <c r="AS95" s="290"/>
      <c r="AT95" s="290"/>
    </row>
    <row r="96" ht="15.75" customHeight="1">
      <c r="G96" s="24"/>
      <c r="H96" s="24"/>
      <c r="I96" s="24"/>
      <c r="J96" s="24"/>
      <c r="L96" s="24"/>
      <c r="M96" s="24"/>
      <c r="N96" s="24"/>
      <c r="O96" s="24"/>
      <c r="P96" s="24"/>
      <c r="Q96" s="24"/>
      <c r="R96" s="24"/>
      <c r="S96" s="24"/>
      <c r="T96" s="24"/>
      <c r="U96" s="24"/>
      <c r="V96" s="24"/>
      <c r="W96" s="24"/>
      <c r="X96" s="24"/>
      <c r="AL96" s="499"/>
      <c r="AM96" s="290"/>
      <c r="AN96" s="290"/>
      <c r="AO96" s="290"/>
      <c r="AP96" s="290"/>
      <c r="AQ96" s="290"/>
      <c r="AR96" s="290"/>
      <c r="AS96" s="290"/>
      <c r="AT96" s="290"/>
    </row>
    <row r="97" ht="15.75" customHeight="1">
      <c r="G97" s="24"/>
      <c r="H97" s="24"/>
      <c r="I97" s="24"/>
      <c r="J97" s="24"/>
      <c r="L97" s="24"/>
      <c r="M97" s="24"/>
      <c r="N97" s="24"/>
      <c r="O97" s="24"/>
      <c r="P97" s="24"/>
      <c r="Q97" s="24"/>
      <c r="R97" s="24"/>
      <c r="S97" s="24"/>
      <c r="T97" s="24"/>
      <c r="U97" s="24"/>
      <c r="V97" s="24"/>
      <c r="W97" s="24"/>
      <c r="X97" s="24"/>
      <c r="AL97" s="499"/>
      <c r="AM97" s="290"/>
      <c r="AN97" s="290"/>
      <c r="AO97" s="290"/>
      <c r="AP97" s="290"/>
      <c r="AQ97" s="290"/>
      <c r="AR97" s="290"/>
      <c r="AS97" s="290"/>
      <c r="AT97" s="290"/>
    </row>
    <row r="98" ht="15.75" customHeight="1">
      <c r="G98" s="24"/>
      <c r="H98" s="24"/>
      <c r="I98" s="24"/>
      <c r="J98" s="24"/>
      <c r="L98" s="24"/>
      <c r="M98" s="24"/>
      <c r="N98" s="24"/>
      <c r="O98" s="24"/>
      <c r="P98" s="24"/>
      <c r="Q98" s="24"/>
      <c r="R98" s="24"/>
      <c r="S98" s="24"/>
      <c r="T98" s="24"/>
      <c r="U98" s="24"/>
      <c r="V98" s="24"/>
      <c r="W98" s="24"/>
      <c r="X98" s="24"/>
      <c r="AL98" s="499"/>
      <c r="AM98" s="290"/>
      <c r="AN98" s="290"/>
      <c r="AO98" s="290"/>
      <c r="AP98" s="290"/>
      <c r="AQ98" s="290"/>
      <c r="AR98" s="290"/>
      <c r="AS98" s="290"/>
      <c r="AT98" s="290"/>
    </row>
    <row r="99" ht="15.75" customHeight="1">
      <c r="G99" s="24"/>
      <c r="H99" s="24"/>
      <c r="I99" s="24"/>
      <c r="J99" s="24"/>
      <c r="L99" s="24"/>
      <c r="M99" s="24"/>
      <c r="N99" s="24"/>
      <c r="O99" s="24"/>
      <c r="P99" s="24"/>
      <c r="Q99" s="24"/>
      <c r="R99" s="24"/>
      <c r="S99" s="24"/>
      <c r="T99" s="24"/>
      <c r="U99" s="24"/>
      <c r="V99" s="24"/>
      <c r="W99" s="24"/>
      <c r="X99" s="24"/>
      <c r="AL99" s="499"/>
      <c r="AM99" s="290"/>
      <c r="AN99" s="290"/>
      <c r="AO99" s="290"/>
      <c r="AP99" s="290"/>
      <c r="AQ99" s="290"/>
      <c r="AR99" s="290"/>
      <c r="AS99" s="290"/>
      <c r="AT99" s="290"/>
    </row>
    <row r="100" ht="15.75" customHeight="1">
      <c r="G100" s="24"/>
      <c r="H100" s="24"/>
      <c r="I100" s="24"/>
      <c r="J100" s="24"/>
      <c r="L100" s="24"/>
      <c r="M100" s="24"/>
      <c r="N100" s="24"/>
      <c r="O100" s="24"/>
      <c r="P100" s="24"/>
      <c r="Q100" s="24"/>
      <c r="R100" s="24"/>
      <c r="S100" s="24"/>
      <c r="T100" s="24"/>
      <c r="U100" s="24"/>
      <c r="V100" s="24"/>
      <c r="W100" s="24"/>
      <c r="X100" s="24"/>
      <c r="AL100" s="499"/>
      <c r="AM100" s="290"/>
      <c r="AN100" s="290"/>
      <c r="AO100" s="290"/>
      <c r="AP100" s="290"/>
      <c r="AQ100" s="290"/>
      <c r="AR100" s="290"/>
      <c r="AS100" s="290"/>
      <c r="AT100" s="290"/>
    </row>
    <row r="101" ht="15.75" customHeight="1">
      <c r="G101" s="24"/>
      <c r="H101" s="24"/>
      <c r="I101" s="24"/>
      <c r="J101" s="24"/>
      <c r="L101" s="24"/>
      <c r="M101" s="24"/>
      <c r="N101" s="24"/>
      <c r="O101" s="24"/>
      <c r="P101" s="24"/>
      <c r="Q101" s="24"/>
      <c r="R101" s="24"/>
      <c r="S101" s="24"/>
      <c r="T101" s="24"/>
      <c r="U101" s="24"/>
      <c r="V101" s="24"/>
      <c r="W101" s="24"/>
      <c r="X101" s="24"/>
    </row>
    <row r="102" ht="15.75" customHeight="1">
      <c r="G102" s="24"/>
      <c r="H102" s="24"/>
      <c r="I102" s="24"/>
      <c r="J102" s="24"/>
      <c r="L102" s="24"/>
      <c r="M102" s="24"/>
      <c r="N102" s="24"/>
      <c r="O102" s="24"/>
      <c r="P102" s="24"/>
      <c r="Q102" s="24"/>
      <c r="R102" s="24"/>
      <c r="S102" s="24"/>
      <c r="T102" s="24"/>
      <c r="U102" s="24"/>
      <c r="V102" s="24"/>
      <c r="W102" s="24"/>
      <c r="X102" s="24"/>
    </row>
    <row r="103" ht="15.75" customHeight="1">
      <c r="G103" s="24"/>
      <c r="H103" s="24"/>
      <c r="I103" s="24"/>
      <c r="J103" s="24"/>
      <c r="L103" s="24"/>
      <c r="M103" s="24"/>
      <c r="N103" s="24"/>
      <c r="O103" s="24"/>
      <c r="P103" s="24"/>
      <c r="Q103" s="24"/>
      <c r="R103" s="24"/>
      <c r="S103" s="24"/>
      <c r="T103" s="24"/>
      <c r="U103" s="24"/>
      <c r="V103" s="24"/>
      <c r="W103" s="24"/>
      <c r="X103" s="24"/>
    </row>
    <row r="104" ht="15.75" customHeight="1">
      <c r="G104" s="24"/>
      <c r="H104" s="24"/>
      <c r="I104" s="24"/>
      <c r="J104" s="24"/>
      <c r="L104" s="24"/>
      <c r="M104" s="24"/>
      <c r="N104" s="24"/>
      <c r="O104" s="24"/>
      <c r="P104" s="24"/>
      <c r="Q104" s="24"/>
      <c r="R104" s="24"/>
      <c r="S104" s="24"/>
      <c r="T104" s="24"/>
      <c r="U104" s="24"/>
      <c r="V104" s="24"/>
      <c r="W104" s="24"/>
      <c r="X104" s="24"/>
    </row>
    <row r="105" ht="15.75" customHeight="1">
      <c r="G105" s="24"/>
      <c r="H105" s="24"/>
      <c r="I105" s="24"/>
      <c r="J105" s="24"/>
      <c r="L105" s="24"/>
      <c r="M105" s="24"/>
      <c r="N105" s="24"/>
      <c r="O105" s="24"/>
      <c r="P105" s="24"/>
      <c r="Q105" s="24"/>
      <c r="R105" s="24"/>
      <c r="S105" s="24"/>
      <c r="T105" s="24"/>
      <c r="U105" s="24"/>
      <c r="V105" s="24"/>
      <c r="W105" s="24"/>
      <c r="X105" s="24"/>
    </row>
    <row r="106" ht="15.75" customHeight="1">
      <c r="G106" s="24"/>
      <c r="H106" s="24"/>
      <c r="I106" s="24"/>
      <c r="J106" s="24"/>
      <c r="L106" s="24"/>
      <c r="M106" s="24"/>
      <c r="N106" s="24"/>
      <c r="O106" s="24"/>
      <c r="P106" s="24"/>
      <c r="Q106" s="24"/>
      <c r="R106" s="24"/>
      <c r="S106" s="24"/>
      <c r="T106" s="24"/>
      <c r="U106" s="24"/>
      <c r="V106" s="24"/>
      <c r="W106" s="24"/>
      <c r="X106" s="24"/>
    </row>
    <row r="107" ht="15.75" customHeight="1">
      <c r="G107" s="24"/>
      <c r="H107" s="24"/>
      <c r="I107" s="24"/>
      <c r="J107" s="24"/>
      <c r="L107" s="24"/>
      <c r="M107" s="24"/>
      <c r="N107" s="24"/>
      <c r="O107" s="24"/>
      <c r="P107" s="24"/>
      <c r="Q107" s="24"/>
      <c r="R107" s="24"/>
      <c r="S107" s="24"/>
      <c r="T107" s="24"/>
      <c r="U107" s="24"/>
      <c r="V107" s="24"/>
      <c r="W107" s="24"/>
      <c r="X107" s="24"/>
    </row>
    <row r="108" ht="15.75" customHeight="1">
      <c r="G108" s="24"/>
      <c r="H108" s="24"/>
      <c r="I108" s="24"/>
      <c r="J108" s="24"/>
      <c r="L108" s="24"/>
      <c r="M108" s="24"/>
      <c r="N108" s="24"/>
      <c r="O108" s="24"/>
      <c r="P108" s="24"/>
      <c r="Q108" s="24"/>
      <c r="R108" s="24"/>
      <c r="S108" s="24"/>
      <c r="T108" s="24"/>
      <c r="U108" s="24"/>
      <c r="V108" s="24"/>
      <c r="W108" s="24"/>
      <c r="X108" s="24"/>
    </row>
    <row r="109" ht="15.75" customHeight="1">
      <c r="G109" s="24"/>
      <c r="H109" s="24"/>
      <c r="I109" s="24"/>
      <c r="J109" s="24"/>
      <c r="L109" s="24"/>
      <c r="M109" s="24"/>
      <c r="N109" s="24"/>
      <c r="O109" s="24"/>
      <c r="P109" s="24"/>
      <c r="Q109" s="24"/>
      <c r="R109" s="24"/>
      <c r="S109" s="24"/>
      <c r="T109" s="24"/>
      <c r="U109" s="24"/>
      <c r="V109" s="24"/>
      <c r="W109" s="24"/>
      <c r="X109" s="24"/>
    </row>
    <row r="110" ht="15.75" customHeight="1">
      <c r="G110" s="24"/>
      <c r="H110" s="24"/>
      <c r="I110" s="24"/>
      <c r="J110" s="24"/>
      <c r="L110" s="24"/>
      <c r="M110" s="24"/>
      <c r="N110" s="24"/>
      <c r="O110" s="24"/>
      <c r="P110" s="24"/>
      <c r="Q110" s="24"/>
      <c r="R110" s="24"/>
      <c r="S110" s="24"/>
      <c r="T110" s="24"/>
      <c r="U110" s="24"/>
      <c r="V110" s="24"/>
      <c r="W110" s="24"/>
      <c r="X110" s="24"/>
    </row>
    <row r="111" ht="15.75" customHeight="1">
      <c r="G111" s="24"/>
      <c r="H111" s="24"/>
      <c r="I111" s="24"/>
      <c r="J111" s="24"/>
      <c r="L111" s="24"/>
      <c r="M111" s="24"/>
      <c r="N111" s="24"/>
      <c r="O111" s="24"/>
      <c r="P111" s="24"/>
      <c r="Q111" s="24"/>
      <c r="R111" s="24"/>
      <c r="S111" s="24"/>
      <c r="T111" s="24"/>
      <c r="U111" s="24"/>
      <c r="V111" s="24"/>
      <c r="W111" s="24"/>
      <c r="X111" s="24"/>
    </row>
    <row r="112" ht="15.75" customHeight="1">
      <c r="G112" s="24"/>
      <c r="H112" s="24"/>
      <c r="I112" s="24"/>
      <c r="J112" s="24"/>
      <c r="L112" s="24"/>
      <c r="M112" s="24"/>
      <c r="N112" s="24"/>
      <c r="O112" s="24"/>
      <c r="P112" s="24"/>
      <c r="Q112" s="24"/>
      <c r="R112" s="24"/>
      <c r="S112" s="24"/>
      <c r="T112" s="24"/>
      <c r="U112" s="24"/>
      <c r="V112" s="24"/>
      <c r="W112" s="24"/>
      <c r="X112" s="24"/>
    </row>
    <row r="113" ht="15.75" customHeight="1">
      <c r="G113" s="24"/>
      <c r="H113" s="24"/>
      <c r="I113" s="24"/>
      <c r="J113" s="24"/>
      <c r="L113" s="24"/>
      <c r="M113" s="24"/>
      <c r="N113" s="24"/>
      <c r="O113" s="24"/>
      <c r="P113" s="24"/>
      <c r="Q113" s="24"/>
      <c r="R113" s="24"/>
      <c r="S113" s="24"/>
      <c r="T113" s="24"/>
      <c r="U113" s="24"/>
      <c r="V113" s="24"/>
      <c r="W113" s="24"/>
      <c r="X113" s="24"/>
    </row>
    <row r="114" ht="15.75" customHeight="1">
      <c r="G114" s="24"/>
      <c r="H114" s="24"/>
      <c r="I114" s="24"/>
      <c r="J114" s="24"/>
      <c r="L114" s="24"/>
      <c r="M114" s="24"/>
      <c r="N114" s="24"/>
      <c r="O114" s="24"/>
      <c r="P114" s="24"/>
      <c r="Q114" s="24"/>
      <c r="R114" s="24"/>
      <c r="S114" s="24"/>
      <c r="T114" s="24"/>
      <c r="U114" s="24"/>
      <c r="V114" s="24"/>
      <c r="W114" s="24"/>
      <c r="X114" s="24"/>
    </row>
    <row r="115" ht="15.75" customHeight="1">
      <c r="G115" s="24"/>
      <c r="H115" s="24"/>
      <c r="I115" s="24"/>
      <c r="J115" s="24"/>
      <c r="L115" s="24"/>
      <c r="M115" s="24"/>
      <c r="N115" s="24"/>
      <c r="O115" s="24"/>
      <c r="P115" s="24"/>
      <c r="Q115" s="24"/>
      <c r="R115" s="24"/>
      <c r="S115" s="24"/>
      <c r="T115" s="24"/>
      <c r="U115" s="24"/>
      <c r="V115" s="24"/>
      <c r="W115" s="24"/>
      <c r="X115" s="24"/>
    </row>
    <row r="116" ht="15.75" customHeight="1">
      <c r="G116" s="24"/>
      <c r="H116" s="24"/>
      <c r="I116" s="24"/>
      <c r="J116" s="24"/>
      <c r="L116" s="24"/>
      <c r="M116" s="24"/>
      <c r="N116" s="24"/>
      <c r="O116" s="24"/>
      <c r="P116" s="24"/>
      <c r="Q116" s="24"/>
      <c r="R116" s="24"/>
      <c r="S116" s="24"/>
      <c r="T116" s="24"/>
      <c r="U116" s="24"/>
      <c r="V116" s="24"/>
      <c r="W116" s="24"/>
      <c r="X116" s="24"/>
    </row>
    <row r="117" ht="15.75" customHeight="1">
      <c r="G117" s="24"/>
      <c r="H117" s="24"/>
      <c r="I117" s="24"/>
      <c r="J117" s="24"/>
      <c r="L117" s="24"/>
      <c r="M117" s="24"/>
      <c r="N117" s="24"/>
      <c r="O117" s="24"/>
      <c r="P117" s="24"/>
      <c r="Q117" s="24"/>
      <c r="R117" s="24"/>
      <c r="S117" s="24"/>
      <c r="T117" s="24"/>
      <c r="U117" s="24"/>
      <c r="V117" s="24"/>
      <c r="W117" s="24"/>
      <c r="X117" s="24"/>
    </row>
    <row r="118" ht="15.75" customHeight="1">
      <c r="G118" s="24"/>
      <c r="H118" s="24"/>
      <c r="I118" s="24"/>
      <c r="J118" s="24"/>
      <c r="L118" s="24"/>
      <c r="M118" s="24"/>
      <c r="N118" s="24"/>
      <c r="O118" s="24"/>
      <c r="P118" s="24"/>
      <c r="Q118" s="24"/>
      <c r="R118" s="24"/>
      <c r="S118" s="24"/>
      <c r="T118" s="24"/>
      <c r="U118" s="24"/>
      <c r="V118" s="24"/>
      <c r="W118" s="24"/>
      <c r="X118" s="24"/>
    </row>
    <row r="119" ht="15.75" customHeight="1">
      <c r="G119" s="24"/>
      <c r="H119" s="24"/>
      <c r="I119" s="24"/>
      <c r="J119" s="24"/>
      <c r="L119" s="24"/>
      <c r="M119" s="24"/>
      <c r="N119" s="24"/>
      <c r="O119" s="24"/>
      <c r="P119" s="24"/>
      <c r="Q119" s="24"/>
      <c r="R119" s="24"/>
      <c r="S119" s="24"/>
      <c r="T119" s="24"/>
      <c r="U119" s="24"/>
      <c r="V119" s="24"/>
      <c r="W119" s="24"/>
      <c r="X119" s="24"/>
    </row>
    <row r="120" ht="15.75" customHeight="1">
      <c r="G120" s="24"/>
      <c r="H120" s="24"/>
      <c r="I120" s="24"/>
      <c r="J120" s="24"/>
      <c r="L120" s="24"/>
      <c r="M120" s="24"/>
      <c r="N120" s="24"/>
      <c r="O120" s="24"/>
      <c r="P120" s="24"/>
      <c r="Q120" s="24"/>
      <c r="R120" s="24"/>
      <c r="S120" s="24"/>
      <c r="T120" s="24"/>
      <c r="U120" s="24"/>
      <c r="V120" s="24"/>
      <c r="W120" s="24"/>
      <c r="X120" s="24"/>
    </row>
    <row r="121" ht="15.75" customHeight="1">
      <c r="G121" s="24"/>
      <c r="H121" s="24"/>
      <c r="I121" s="24"/>
      <c r="J121" s="24"/>
      <c r="L121" s="24"/>
      <c r="M121" s="24"/>
      <c r="N121" s="24"/>
      <c r="O121" s="24"/>
      <c r="P121" s="24"/>
      <c r="Q121" s="24"/>
      <c r="R121" s="24"/>
      <c r="S121" s="24"/>
      <c r="T121" s="24"/>
      <c r="U121" s="24"/>
      <c r="V121" s="24"/>
      <c r="W121" s="24"/>
      <c r="X121" s="24"/>
    </row>
    <row r="122" ht="15.75" customHeight="1">
      <c r="G122" s="24"/>
      <c r="H122" s="24"/>
      <c r="I122" s="24"/>
      <c r="J122" s="24"/>
      <c r="L122" s="24"/>
      <c r="M122" s="24"/>
      <c r="N122" s="24"/>
      <c r="O122" s="24"/>
      <c r="P122" s="24"/>
      <c r="Q122" s="24"/>
      <c r="R122" s="24"/>
      <c r="S122" s="24"/>
      <c r="T122" s="24"/>
      <c r="U122" s="24"/>
      <c r="V122" s="24"/>
      <c r="W122" s="24"/>
      <c r="X122" s="24"/>
    </row>
    <row r="123" ht="15.75" customHeight="1">
      <c r="G123" s="24"/>
      <c r="H123" s="24"/>
      <c r="I123" s="24"/>
      <c r="J123" s="24"/>
      <c r="L123" s="24"/>
      <c r="M123" s="24"/>
      <c r="N123" s="24"/>
      <c r="O123" s="24"/>
      <c r="P123" s="24"/>
      <c r="Q123" s="24"/>
      <c r="R123" s="24"/>
      <c r="S123" s="24"/>
      <c r="T123" s="24"/>
      <c r="U123" s="24"/>
      <c r="V123" s="24"/>
      <c r="W123" s="24"/>
      <c r="X123" s="24"/>
    </row>
    <row r="124" ht="15.75" customHeight="1">
      <c r="G124" s="24"/>
      <c r="H124" s="24"/>
      <c r="I124" s="24"/>
      <c r="J124" s="24"/>
      <c r="L124" s="24"/>
      <c r="M124" s="24"/>
      <c r="N124" s="24"/>
      <c r="O124" s="24"/>
      <c r="P124" s="24"/>
      <c r="Q124" s="24"/>
      <c r="R124" s="24"/>
      <c r="S124" s="24"/>
      <c r="T124" s="24"/>
      <c r="U124" s="24"/>
      <c r="V124" s="24"/>
      <c r="W124" s="24"/>
      <c r="X124" s="24"/>
    </row>
    <row r="125" ht="15.75" customHeight="1">
      <c r="G125" s="24"/>
      <c r="H125" s="24"/>
      <c r="I125" s="24"/>
      <c r="J125" s="24"/>
      <c r="L125" s="24"/>
      <c r="M125" s="24"/>
      <c r="N125" s="24"/>
      <c r="O125" s="24"/>
      <c r="P125" s="24"/>
      <c r="Q125" s="24"/>
      <c r="R125" s="24"/>
      <c r="S125" s="24"/>
      <c r="T125" s="24"/>
      <c r="U125" s="24"/>
      <c r="V125" s="24"/>
      <c r="W125" s="24"/>
      <c r="X125" s="24"/>
    </row>
    <row r="126" ht="15.75" customHeight="1">
      <c r="G126" s="24"/>
      <c r="H126" s="24"/>
      <c r="I126" s="24"/>
      <c r="J126" s="24"/>
      <c r="L126" s="24"/>
      <c r="M126" s="24"/>
      <c r="N126" s="24"/>
      <c r="O126" s="24"/>
      <c r="P126" s="24"/>
      <c r="Q126" s="24"/>
      <c r="R126" s="24"/>
      <c r="S126" s="24"/>
      <c r="T126" s="24"/>
      <c r="U126" s="24"/>
      <c r="V126" s="24"/>
      <c r="W126" s="24"/>
      <c r="X126" s="24"/>
    </row>
    <row r="127" ht="15.75" customHeight="1">
      <c r="G127" s="24"/>
      <c r="H127" s="24"/>
      <c r="I127" s="24"/>
      <c r="J127" s="24"/>
      <c r="L127" s="24"/>
      <c r="M127" s="24"/>
      <c r="N127" s="24"/>
      <c r="O127" s="24"/>
      <c r="P127" s="24"/>
      <c r="Q127" s="24"/>
      <c r="R127" s="24"/>
      <c r="S127" s="24"/>
      <c r="T127" s="24"/>
      <c r="U127" s="24"/>
      <c r="V127" s="24"/>
      <c r="W127" s="24"/>
      <c r="X127" s="24"/>
    </row>
    <row r="128" ht="15.75" customHeight="1">
      <c r="G128" s="24"/>
      <c r="H128" s="24"/>
      <c r="I128" s="24"/>
      <c r="J128" s="24"/>
      <c r="L128" s="24"/>
      <c r="M128" s="24"/>
      <c r="N128" s="24"/>
      <c r="O128" s="24"/>
      <c r="P128" s="24"/>
      <c r="Q128" s="24"/>
      <c r="R128" s="24"/>
      <c r="S128" s="24"/>
      <c r="T128" s="24"/>
      <c r="U128" s="24"/>
      <c r="V128" s="24"/>
      <c r="W128" s="24"/>
      <c r="X128" s="24"/>
    </row>
    <row r="129" ht="15.75" customHeight="1">
      <c r="G129" s="24"/>
      <c r="H129" s="24"/>
      <c r="I129" s="24"/>
      <c r="J129" s="24"/>
      <c r="L129" s="24"/>
      <c r="M129" s="24"/>
      <c r="N129" s="24"/>
      <c r="O129" s="24"/>
      <c r="P129" s="24"/>
      <c r="Q129" s="24"/>
      <c r="R129" s="24"/>
      <c r="S129" s="24"/>
      <c r="T129" s="24"/>
      <c r="U129" s="24"/>
      <c r="V129" s="24"/>
      <c r="W129" s="24"/>
      <c r="X129" s="24"/>
    </row>
    <row r="130" ht="15.75" customHeight="1">
      <c r="G130" s="24"/>
      <c r="H130" s="24"/>
      <c r="I130" s="24"/>
      <c r="J130" s="24"/>
      <c r="L130" s="24"/>
      <c r="M130" s="24"/>
      <c r="N130" s="24"/>
      <c r="O130" s="24"/>
      <c r="P130" s="24"/>
      <c r="Q130" s="24"/>
      <c r="R130" s="24"/>
      <c r="S130" s="24"/>
      <c r="T130" s="24"/>
      <c r="U130" s="24"/>
      <c r="V130" s="24"/>
      <c r="W130" s="24"/>
      <c r="X130" s="24"/>
    </row>
    <row r="131" ht="15.75" customHeight="1">
      <c r="G131" s="24"/>
      <c r="H131" s="24"/>
      <c r="I131" s="24"/>
      <c r="J131" s="24"/>
      <c r="L131" s="24"/>
      <c r="M131" s="24"/>
      <c r="N131" s="24"/>
      <c r="O131" s="24"/>
      <c r="P131" s="24"/>
      <c r="Q131" s="24"/>
      <c r="R131" s="24"/>
      <c r="S131" s="24"/>
      <c r="T131" s="24"/>
      <c r="U131" s="24"/>
      <c r="V131" s="24"/>
      <c r="W131" s="24"/>
      <c r="X131" s="24"/>
    </row>
    <row r="132" ht="15.75" customHeight="1">
      <c r="G132" s="24"/>
      <c r="H132" s="24"/>
      <c r="I132" s="24"/>
      <c r="J132" s="24"/>
      <c r="L132" s="24"/>
      <c r="M132" s="24"/>
      <c r="N132" s="24"/>
      <c r="O132" s="24"/>
      <c r="P132" s="24"/>
      <c r="Q132" s="24"/>
      <c r="R132" s="24"/>
      <c r="S132" s="24"/>
      <c r="T132" s="24"/>
      <c r="U132" s="24"/>
      <c r="V132" s="24"/>
      <c r="W132" s="24"/>
      <c r="X132" s="24"/>
    </row>
    <row r="133" ht="15.75" customHeight="1">
      <c r="G133" s="24"/>
      <c r="H133" s="24"/>
      <c r="I133" s="24"/>
      <c r="J133" s="24"/>
      <c r="L133" s="24"/>
      <c r="M133" s="24"/>
      <c r="N133" s="24"/>
      <c r="O133" s="24"/>
      <c r="P133" s="24"/>
      <c r="Q133" s="24"/>
      <c r="R133" s="24"/>
      <c r="S133" s="24"/>
      <c r="T133" s="24"/>
      <c r="U133" s="24"/>
      <c r="V133" s="24"/>
      <c r="W133" s="24"/>
      <c r="X133" s="24"/>
    </row>
    <row r="134" ht="15.75" customHeight="1">
      <c r="G134" s="24"/>
      <c r="H134" s="24"/>
      <c r="I134" s="24"/>
      <c r="J134" s="24"/>
      <c r="L134" s="24"/>
      <c r="M134" s="24"/>
      <c r="N134" s="24"/>
      <c r="O134" s="24"/>
      <c r="P134" s="24"/>
      <c r="Q134" s="24"/>
      <c r="R134" s="24"/>
      <c r="S134" s="24"/>
      <c r="T134" s="24"/>
      <c r="U134" s="24"/>
      <c r="V134" s="24"/>
      <c r="W134" s="24"/>
      <c r="X134" s="24"/>
    </row>
    <row r="135" ht="15.75" customHeight="1">
      <c r="G135" s="24"/>
      <c r="H135" s="24"/>
      <c r="I135" s="24"/>
      <c r="J135" s="24"/>
      <c r="L135" s="24"/>
      <c r="M135" s="24"/>
      <c r="N135" s="24"/>
      <c r="O135" s="24"/>
      <c r="P135" s="24"/>
      <c r="Q135" s="24"/>
      <c r="R135" s="24"/>
      <c r="S135" s="24"/>
      <c r="T135" s="24"/>
      <c r="U135" s="24"/>
      <c r="V135" s="24"/>
      <c r="W135" s="24"/>
      <c r="X135" s="24"/>
    </row>
    <row r="136" ht="15.75" customHeight="1">
      <c r="G136" s="24"/>
      <c r="H136" s="24"/>
      <c r="I136" s="24"/>
      <c r="J136" s="24"/>
      <c r="L136" s="24"/>
      <c r="M136" s="24"/>
      <c r="N136" s="24"/>
      <c r="O136" s="24"/>
      <c r="P136" s="24"/>
      <c r="Q136" s="24"/>
      <c r="R136" s="24"/>
      <c r="S136" s="24"/>
      <c r="T136" s="24"/>
      <c r="U136" s="24"/>
      <c r="V136" s="24"/>
      <c r="W136" s="24"/>
      <c r="X136" s="24"/>
    </row>
    <row r="137" ht="15.75" customHeight="1">
      <c r="G137" s="24"/>
      <c r="H137" s="24"/>
      <c r="I137" s="24"/>
      <c r="J137" s="24"/>
      <c r="L137" s="24"/>
      <c r="M137" s="24"/>
      <c r="N137" s="24"/>
      <c r="O137" s="24"/>
      <c r="P137" s="24"/>
      <c r="Q137" s="24"/>
      <c r="R137" s="24"/>
      <c r="S137" s="24"/>
      <c r="T137" s="24"/>
      <c r="U137" s="24"/>
      <c r="V137" s="24"/>
      <c r="W137" s="24"/>
      <c r="X137" s="24"/>
    </row>
    <row r="138" ht="15.75" customHeight="1">
      <c r="G138" s="24"/>
      <c r="H138" s="24"/>
      <c r="I138" s="24"/>
      <c r="J138" s="24"/>
      <c r="L138" s="24"/>
      <c r="M138" s="24"/>
      <c r="N138" s="24"/>
      <c r="O138" s="24"/>
      <c r="P138" s="24"/>
      <c r="Q138" s="24"/>
      <c r="R138" s="24"/>
      <c r="S138" s="24"/>
      <c r="T138" s="24"/>
      <c r="U138" s="24"/>
      <c r="V138" s="24"/>
      <c r="W138" s="24"/>
      <c r="X138" s="24"/>
    </row>
    <row r="139" ht="15.75" customHeight="1">
      <c r="G139" s="24"/>
      <c r="H139" s="24"/>
      <c r="I139" s="24"/>
      <c r="J139" s="24"/>
      <c r="L139" s="24"/>
      <c r="M139" s="24"/>
      <c r="N139" s="24"/>
      <c r="O139" s="24"/>
      <c r="P139" s="24"/>
      <c r="Q139" s="24"/>
      <c r="R139" s="24"/>
      <c r="S139" s="24"/>
      <c r="T139" s="24"/>
      <c r="U139" s="24"/>
      <c r="V139" s="24"/>
      <c r="W139" s="24"/>
      <c r="X139" s="24"/>
    </row>
    <row r="140" ht="15.75" customHeight="1">
      <c r="G140" s="24"/>
      <c r="H140" s="24"/>
      <c r="I140" s="24"/>
      <c r="J140" s="24"/>
      <c r="L140" s="24"/>
      <c r="M140" s="24"/>
      <c r="N140" s="24"/>
      <c r="O140" s="24"/>
      <c r="P140" s="24"/>
      <c r="Q140" s="24"/>
      <c r="R140" s="24"/>
      <c r="S140" s="24"/>
      <c r="T140" s="24"/>
      <c r="U140" s="24"/>
      <c r="V140" s="24"/>
      <c r="W140" s="24"/>
      <c r="X140" s="24"/>
    </row>
    <row r="141" ht="15.75" customHeight="1">
      <c r="G141" s="24"/>
      <c r="H141" s="24"/>
      <c r="I141" s="24"/>
      <c r="J141" s="24"/>
      <c r="L141" s="24"/>
      <c r="M141" s="24"/>
      <c r="N141" s="24"/>
      <c r="O141" s="24"/>
      <c r="P141" s="24"/>
      <c r="Q141" s="24"/>
      <c r="R141" s="24"/>
      <c r="S141" s="24"/>
      <c r="T141" s="24"/>
      <c r="U141" s="24"/>
      <c r="V141" s="24"/>
      <c r="W141" s="24"/>
      <c r="X141" s="24"/>
    </row>
    <row r="142" ht="15.75" customHeight="1">
      <c r="G142" s="24"/>
      <c r="H142" s="24"/>
      <c r="I142" s="24"/>
      <c r="J142" s="24"/>
      <c r="L142" s="24"/>
      <c r="M142" s="24"/>
      <c r="N142" s="24"/>
      <c r="O142" s="24"/>
      <c r="P142" s="24"/>
      <c r="Q142" s="24"/>
      <c r="R142" s="24"/>
      <c r="S142" s="24"/>
      <c r="T142" s="24"/>
      <c r="U142" s="24"/>
      <c r="V142" s="24"/>
      <c r="W142" s="24"/>
      <c r="X142" s="24"/>
    </row>
    <row r="143" ht="15.75" customHeight="1">
      <c r="G143" s="24"/>
      <c r="H143" s="24"/>
      <c r="I143" s="24"/>
      <c r="J143" s="24"/>
      <c r="L143" s="24"/>
      <c r="M143" s="24"/>
      <c r="N143" s="24"/>
      <c r="O143" s="24"/>
      <c r="P143" s="24"/>
      <c r="Q143" s="24"/>
      <c r="R143" s="24"/>
      <c r="S143" s="24"/>
      <c r="T143" s="24"/>
      <c r="U143" s="24"/>
      <c r="V143" s="24"/>
      <c r="W143" s="24"/>
      <c r="X143" s="24"/>
    </row>
    <row r="144" ht="15.75" customHeight="1">
      <c r="G144" s="24"/>
      <c r="H144" s="24"/>
      <c r="I144" s="24"/>
      <c r="J144" s="24"/>
      <c r="L144" s="24"/>
      <c r="M144" s="24"/>
      <c r="N144" s="24"/>
      <c r="O144" s="24"/>
      <c r="P144" s="24"/>
      <c r="Q144" s="24"/>
      <c r="R144" s="24"/>
      <c r="S144" s="24"/>
      <c r="T144" s="24"/>
      <c r="U144" s="24"/>
      <c r="V144" s="24"/>
      <c r="W144" s="24"/>
      <c r="X144" s="24"/>
    </row>
    <row r="145" ht="15.75" customHeight="1">
      <c r="G145" s="24"/>
      <c r="H145" s="24"/>
      <c r="I145" s="24"/>
      <c r="J145" s="24"/>
      <c r="L145" s="24"/>
      <c r="M145" s="24"/>
      <c r="N145" s="24"/>
      <c r="O145" s="24"/>
      <c r="P145" s="24"/>
      <c r="Q145" s="24"/>
      <c r="R145" s="24"/>
      <c r="S145" s="24"/>
      <c r="T145" s="24"/>
      <c r="U145" s="24"/>
      <c r="V145" s="24"/>
      <c r="W145" s="24"/>
      <c r="X145" s="24"/>
    </row>
    <row r="146" ht="15.75" customHeight="1">
      <c r="G146" s="24"/>
      <c r="H146" s="24"/>
      <c r="I146" s="24"/>
      <c r="J146" s="24"/>
      <c r="L146" s="24"/>
      <c r="M146" s="24"/>
      <c r="N146" s="24"/>
      <c r="O146" s="24"/>
      <c r="P146" s="24"/>
      <c r="Q146" s="24"/>
      <c r="R146" s="24"/>
      <c r="S146" s="24"/>
      <c r="T146" s="24"/>
      <c r="U146" s="24"/>
      <c r="V146" s="24"/>
      <c r="W146" s="24"/>
      <c r="X146" s="24"/>
    </row>
    <row r="147" ht="15.75" customHeight="1">
      <c r="G147" s="24"/>
      <c r="H147" s="24"/>
      <c r="I147" s="24"/>
      <c r="J147" s="24"/>
      <c r="L147" s="24"/>
      <c r="M147" s="24"/>
      <c r="N147" s="24"/>
      <c r="O147" s="24"/>
      <c r="P147" s="24"/>
      <c r="Q147" s="24"/>
      <c r="R147" s="24"/>
      <c r="S147" s="24"/>
      <c r="T147" s="24"/>
      <c r="U147" s="24"/>
      <c r="V147" s="24"/>
      <c r="W147" s="24"/>
      <c r="X147" s="24"/>
    </row>
    <row r="148" ht="15.75" customHeight="1">
      <c r="G148" s="24"/>
      <c r="H148" s="24"/>
      <c r="I148" s="24"/>
      <c r="J148" s="24"/>
      <c r="L148" s="24"/>
      <c r="M148" s="24"/>
      <c r="N148" s="24"/>
      <c r="O148" s="24"/>
      <c r="P148" s="24"/>
      <c r="Q148" s="24"/>
      <c r="R148" s="24"/>
      <c r="S148" s="24"/>
      <c r="T148" s="24"/>
      <c r="U148" s="24"/>
      <c r="V148" s="24"/>
      <c r="W148" s="24"/>
      <c r="X148" s="24"/>
    </row>
    <row r="149" ht="15.75" customHeight="1">
      <c r="G149" s="24"/>
      <c r="H149" s="24"/>
      <c r="I149" s="24"/>
      <c r="J149" s="24"/>
      <c r="L149" s="24"/>
      <c r="M149" s="24"/>
      <c r="N149" s="24"/>
      <c r="O149" s="24"/>
      <c r="P149" s="24"/>
      <c r="Q149" s="24"/>
      <c r="R149" s="24"/>
      <c r="S149" s="24"/>
      <c r="T149" s="24"/>
      <c r="U149" s="24"/>
      <c r="V149" s="24"/>
      <c r="W149" s="24"/>
      <c r="X149" s="24"/>
    </row>
    <row r="150" ht="15.75" customHeight="1">
      <c r="G150" s="24"/>
      <c r="H150" s="24"/>
      <c r="I150" s="24"/>
      <c r="J150" s="24"/>
      <c r="L150" s="24"/>
      <c r="M150" s="24"/>
      <c r="N150" s="24"/>
      <c r="O150" s="24"/>
      <c r="P150" s="24"/>
      <c r="Q150" s="24"/>
      <c r="R150" s="24"/>
      <c r="S150" s="24"/>
      <c r="T150" s="24"/>
      <c r="U150" s="24"/>
      <c r="V150" s="24"/>
      <c r="W150" s="24"/>
      <c r="X150" s="24"/>
    </row>
    <row r="151" ht="15.75" customHeight="1">
      <c r="G151" s="24"/>
      <c r="H151" s="24"/>
      <c r="I151" s="24"/>
      <c r="J151" s="24"/>
      <c r="L151" s="24"/>
      <c r="M151" s="24"/>
      <c r="N151" s="24"/>
      <c r="O151" s="24"/>
      <c r="P151" s="24"/>
      <c r="Q151" s="24"/>
      <c r="R151" s="24"/>
      <c r="S151" s="24"/>
      <c r="T151" s="24"/>
      <c r="U151" s="24"/>
      <c r="V151" s="24"/>
      <c r="W151" s="24"/>
      <c r="X151" s="24"/>
    </row>
    <row r="152" ht="15.75" customHeight="1">
      <c r="G152" s="24"/>
      <c r="H152" s="24"/>
      <c r="I152" s="24"/>
      <c r="J152" s="24"/>
      <c r="L152" s="24"/>
      <c r="M152" s="24"/>
      <c r="N152" s="24"/>
      <c r="O152" s="24"/>
      <c r="P152" s="24"/>
      <c r="Q152" s="24"/>
      <c r="R152" s="24"/>
      <c r="S152" s="24"/>
      <c r="T152" s="24"/>
      <c r="U152" s="24"/>
      <c r="V152" s="24"/>
      <c r="W152" s="24"/>
      <c r="X152" s="24"/>
    </row>
    <row r="153" ht="15.75" customHeight="1">
      <c r="G153" s="24"/>
      <c r="H153" s="24"/>
      <c r="I153" s="24"/>
      <c r="J153" s="24"/>
      <c r="L153" s="24"/>
      <c r="M153" s="24"/>
      <c r="N153" s="24"/>
      <c r="O153" s="24"/>
      <c r="P153" s="24"/>
      <c r="Q153" s="24"/>
      <c r="R153" s="24"/>
      <c r="S153" s="24"/>
      <c r="T153" s="24"/>
      <c r="U153" s="24"/>
      <c r="V153" s="24"/>
      <c r="W153" s="24"/>
      <c r="X153" s="24"/>
    </row>
    <row r="154" ht="15.75" customHeight="1">
      <c r="G154" s="24"/>
      <c r="H154" s="24"/>
      <c r="I154" s="24"/>
      <c r="J154" s="24"/>
      <c r="L154" s="24"/>
      <c r="M154" s="24"/>
      <c r="N154" s="24"/>
      <c r="O154" s="24"/>
      <c r="P154" s="24"/>
      <c r="Q154" s="24"/>
      <c r="R154" s="24"/>
      <c r="S154" s="24"/>
      <c r="T154" s="24"/>
      <c r="U154" s="24"/>
      <c r="V154" s="24"/>
      <c r="W154" s="24"/>
      <c r="X154" s="24"/>
    </row>
    <row r="155" ht="15.75" customHeight="1">
      <c r="G155" s="24"/>
      <c r="H155" s="24"/>
      <c r="I155" s="24"/>
      <c r="J155" s="24"/>
      <c r="L155" s="24"/>
      <c r="M155" s="24"/>
      <c r="N155" s="24"/>
      <c r="O155" s="24"/>
      <c r="P155" s="24"/>
      <c r="Q155" s="24"/>
      <c r="R155" s="24"/>
      <c r="S155" s="24"/>
      <c r="T155" s="24"/>
      <c r="U155" s="24"/>
      <c r="V155" s="24"/>
      <c r="W155" s="24"/>
      <c r="X155" s="24"/>
    </row>
    <row r="156" ht="15.75" customHeight="1">
      <c r="G156" s="24"/>
      <c r="H156" s="24"/>
      <c r="I156" s="24"/>
      <c r="J156" s="24"/>
      <c r="L156" s="24"/>
      <c r="M156" s="24"/>
      <c r="N156" s="24"/>
      <c r="O156" s="24"/>
      <c r="P156" s="24"/>
      <c r="Q156" s="24"/>
      <c r="R156" s="24"/>
      <c r="S156" s="24"/>
      <c r="T156" s="24"/>
      <c r="U156" s="24"/>
      <c r="V156" s="24"/>
      <c r="W156" s="24"/>
      <c r="X156" s="24"/>
    </row>
    <row r="157" ht="15.75" customHeight="1">
      <c r="G157" s="24"/>
      <c r="H157" s="24"/>
      <c r="I157" s="24"/>
      <c r="J157" s="24"/>
      <c r="L157" s="24"/>
      <c r="M157" s="24"/>
      <c r="N157" s="24"/>
      <c r="O157" s="24"/>
      <c r="P157" s="24"/>
      <c r="Q157" s="24"/>
      <c r="R157" s="24"/>
      <c r="S157" s="24"/>
      <c r="T157" s="24"/>
      <c r="U157" s="24"/>
      <c r="V157" s="24"/>
      <c r="W157" s="24"/>
      <c r="X157" s="24"/>
    </row>
    <row r="158" ht="15.75" customHeight="1">
      <c r="G158" s="24"/>
      <c r="H158" s="24"/>
      <c r="I158" s="24"/>
      <c r="J158" s="24"/>
      <c r="L158" s="24"/>
      <c r="M158" s="24"/>
      <c r="N158" s="24"/>
      <c r="O158" s="24"/>
      <c r="P158" s="24"/>
      <c r="Q158" s="24"/>
      <c r="R158" s="24"/>
      <c r="S158" s="24"/>
      <c r="T158" s="24"/>
      <c r="U158" s="24"/>
      <c r="V158" s="24"/>
      <c r="W158" s="24"/>
      <c r="X158" s="24"/>
    </row>
    <row r="159" ht="15.75" customHeight="1">
      <c r="G159" s="24"/>
      <c r="H159" s="24"/>
      <c r="I159" s="24"/>
      <c r="J159" s="24"/>
      <c r="L159" s="24"/>
      <c r="M159" s="24"/>
      <c r="N159" s="24"/>
      <c r="O159" s="24"/>
      <c r="P159" s="24"/>
      <c r="Q159" s="24"/>
      <c r="R159" s="24"/>
      <c r="S159" s="24"/>
      <c r="T159" s="24"/>
      <c r="U159" s="24"/>
      <c r="V159" s="24"/>
      <c r="W159" s="24"/>
      <c r="X159" s="24"/>
    </row>
    <row r="160" ht="15.75" customHeight="1">
      <c r="G160" s="24"/>
      <c r="H160" s="24"/>
      <c r="I160" s="24"/>
      <c r="J160" s="24"/>
      <c r="L160" s="24"/>
      <c r="M160" s="24"/>
      <c r="N160" s="24"/>
      <c r="O160" s="24"/>
      <c r="P160" s="24"/>
      <c r="Q160" s="24"/>
      <c r="R160" s="24"/>
      <c r="S160" s="24"/>
      <c r="T160" s="24"/>
      <c r="U160" s="24"/>
      <c r="V160" s="24"/>
      <c r="W160" s="24"/>
      <c r="X160" s="24"/>
    </row>
    <row r="161" ht="15.75" customHeight="1">
      <c r="G161" s="24"/>
      <c r="H161" s="24"/>
      <c r="I161" s="24"/>
      <c r="J161" s="24"/>
      <c r="L161" s="24"/>
      <c r="M161" s="24"/>
      <c r="N161" s="24"/>
      <c r="O161" s="24"/>
      <c r="P161" s="24"/>
      <c r="Q161" s="24"/>
      <c r="R161" s="24"/>
      <c r="S161" s="24"/>
      <c r="T161" s="24"/>
      <c r="U161" s="24"/>
      <c r="V161" s="24"/>
      <c r="W161" s="24"/>
      <c r="X161" s="24"/>
    </row>
    <row r="162" ht="15.75" customHeight="1">
      <c r="G162" s="24"/>
      <c r="H162" s="24"/>
      <c r="I162" s="24"/>
      <c r="J162" s="24"/>
      <c r="L162" s="24"/>
      <c r="M162" s="24"/>
      <c r="N162" s="24"/>
      <c r="O162" s="24"/>
      <c r="P162" s="24"/>
      <c r="Q162" s="24"/>
      <c r="R162" s="24"/>
      <c r="S162" s="24"/>
      <c r="T162" s="24"/>
      <c r="U162" s="24"/>
      <c r="V162" s="24"/>
      <c r="W162" s="24"/>
      <c r="X162" s="24"/>
    </row>
    <row r="163" ht="15.75" customHeight="1">
      <c r="G163" s="24"/>
      <c r="H163" s="24"/>
      <c r="I163" s="24"/>
      <c r="J163" s="24"/>
      <c r="L163" s="24"/>
      <c r="M163" s="24"/>
      <c r="N163" s="24"/>
      <c r="O163" s="24"/>
      <c r="P163" s="24"/>
      <c r="Q163" s="24"/>
      <c r="R163" s="24"/>
      <c r="S163" s="24"/>
      <c r="T163" s="24"/>
      <c r="U163" s="24"/>
      <c r="V163" s="24"/>
      <c r="W163" s="24"/>
      <c r="X163" s="24"/>
    </row>
    <row r="164" ht="15.75" customHeight="1">
      <c r="G164" s="24"/>
      <c r="H164" s="24"/>
      <c r="I164" s="24"/>
      <c r="J164" s="24"/>
      <c r="L164" s="24"/>
      <c r="M164" s="24"/>
      <c r="N164" s="24"/>
      <c r="O164" s="24"/>
      <c r="P164" s="24"/>
      <c r="Q164" s="24"/>
      <c r="R164" s="24"/>
      <c r="S164" s="24"/>
      <c r="T164" s="24"/>
      <c r="U164" s="24"/>
      <c r="V164" s="24"/>
      <c r="W164" s="24"/>
      <c r="X164" s="24"/>
    </row>
    <row r="165" ht="15.75" customHeight="1">
      <c r="G165" s="24"/>
      <c r="H165" s="24"/>
      <c r="I165" s="24"/>
      <c r="J165" s="24"/>
      <c r="L165" s="24"/>
      <c r="M165" s="24"/>
      <c r="N165" s="24"/>
      <c r="O165" s="24"/>
      <c r="P165" s="24"/>
      <c r="Q165" s="24"/>
      <c r="R165" s="24"/>
      <c r="S165" s="24"/>
      <c r="T165" s="24"/>
      <c r="U165" s="24"/>
      <c r="V165" s="24"/>
      <c r="W165" s="24"/>
      <c r="X165" s="24"/>
    </row>
    <row r="166" ht="15.75" customHeight="1">
      <c r="G166" s="24"/>
      <c r="H166" s="24"/>
      <c r="I166" s="24"/>
      <c r="J166" s="24"/>
      <c r="L166" s="24"/>
      <c r="M166" s="24"/>
      <c r="N166" s="24"/>
      <c r="O166" s="24"/>
      <c r="P166" s="24"/>
      <c r="Q166" s="24"/>
      <c r="R166" s="24"/>
      <c r="S166" s="24"/>
      <c r="T166" s="24"/>
      <c r="U166" s="24"/>
      <c r="V166" s="24"/>
      <c r="W166" s="24"/>
      <c r="X166" s="24"/>
    </row>
    <row r="167" ht="15.75" customHeight="1">
      <c r="G167" s="24"/>
      <c r="H167" s="24"/>
      <c r="I167" s="24"/>
      <c r="J167" s="24"/>
      <c r="L167" s="24"/>
      <c r="M167" s="24"/>
      <c r="N167" s="24"/>
      <c r="O167" s="24"/>
      <c r="P167" s="24"/>
      <c r="Q167" s="24"/>
      <c r="R167" s="24"/>
      <c r="S167" s="24"/>
      <c r="T167" s="24"/>
      <c r="U167" s="24"/>
      <c r="V167" s="24"/>
      <c r="W167" s="24"/>
      <c r="X167" s="24"/>
    </row>
    <row r="168" ht="15.75" customHeight="1">
      <c r="G168" s="24"/>
      <c r="H168" s="24"/>
      <c r="I168" s="24"/>
      <c r="J168" s="24"/>
      <c r="L168" s="24"/>
      <c r="M168" s="24"/>
      <c r="N168" s="24"/>
      <c r="O168" s="24"/>
      <c r="P168" s="24"/>
      <c r="Q168" s="24"/>
      <c r="R168" s="24"/>
      <c r="S168" s="24"/>
      <c r="T168" s="24"/>
      <c r="U168" s="24"/>
      <c r="V168" s="24"/>
      <c r="W168" s="24"/>
      <c r="X168" s="24"/>
    </row>
    <row r="169" ht="15.75" customHeight="1">
      <c r="G169" s="24"/>
      <c r="H169" s="24"/>
      <c r="I169" s="24"/>
      <c r="J169" s="24"/>
      <c r="L169" s="24"/>
      <c r="M169" s="24"/>
      <c r="N169" s="24"/>
      <c r="O169" s="24"/>
      <c r="P169" s="24"/>
      <c r="Q169" s="24"/>
      <c r="R169" s="24"/>
      <c r="S169" s="24"/>
      <c r="T169" s="24"/>
      <c r="U169" s="24"/>
      <c r="V169" s="24"/>
      <c r="W169" s="24"/>
      <c r="X169" s="24"/>
    </row>
    <row r="170" ht="15.75" customHeight="1">
      <c r="G170" s="24"/>
      <c r="H170" s="24"/>
      <c r="I170" s="24"/>
      <c r="J170" s="24"/>
      <c r="L170" s="24"/>
      <c r="M170" s="24"/>
      <c r="N170" s="24"/>
      <c r="O170" s="24"/>
      <c r="P170" s="24"/>
      <c r="Q170" s="24"/>
      <c r="R170" s="24"/>
      <c r="S170" s="24"/>
      <c r="T170" s="24"/>
      <c r="U170" s="24"/>
      <c r="V170" s="24"/>
      <c r="W170" s="24"/>
      <c r="X170" s="24"/>
    </row>
    <row r="171" ht="15.75" customHeight="1">
      <c r="G171" s="24"/>
      <c r="H171" s="24"/>
      <c r="I171" s="24"/>
      <c r="J171" s="24"/>
      <c r="L171" s="24"/>
      <c r="M171" s="24"/>
      <c r="N171" s="24"/>
      <c r="O171" s="24"/>
      <c r="P171" s="24"/>
      <c r="Q171" s="24"/>
      <c r="R171" s="24"/>
      <c r="S171" s="24"/>
      <c r="T171" s="24"/>
      <c r="U171" s="24"/>
      <c r="V171" s="24"/>
      <c r="W171" s="24"/>
      <c r="X171" s="24"/>
    </row>
    <row r="172" ht="15.75" customHeight="1">
      <c r="G172" s="24"/>
      <c r="H172" s="24"/>
      <c r="I172" s="24"/>
      <c r="J172" s="24"/>
      <c r="L172" s="24"/>
      <c r="M172" s="24"/>
      <c r="N172" s="24"/>
      <c r="O172" s="24"/>
      <c r="P172" s="24"/>
      <c r="Q172" s="24"/>
      <c r="R172" s="24"/>
      <c r="S172" s="24"/>
      <c r="T172" s="24"/>
      <c r="U172" s="24"/>
      <c r="V172" s="24"/>
      <c r="W172" s="24"/>
      <c r="X172" s="24"/>
    </row>
    <row r="173" ht="15.75" customHeight="1">
      <c r="G173" s="24"/>
      <c r="H173" s="24"/>
      <c r="I173" s="24"/>
      <c r="J173" s="24"/>
      <c r="L173" s="24"/>
      <c r="M173" s="24"/>
      <c r="N173" s="24"/>
      <c r="O173" s="24"/>
      <c r="P173" s="24"/>
      <c r="Q173" s="24"/>
      <c r="R173" s="24"/>
      <c r="S173" s="24"/>
      <c r="T173" s="24"/>
      <c r="U173" s="24"/>
      <c r="V173" s="24"/>
      <c r="W173" s="24"/>
      <c r="X173" s="24"/>
    </row>
    <row r="174" ht="15.75" customHeight="1">
      <c r="G174" s="24"/>
      <c r="H174" s="24"/>
      <c r="I174" s="24"/>
      <c r="J174" s="24"/>
      <c r="L174" s="24"/>
      <c r="M174" s="24"/>
      <c r="N174" s="24"/>
      <c r="O174" s="24"/>
      <c r="P174" s="24"/>
      <c r="Q174" s="24"/>
      <c r="R174" s="24"/>
      <c r="S174" s="24"/>
      <c r="T174" s="24"/>
      <c r="U174" s="24"/>
      <c r="V174" s="24"/>
      <c r="W174" s="24"/>
      <c r="X174" s="24"/>
    </row>
    <row r="175" ht="15.75" customHeight="1">
      <c r="G175" s="24"/>
      <c r="H175" s="24"/>
      <c r="I175" s="24"/>
      <c r="J175" s="24"/>
      <c r="L175" s="24"/>
      <c r="M175" s="24"/>
      <c r="N175" s="24"/>
      <c r="O175" s="24"/>
      <c r="P175" s="24"/>
      <c r="Q175" s="24"/>
      <c r="R175" s="24"/>
      <c r="S175" s="24"/>
      <c r="T175" s="24"/>
      <c r="U175" s="24"/>
      <c r="V175" s="24"/>
      <c r="W175" s="24"/>
      <c r="X175" s="24"/>
    </row>
    <row r="176" ht="15.75" customHeight="1">
      <c r="G176" s="24"/>
      <c r="H176" s="24"/>
      <c r="I176" s="24"/>
      <c r="J176" s="24"/>
      <c r="L176" s="24"/>
      <c r="M176" s="24"/>
      <c r="N176" s="24"/>
      <c r="O176" s="24"/>
      <c r="P176" s="24"/>
      <c r="Q176" s="24"/>
      <c r="R176" s="24"/>
      <c r="S176" s="24"/>
      <c r="T176" s="24"/>
      <c r="U176" s="24"/>
      <c r="V176" s="24"/>
      <c r="W176" s="24"/>
      <c r="X176" s="24"/>
    </row>
    <row r="177" ht="15.75" customHeight="1">
      <c r="G177" s="24"/>
      <c r="H177" s="24"/>
      <c r="I177" s="24"/>
      <c r="J177" s="24"/>
      <c r="L177" s="24"/>
      <c r="M177" s="24"/>
      <c r="N177" s="24"/>
      <c r="O177" s="24"/>
      <c r="P177" s="24"/>
      <c r="Q177" s="24"/>
      <c r="R177" s="24"/>
      <c r="S177" s="24"/>
      <c r="T177" s="24"/>
      <c r="U177" s="24"/>
      <c r="V177" s="24"/>
      <c r="W177" s="24"/>
      <c r="X177" s="24"/>
    </row>
    <row r="178" ht="15.75" customHeight="1">
      <c r="G178" s="24"/>
      <c r="H178" s="24"/>
      <c r="I178" s="24"/>
      <c r="J178" s="24"/>
      <c r="L178" s="24"/>
      <c r="M178" s="24"/>
      <c r="N178" s="24"/>
      <c r="O178" s="24"/>
      <c r="P178" s="24"/>
      <c r="Q178" s="24"/>
      <c r="R178" s="24"/>
      <c r="S178" s="24"/>
      <c r="T178" s="24"/>
      <c r="U178" s="24"/>
      <c r="V178" s="24"/>
      <c r="W178" s="24"/>
      <c r="X178" s="24"/>
    </row>
    <row r="179" ht="15.75" customHeight="1">
      <c r="G179" s="24"/>
      <c r="H179" s="24"/>
      <c r="I179" s="24"/>
      <c r="J179" s="24"/>
      <c r="L179" s="24"/>
      <c r="M179" s="24"/>
      <c r="N179" s="24"/>
      <c r="O179" s="24"/>
      <c r="P179" s="24"/>
      <c r="Q179" s="24"/>
      <c r="R179" s="24"/>
      <c r="S179" s="24"/>
      <c r="T179" s="24"/>
      <c r="U179" s="24"/>
      <c r="V179" s="24"/>
      <c r="W179" s="24"/>
      <c r="X179" s="24"/>
    </row>
    <row r="180" ht="15.75" customHeight="1">
      <c r="G180" s="24"/>
      <c r="H180" s="24"/>
      <c r="I180" s="24"/>
      <c r="J180" s="24"/>
      <c r="L180" s="24"/>
      <c r="M180" s="24"/>
      <c r="N180" s="24"/>
      <c r="O180" s="24"/>
      <c r="P180" s="24"/>
      <c r="Q180" s="24"/>
      <c r="R180" s="24"/>
      <c r="S180" s="24"/>
      <c r="T180" s="24"/>
      <c r="U180" s="24"/>
      <c r="V180" s="24"/>
      <c r="W180" s="24"/>
      <c r="X180" s="24"/>
    </row>
    <row r="181" ht="15.75" customHeight="1">
      <c r="G181" s="24"/>
      <c r="H181" s="24"/>
      <c r="I181" s="24"/>
      <c r="J181" s="24"/>
      <c r="L181" s="24"/>
      <c r="M181" s="24"/>
      <c r="N181" s="24"/>
      <c r="O181" s="24"/>
      <c r="P181" s="24"/>
      <c r="Q181" s="24"/>
      <c r="R181" s="24"/>
      <c r="S181" s="24"/>
      <c r="T181" s="24"/>
      <c r="U181" s="24"/>
      <c r="V181" s="24"/>
      <c r="W181" s="24"/>
      <c r="X181" s="24"/>
    </row>
    <row r="182" ht="15.75" customHeight="1">
      <c r="G182" s="24"/>
      <c r="H182" s="24"/>
      <c r="I182" s="24"/>
      <c r="J182" s="24"/>
      <c r="L182" s="24"/>
      <c r="M182" s="24"/>
      <c r="N182" s="24"/>
      <c r="O182" s="24"/>
      <c r="P182" s="24"/>
      <c r="Q182" s="24"/>
      <c r="R182" s="24"/>
      <c r="S182" s="24"/>
      <c r="T182" s="24"/>
      <c r="U182" s="24"/>
      <c r="V182" s="24"/>
      <c r="W182" s="24"/>
      <c r="X182" s="24"/>
    </row>
    <row r="183" ht="15.75" customHeight="1">
      <c r="G183" s="24"/>
      <c r="H183" s="24"/>
      <c r="I183" s="24"/>
      <c r="J183" s="24"/>
      <c r="L183" s="24"/>
      <c r="M183" s="24"/>
      <c r="N183" s="24"/>
      <c r="O183" s="24"/>
      <c r="P183" s="24"/>
      <c r="Q183" s="24"/>
      <c r="R183" s="24"/>
      <c r="S183" s="24"/>
      <c r="T183" s="24"/>
      <c r="U183" s="24"/>
      <c r="V183" s="24"/>
      <c r="W183" s="24"/>
      <c r="X183" s="24"/>
    </row>
    <row r="184" ht="15.75" customHeight="1">
      <c r="G184" s="24"/>
      <c r="H184" s="24"/>
      <c r="I184" s="24"/>
      <c r="J184" s="24"/>
      <c r="L184" s="24"/>
      <c r="M184" s="24"/>
      <c r="N184" s="24"/>
      <c r="O184" s="24"/>
      <c r="P184" s="24"/>
      <c r="Q184" s="24"/>
      <c r="R184" s="24"/>
      <c r="S184" s="24"/>
      <c r="T184" s="24"/>
      <c r="U184" s="24"/>
      <c r="V184" s="24"/>
      <c r="W184" s="24"/>
      <c r="X184" s="24"/>
    </row>
    <row r="185" ht="15.75" customHeight="1">
      <c r="G185" s="24"/>
      <c r="H185" s="24"/>
      <c r="I185" s="24"/>
      <c r="J185" s="24"/>
      <c r="L185" s="24"/>
      <c r="M185" s="24"/>
      <c r="N185" s="24"/>
      <c r="O185" s="24"/>
      <c r="P185" s="24"/>
      <c r="Q185" s="24"/>
      <c r="R185" s="24"/>
      <c r="S185" s="24"/>
      <c r="T185" s="24"/>
      <c r="U185" s="24"/>
      <c r="V185" s="24"/>
      <c r="W185" s="24"/>
      <c r="X185" s="24"/>
    </row>
    <row r="186" ht="15.75" customHeight="1">
      <c r="G186" s="24"/>
      <c r="H186" s="24"/>
      <c r="I186" s="24"/>
      <c r="J186" s="24"/>
      <c r="L186" s="24"/>
      <c r="M186" s="24"/>
      <c r="N186" s="24"/>
      <c r="O186" s="24"/>
      <c r="P186" s="24"/>
      <c r="Q186" s="24"/>
      <c r="R186" s="24"/>
      <c r="S186" s="24"/>
      <c r="T186" s="24"/>
      <c r="U186" s="24"/>
      <c r="V186" s="24"/>
      <c r="W186" s="24"/>
      <c r="X186" s="24"/>
    </row>
    <row r="187" ht="15.75" customHeight="1">
      <c r="G187" s="24"/>
      <c r="H187" s="24"/>
      <c r="I187" s="24"/>
      <c r="J187" s="24"/>
      <c r="L187" s="24"/>
      <c r="M187" s="24"/>
      <c r="N187" s="24"/>
      <c r="O187" s="24"/>
      <c r="P187" s="24"/>
      <c r="Q187" s="24"/>
      <c r="R187" s="24"/>
      <c r="S187" s="24"/>
      <c r="T187" s="24"/>
      <c r="U187" s="24"/>
      <c r="V187" s="24"/>
      <c r="W187" s="24"/>
      <c r="X187" s="24"/>
    </row>
    <row r="188" ht="15.75" customHeight="1">
      <c r="G188" s="24"/>
      <c r="H188" s="24"/>
      <c r="I188" s="24"/>
      <c r="J188" s="24"/>
      <c r="L188" s="24"/>
      <c r="M188" s="24"/>
      <c r="N188" s="24"/>
      <c r="O188" s="24"/>
      <c r="P188" s="24"/>
      <c r="Q188" s="24"/>
      <c r="R188" s="24"/>
      <c r="S188" s="24"/>
      <c r="T188" s="24"/>
      <c r="U188" s="24"/>
      <c r="V188" s="24"/>
      <c r="W188" s="24"/>
      <c r="X188" s="24"/>
    </row>
    <row r="189" ht="15.75" customHeight="1">
      <c r="G189" s="24"/>
      <c r="H189" s="24"/>
      <c r="I189" s="24"/>
      <c r="J189" s="24"/>
      <c r="L189" s="24"/>
      <c r="M189" s="24"/>
      <c r="N189" s="24"/>
      <c r="O189" s="24"/>
      <c r="P189" s="24"/>
      <c r="Q189" s="24"/>
      <c r="R189" s="24"/>
      <c r="S189" s="24"/>
      <c r="T189" s="24"/>
      <c r="U189" s="24"/>
      <c r="V189" s="24"/>
      <c r="W189" s="24"/>
      <c r="X189" s="24"/>
    </row>
    <row r="190" ht="15.75" customHeight="1">
      <c r="G190" s="24"/>
      <c r="H190" s="24"/>
      <c r="I190" s="24"/>
      <c r="J190" s="24"/>
      <c r="L190" s="24"/>
      <c r="M190" s="24"/>
      <c r="N190" s="24"/>
      <c r="O190" s="24"/>
      <c r="P190" s="24"/>
      <c r="Q190" s="24"/>
      <c r="R190" s="24"/>
      <c r="S190" s="24"/>
      <c r="T190" s="24"/>
      <c r="U190" s="24"/>
      <c r="V190" s="24"/>
      <c r="W190" s="24"/>
      <c r="X190" s="24"/>
    </row>
    <row r="191" ht="15.75" customHeight="1">
      <c r="G191" s="24"/>
      <c r="H191" s="24"/>
      <c r="I191" s="24"/>
      <c r="J191" s="24"/>
      <c r="L191" s="24"/>
      <c r="M191" s="24"/>
      <c r="N191" s="24"/>
      <c r="O191" s="24"/>
      <c r="P191" s="24"/>
      <c r="Q191" s="24"/>
      <c r="R191" s="24"/>
      <c r="S191" s="24"/>
      <c r="T191" s="24"/>
      <c r="U191" s="24"/>
      <c r="V191" s="24"/>
      <c r="W191" s="24"/>
      <c r="X191" s="24"/>
    </row>
    <row r="192" ht="15.75" customHeight="1">
      <c r="G192" s="24"/>
      <c r="H192" s="24"/>
      <c r="I192" s="24"/>
      <c r="J192" s="24"/>
      <c r="L192" s="24"/>
      <c r="M192" s="24"/>
      <c r="N192" s="24"/>
      <c r="O192" s="24"/>
      <c r="P192" s="24"/>
      <c r="Q192" s="24"/>
      <c r="R192" s="24"/>
      <c r="S192" s="24"/>
      <c r="T192" s="24"/>
      <c r="U192" s="24"/>
      <c r="V192" s="24"/>
      <c r="W192" s="24"/>
      <c r="X192" s="24"/>
    </row>
    <row r="193" ht="15.75" customHeight="1">
      <c r="G193" s="24"/>
      <c r="H193" s="24"/>
      <c r="I193" s="24"/>
      <c r="J193" s="24"/>
      <c r="L193" s="24"/>
      <c r="M193" s="24"/>
      <c r="N193" s="24"/>
      <c r="O193" s="24"/>
      <c r="P193" s="24"/>
      <c r="Q193" s="24"/>
      <c r="R193" s="24"/>
      <c r="S193" s="24"/>
      <c r="T193" s="24"/>
      <c r="U193" s="24"/>
      <c r="V193" s="24"/>
      <c r="W193" s="24"/>
      <c r="X193" s="24"/>
    </row>
    <row r="194" ht="15.75" customHeight="1">
      <c r="G194" s="24"/>
      <c r="H194" s="24"/>
      <c r="I194" s="24"/>
      <c r="J194" s="24"/>
      <c r="L194" s="24"/>
      <c r="M194" s="24"/>
      <c r="N194" s="24"/>
      <c r="O194" s="24"/>
      <c r="P194" s="24"/>
      <c r="Q194" s="24"/>
      <c r="R194" s="24"/>
      <c r="S194" s="24"/>
      <c r="T194" s="24"/>
      <c r="U194" s="24"/>
      <c r="V194" s="24"/>
      <c r="W194" s="24"/>
      <c r="X194" s="24"/>
    </row>
    <row r="195" ht="15.75" customHeight="1">
      <c r="G195" s="24"/>
      <c r="H195" s="24"/>
      <c r="I195" s="24"/>
      <c r="J195" s="24"/>
      <c r="L195" s="24"/>
      <c r="M195" s="24"/>
      <c r="N195" s="24"/>
      <c r="O195" s="24"/>
      <c r="P195" s="24"/>
      <c r="Q195" s="24"/>
      <c r="R195" s="24"/>
      <c r="S195" s="24"/>
      <c r="T195" s="24"/>
      <c r="U195" s="24"/>
      <c r="V195" s="24"/>
      <c r="W195" s="24"/>
      <c r="X195" s="24"/>
    </row>
    <row r="196" ht="15.75" customHeight="1">
      <c r="G196" s="24"/>
      <c r="H196" s="24"/>
      <c r="I196" s="24"/>
      <c r="J196" s="24"/>
      <c r="L196" s="24"/>
      <c r="M196" s="24"/>
      <c r="N196" s="24"/>
      <c r="O196" s="24"/>
      <c r="P196" s="24"/>
      <c r="Q196" s="24"/>
      <c r="R196" s="24"/>
      <c r="S196" s="24"/>
      <c r="T196" s="24"/>
      <c r="U196" s="24"/>
      <c r="V196" s="24"/>
      <c r="W196" s="24"/>
      <c r="X196" s="24"/>
    </row>
    <row r="197" ht="15.75" customHeight="1">
      <c r="G197" s="24"/>
      <c r="H197" s="24"/>
      <c r="I197" s="24"/>
      <c r="J197" s="24"/>
      <c r="L197" s="24"/>
      <c r="M197" s="24"/>
      <c r="N197" s="24"/>
      <c r="O197" s="24"/>
      <c r="P197" s="24"/>
      <c r="Q197" s="24"/>
      <c r="R197" s="24"/>
      <c r="S197" s="24"/>
      <c r="T197" s="24"/>
      <c r="U197" s="24"/>
      <c r="V197" s="24"/>
      <c r="W197" s="24"/>
      <c r="X197" s="24"/>
    </row>
    <row r="198" ht="15.75" customHeight="1">
      <c r="G198" s="24"/>
      <c r="H198" s="24"/>
      <c r="I198" s="24"/>
      <c r="J198" s="24"/>
      <c r="L198" s="24"/>
      <c r="M198" s="24"/>
      <c r="N198" s="24"/>
      <c r="O198" s="24"/>
      <c r="P198" s="24"/>
      <c r="Q198" s="24"/>
      <c r="R198" s="24"/>
      <c r="S198" s="24"/>
      <c r="T198" s="24"/>
      <c r="U198" s="24"/>
      <c r="V198" s="24"/>
      <c r="W198" s="24"/>
      <c r="X198" s="24"/>
    </row>
    <row r="199" ht="15.75" customHeight="1">
      <c r="G199" s="24"/>
      <c r="H199" s="24"/>
      <c r="I199" s="24"/>
      <c r="J199" s="24"/>
      <c r="L199" s="24"/>
      <c r="M199" s="24"/>
      <c r="N199" s="24"/>
      <c r="O199" s="24"/>
      <c r="P199" s="24"/>
      <c r="Q199" s="24"/>
      <c r="R199" s="24"/>
      <c r="S199" s="24"/>
      <c r="T199" s="24"/>
      <c r="U199" s="24"/>
      <c r="V199" s="24"/>
      <c r="W199" s="24"/>
      <c r="X199" s="24"/>
    </row>
    <row r="200" ht="15.75" customHeight="1">
      <c r="G200" s="24"/>
      <c r="H200" s="24"/>
      <c r="I200" s="24"/>
      <c r="J200" s="24"/>
      <c r="L200" s="24"/>
      <c r="M200" s="24"/>
      <c r="N200" s="24"/>
      <c r="O200" s="24"/>
      <c r="P200" s="24"/>
      <c r="Q200" s="24"/>
      <c r="R200" s="24"/>
      <c r="S200" s="24"/>
      <c r="T200" s="24"/>
      <c r="U200" s="24"/>
      <c r="V200" s="24"/>
      <c r="W200" s="24"/>
      <c r="X200" s="24"/>
    </row>
    <row r="201" ht="15.75" customHeight="1">
      <c r="G201" s="24"/>
      <c r="H201" s="24"/>
      <c r="I201" s="24"/>
      <c r="J201" s="24"/>
      <c r="L201" s="24"/>
      <c r="M201" s="24"/>
      <c r="N201" s="24"/>
      <c r="O201" s="24"/>
      <c r="P201" s="24"/>
      <c r="Q201" s="24"/>
      <c r="R201" s="24"/>
      <c r="S201" s="24"/>
      <c r="T201" s="24"/>
      <c r="U201" s="24"/>
      <c r="V201" s="24"/>
      <c r="W201" s="24"/>
      <c r="X201" s="24"/>
    </row>
    <row r="202" ht="15.75" customHeight="1">
      <c r="G202" s="24"/>
      <c r="H202" s="24"/>
      <c r="I202" s="24"/>
      <c r="J202" s="24"/>
      <c r="L202" s="24"/>
      <c r="M202" s="24"/>
      <c r="N202" s="24"/>
      <c r="O202" s="24"/>
      <c r="P202" s="24"/>
      <c r="Q202" s="24"/>
      <c r="R202" s="24"/>
      <c r="S202" s="24"/>
      <c r="T202" s="24"/>
      <c r="U202" s="24"/>
      <c r="V202" s="24"/>
      <c r="W202" s="24"/>
      <c r="X202" s="24"/>
    </row>
    <row r="203" ht="15.75" customHeight="1">
      <c r="G203" s="24"/>
      <c r="H203" s="24"/>
      <c r="I203" s="24"/>
      <c r="J203" s="24"/>
      <c r="L203" s="24"/>
      <c r="M203" s="24"/>
      <c r="N203" s="24"/>
      <c r="O203" s="24"/>
      <c r="P203" s="24"/>
      <c r="Q203" s="24"/>
      <c r="R203" s="24"/>
      <c r="S203" s="24"/>
      <c r="T203" s="24"/>
      <c r="U203" s="24"/>
      <c r="V203" s="24"/>
      <c r="W203" s="24"/>
      <c r="X203" s="24"/>
    </row>
    <row r="204" ht="15.75" customHeight="1">
      <c r="G204" s="24"/>
      <c r="H204" s="24"/>
      <c r="I204" s="24"/>
      <c r="J204" s="24"/>
      <c r="L204" s="24"/>
      <c r="M204" s="24"/>
      <c r="N204" s="24"/>
      <c r="O204" s="24"/>
      <c r="P204" s="24"/>
      <c r="Q204" s="24"/>
      <c r="R204" s="24"/>
      <c r="S204" s="24"/>
      <c r="T204" s="24"/>
      <c r="U204" s="24"/>
      <c r="V204" s="24"/>
      <c r="W204" s="24"/>
      <c r="X204" s="24"/>
    </row>
    <row r="205" ht="15.75" customHeight="1">
      <c r="G205" s="24"/>
      <c r="H205" s="24"/>
      <c r="I205" s="24"/>
      <c r="J205" s="24"/>
      <c r="L205" s="24"/>
      <c r="M205" s="24"/>
      <c r="N205" s="24"/>
      <c r="O205" s="24"/>
      <c r="P205" s="24"/>
      <c r="Q205" s="24"/>
      <c r="R205" s="24"/>
      <c r="S205" s="24"/>
      <c r="T205" s="24"/>
      <c r="U205" s="24"/>
      <c r="V205" s="24"/>
      <c r="W205" s="24"/>
      <c r="X205" s="24"/>
    </row>
    <row r="206" ht="15.75" customHeight="1">
      <c r="G206" s="24"/>
      <c r="H206" s="24"/>
      <c r="I206" s="24"/>
      <c r="J206" s="24"/>
      <c r="L206" s="24"/>
      <c r="M206" s="24"/>
      <c r="N206" s="24"/>
      <c r="O206" s="24"/>
      <c r="P206" s="24"/>
      <c r="Q206" s="24"/>
      <c r="R206" s="24"/>
      <c r="S206" s="24"/>
      <c r="T206" s="24"/>
      <c r="U206" s="24"/>
      <c r="V206" s="24"/>
      <c r="W206" s="24"/>
      <c r="X206" s="24"/>
    </row>
    <row r="207" ht="15.75" customHeight="1">
      <c r="G207" s="24"/>
      <c r="H207" s="24"/>
      <c r="I207" s="24"/>
      <c r="J207" s="24"/>
      <c r="L207" s="24"/>
      <c r="M207" s="24"/>
      <c r="N207" s="24"/>
      <c r="O207" s="24"/>
      <c r="P207" s="24"/>
      <c r="Q207" s="24"/>
      <c r="R207" s="24"/>
      <c r="S207" s="24"/>
      <c r="T207" s="24"/>
      <c r="U207" s="24"/>
      <c r="V207" s="24"/>
      <c r="W207" s="24"/>
      <c r="X207" s="24"/>
    </row>
    <row r="208" ht="15.75" customHeight="1">
      <c r="G208" s="24"/>
      <c r="H208" s="24"/>
      <c r="I208" s="24"/>
      <c r="J208" s="24"/>
      <c r="L208" s="24"/>
      <c r="M208" s="24"/>
      <c r="N208" s="24"/>
      <c r="O208" s="24"/>
      <c r="P208" s="24"/>
      <c r="Q208" s="24"/>
      <c r="R208" s="24"/>
      <c r="S208" s="24"/>
      <c r="T208" s="24"/>
      <c r="U208" s="24"/>
      <c r="V208" s="24"/>
      <c r="W208" s="24"/>
      <c r="X208" s="24"/>
    </row>
    <row r="209" ht="15.75" customHeight="1">
      <c r="G209" s="24"/>
      <c r="H209" s="24"/>
      <c r="I209" s="24"/>
      <c r="J209" s="24"/>
      <c r="L209" s="24"/>
      <c r="M209" s="24"/>
      <c r="N209" s="24"/>
      <c r="O209" s="24"/>
      <c r="P209" s="24"/>
      <c r="Q209" s="24"/>
      <c r="R209" s="24"/>
      <c r="S209" s="24"/>
      <c r="T209" s="24"/>
      <c r="U209" s="24"/>
      <c r="V209" s="24"/>
      <c r="W209" s="24"/>
      <c r="X209" s="24"/>
    </row>
    <row r="210" ht="15.75" customHeight="1">
      <c r="G210" s="24"/>
      <c r="H210" s="24"/>
      <c r="I210" s="24"/>
      <c r="J210" s="24"/>
      <c r="L210" s="24"/>
      <c r="M210" s="24"/>
      <c r="N210" s="24"/>
      <c r="O210" s="24"/>
      <c r="P210" s="24"/>
      <c r="Q210" s="24"/>
      <c r="R210" s="24"/>
      <c r="S210" s="24"/>
      <c r="T210" s="24"/>
      <c r="U210" s="24"/>
      <c r="V210" s="24"/>
      <c r="W210" s="24"/>
      <c r="X210" s="24"/>
    </row>
    <row r="211" ht="15.75" customHeight="1">
      <c r="G211" s="24"/>
      <c r="H211" s="24"/>
      <c r="I211" s="24"/>
      <c r="J211" s="24"/>
      <c r="L211" s="24"/>
      <c r="M211" s="24"/>
      <c r="N211" s="24"/>
      <c r="O211" s="24"/>
      <c r="P211" s="24"/>
      <c r="Q211" s="24"/>
      <c r="R211" s="24"/>
      <c r="S211" s="24"/>
      <c r="T211" s="24"/>
      <c r="U211" s="24"/>
      <c r="V211" s="24"/>
      <c r="W211" s="24"/>
      <c r="X211" s="24"/>
    </row>
    <row r="212" ht="15.75" customHeight="1">
      <c r="G212" s="24"/>
      <c r="H212" s="24"/>
      <c r="I212" s="24"/>
      <c r="J212" s="24"/>
      <c r="L212" s="24"/>
      <c r="M212" s="24"/>
      <c r="N212" s="24"/>
      <c r="O212" s="24"/>
      <c r="P212" s="24"/>
      <c r="Q212" s="24"/>
      <c r="R212" s="24"/>
      <c r="S212" s="24"/>
      <c r="T212" s="24"/>
      <c r="U212" s="24"/>
      <c r="V212" s="24"/>
      <c r="W212" s="24"/>
      <c r="X212" s="24"/>
    </row>
    <row r="213" ht="15.75" customHeight="1">
      <c r="G213" s="24"/>
      <c r="H213" s="24"/>
      <c r="I213" s="24"/>
      <c r="J213" s="24"/>
      <c r="L213" s="24"/>
      <c r="M213" s="24"/>
      <c r="N213" s="24"/>
      <c r="O213" s="24"/>
      <c r="P213" s="24"/>
      <c r="Q213" s="24"/>
      <c r="R213" s="24"/>
      <c r="S213" s="24"/>
      <c r="T213" s="24"/>
      <c r="U213" s="24"/>
      <c r="V213" s="24"/>
      <c r="W213" s="24"/>
      <c r="X213" s="24"/>
    </row>
    <row r="214" ht="15.75" customHeight="1">
      <c r="G214" s="24"/>
      <c r="H214" s="24"/>
      <c r="I214" s="24"/>
      <c r="J214" s="24"/>
      <c r="L214" s="24"/>
      <c r="M214" s="24"/>
      <c r="N214" s="24"/>
      <c r="O214" s="24"/>
      <c r="P214" s="24"/>
      <c r="Q214" s="24"/>
      <c r="R214" s="24"/>
      <c r="S214" s="24"/>
      <c r="T214" s="24"/>
      <c r="U214" s="24"/>
      <c r="V214" s="24"/>
      <c r="W214" s="24"/>
      <c r="X214" s="24"/>
    </row>
    <row r="215" ht="15.75" customHeight="1">
      <c r="G215" s="24"/>
      <c r="H215" s="24"/>
      <c r="I215" s="24"/>
      <c r="J215" s="24"/>
      <c r="L215" s="24"/>
      <c r="M215" s="24"/>
      <c r="N215" s="24"/>
      <c r="O215" s="24"/>
      <c r="P215" s="24"/>
      <c r="Q215" s="24"/>
      <c r="R215" s="24"/>
      <c r="S215" s="24"/>
      <c r="T215" s="24"/>
      <c r="U215" s="24"/>
      <c r="V215" s="24"/>
      <c r="W215" s="24"/>
      <c r="X215" s="24"/>
    </row>
    <row r="216" ht="15.75" customHeight="1">
      <c r="G216" s="24"/>
      <c r="H216" s="24"/>
      <c r="I216" s="24"/>
      <c r="J216" s="24"/>
      <c r="L216" s="24"/>
      <c r="M216" s="24"/>
      <c r="N216" s="24"/>
      <c r="O216" s="24"/>
      <c r="P216" s="24"/>
      <c r="Q216" s="24"/>
      <c r="R216" s="24"/>
      <c r="S216" s="24"/>
      <c r="T216" s="24"/>
      <c r="U216" s="24"/>
      <c r="V216" s="24"/>
      <c r="W216" s="24"/>
      <c r="X216" s="24"/>
    </row>
    <row r="217" ht="15.75" customHeight="1">
      <c r="G217" s="24"/>
      <c r="H217" s="24"/>
      <c r="I217" s="24"/>
      <c r="J217" s="24"/>
      <c r="L217" s="24"/>
      <c r="M217" s="24"/>
      <c r="N217" s="24"/>
      <c r="O217" s="24"/>
      <c r="P217" s="24"/>
      <c r="Q217" s="24"/>
      <c r="R217" s="24"/>
      <c r="S217" s="24"/>
      <c r="T217" s="24"/>
      <c r="U217" s="24"/>
      <c r="V217" s="24"/>
      <c r="W217" s="24"/>
      <c r="X217" s="24"/>
    </row>
    <row r="218" ht="15.75" customHeight="1">
      <c r="G218" s="24"/>
      <c r="H218" s="24"/>
      <c r="I218" s="24"/>
      <c r="J218" s="24"/>
      <c r="L218" s="24"/>
      <c r="M218" s="24"/>
      <c r="N218" s="24"/>
      <c r="O218" s="24"/>
      <c r="P218" s="24"/>
      <c r="Q218" s="24"/>
      <c r="R218" s="24"/>
      <c r="S218" s="24"/>
      <c r="T218" s="24"/>
      <c r="U218" s="24"/>
      <c r="V218" s="24"/>
      <c r="W218" s="24"/>
      <c r="X218" s="24"/>
    </row>
    <row r="219" ht="15.75" customHeight="1">
      <c r="G219" s="24"/>
      <c r="H219" s="24"/>
      <c r="I219" s="24"/>
      <c r="J219" s="24"/>
      <c r="L219" s="24"/>
      <c r="M219" s="24"/>
      <c r="N219" s="24"/>
      <c r="O219" s="24"/>
      <c r="P219" s="24"/>
      <c r="Q219" s="24"/>
      <c r="R219" s="24"/>
      <c r="S219" s="24"/>
      <c r="T219" s="24"/>
      <c r="U219" s="24"/>
      <c r="V219" s="24"/>
      <c r="W219" s="24"/>
      <c r="X219" s="24"/>
    </row>
    <row r="220" ht="15.75" customHeight="1">
      <c r="G220" s="24"/>
      <c r="H220" s="24"/>
      <c r="I220" s="24"/>
      <c r="J220" s="24"/>
      <c r="L220" s="24"/>
      <c r="M220" s="24"/>
      <c r="N220" s="24"/>
      <c r="O220" s="24"/>
      <c r="P220" s="24"/>
      <c r="Q220" s="24"/>
      <c r="R220" s="24"/>
      <c r="S220" s="24"/>
      <c r="T220" s="24"/>
      <c r="U220" s="24"/>
      <c r="V220" s="24"/>
      <c r="W220" s="24"/>
      <c r="X220" s="24"/>
    </row>
    <row r="221" ht="15.75" customHeight="1">
      <c r="G221" s="24"/>
      <c r="H221" s="24"/>
      <c r="I221" s="24"/>
      <c r="J221" s="24"/>
      <c r="L221" s="24"/>
      <c r="M221" s="24"/>
      <c r="N221" s="24"/>
      <c r="O221" s="24"/>
      <c r="P221" s="24"/>
      <c r="Q221" s="24"/>
      <c r="R221" s="24"/>
      <c r="S221" s="24"/>
      <c r="T221" s="24"/>
      <c r="U221" s="24"/>
      <c r="V221" s="24"/>
      <c r="W221" s="24"/>
      <c r="X221" s="24"/>
    </row>
    <row r="222" ht="15.75" customHeight="1">
      <c r="G222" s="24"/>
      <c r="H222" s="24"/>
      <c r="I222" s="24"/>
      <c r="J222" s="24"/>
      <c r="L222" s="24"/>
      <c r="M222" s="24"/>
      <c r="N222" s="24"/>
      <c r="O222" s="24"/>
      <c r="P222" s="24"/>
      <c r="Q222" s="24"/>
      <c r="R222" s="24"/>
      <c r="S222" s="24"/>
      <c r="T222" s="24"/>
      <c r="U222" s="24"/>
      <c r="V222" s="24"/>
      <c r="W222" s="24"/>
      <c r="X222" s="24"/>
    </row>
    <row r="223" ht="15.75" customHeight="1">
      <c r="G223" s="24"/>
      <c r="H223" s="24"/>
      <c r="I223" s="24"/>
      <c r="J223" s="24"/>
      <c r="L223" s="24"/>
      <c r="M223" s="24"/>
      <c r="N223" s="24"/>
      <c r="O223" s="24"/>
      <c r="P223" s="24"/>
      <c r="Q223" s="24"/>
      <c r="R223" s="24"/>
      <c r="S223" s="24"/>
      <c r="T223" s="24"/>
      <c r="U223" s="24"/>
      <c r="V223" s="24"/>
      <c r="W223" s="24"/>
      <c r="X223" s="24"/>
    </row>
    <row r="224" ht="15.75" customHeight="1">
      <c r="G224" s="24"/>
      <c r="H224" s="24"/>
      <c r="I224" s="24"/>
      <c r="J224" s="24"/>
      <c r="L224" s="24"/>
      <c r="M224" s="24"/>
      <c r="N224" s="24"/>
      <c r="O224" s="24"/>
      <c r="P224" s="24"/>
      <c r="Q224" s="24"/>
      <c r="R224" s="24"/>
      <c r="S224" s="24"/>
      <c r="T224" s="24"/>
      <c r="U224" s="24"/>
      <c r="V224" s="24"/>
      <c r="W224" s="24"/>
      <c r="X224" s="24"/>
    </row>
    <row r="225" ht="15.75" customHeight="1">
      <c r="G225" s="24"/>
      <c r="H225" s="24"/>
      <c r="I225" s="24"/>
      <c r="J225" s="24"/>
      <c r="L225" s="24"/>
      <c r="M225" s="24"/>
      <c r="N225" s="24"/>
      <c r="O225" s="24"/>
      <c r="P225" s="24"/>
      <c r="Q225" s="24"/>
      <c r="R225" s="24"/>
      <c r="S225" s="24"/>
      <c r="T225" s="24"/>
      <c r="U225" s="24"/>
      <c r="V225" s="24"/>
      <c r="W225" s="24"/>
      <c r="X225" s="24"/>
    </row>
    <row r="226" ht="15.75" customHeight="1">
      <c r="G226" s="24"/>
      <c r="H226" s="24"/>
      <c r="I226" s="24"/>
      <c r="J226" s="24"/>
      <c r="L226" s="24"/>
      <c r="M226" s="24"/>
      <c r="N226" s="24"/>
      <c r="O226" s="24"/>
      <c r="P226" s="24"/>
      <c r="Q226" s="24"/>
      <c r="R226" s="24"/>
      <c r="S226" s="24"/>
      <c r="T226" s="24"/>
      <c r="U226" s="24"/>
      <c r="V226" s="24"/>
      <c r="W226" s="24"/>
      <c r="X226" s="24"/>
    </row>
    <row r="227" ht="15.75" customHeight="1">
      <c r="G227" s="24"/>
      <c r="H227" s="24"/>
      <c r="I227" s="24"/>
      <c r="J227" s="24"/>
      <c r="L227" s="24"/>
      <c r="M227" s="24"/>
      <c r="N227" s="24"/>
      <c r="O227" s="24"/>
      <c r="P227" s="24"/>
      <c r="Q227" s="24"/>
      <c r="R227" s="24"/>
      <c r="S227" s="24"/>
      <c r="T227" s="24"/>
      <c r="U227" s="24"/>
      <c r="V227" s="24"/>
      <c r="W227" s="24"/>
      <c r="X227" s="24"/>
    </row>
    <row r="228" ht="15.75" customHeight="1">
      <c r="G228" s="24"/>
      <c r="H228" s="24"/>
      <c r="I228" s="24"/>
      <c r="J228" s="24"/>
      <c r="L228" s="24"/>
      <c r="M228" s="24"/>
      <c r="N228" s="24"/>
      <c r="O228" s="24"/>
      <c r="P228" s="24"/>
      <c r="Q228" s="24"/>
      <c r="R228" s="24"/>
      <c r="S228" s="24"/>
      <c r="T228" s="24"/>
      <c r="U228" s="24"/>
      <c r="V228" s="24"/>
      <c r="W228" s="24"/>
      <c r="X228" s="24"/>
    </row>
    <row r="229" ht="15.75" customHeight="1">
      <c r="G229" s="24"/>
      <c r="H229" s="24"/>
      <c r="I229" s="24"/>
      <c r="J229" s="24"/>
      <c r="L229" s="24"/>
      <c r="M229" s="24"/>
      <c r="N229" s="24"/>
      <c r="O229" s="24"/>
      <c r="P229" s="24"/>
      <c r="Q229" s="24"/>
      <c r="R229" s="24"/>
      <c r="S229" s="24"/>
      <c r="T229" s="24"/>
      <c r="U229" s="24"/>
      <c r="V229" s="24"/>
      <c r="W229" s="24"/>
      <c r="X229" s="24"/>
    </row>
    <row r="230" ht="15.75" customHeight="1">
      <c r="G230" s="24"/>
      <c r="H230" s="24"/>
      <c r="I230" s="24"/>
      <c r="J230" s="24"/>
      <c r="L230" s="24"/>
      <c r="M230" s="24"/>
      <c r="N230" s="24"/>
      <c r="O230" s="24"/>
      <c r="P230" s="24"/>
      <c r="Q230" s="24"/>
      <c r="R230" s="24"/>
      <c r="S230" s="24"/>
      <c r="T230" s="24"/>
      <c r="U230" s="24"/>
      <c r="V230" s="24"/>
      <c r="W230" s="24"/>
      <c r="X230" s="24"/>
    </row>
    <row r="231" ht="15.75" customHeight="1">
      <c r="G231" s="24"/>
      <c r="H231" s="24"/>
      <c r="I231" s="24"/>
      <c r="J231" s="24"/>
      <c r="L231" s="24"/>
      <c r="M231" s="24"/>
      <c r="N231" s="24"/>
      <c r="O231" s="24"/>
      <c r="P231" s="24"/>
      <c r="Q231" s="24"/>
      <c r="R231" s="24"/>
      <c r="S231" s="24"/>
      <c r="T231" s="24"/>
      <c r="U231" s="24"/>
      <c r="V231" s="24"/>
      <c r="W231" s="24"/>
      <c r="X231" s="24"/>
    </row>
    <row r="232" ht="15.75" customHeight="1">
      <c r="G232" s="24"/>
      <c r="H232" s="24"/>
      <c r="I232" s="24"/>
      <c r="J232" s="24"/>
      <c r="L232" s="24"/>
      <c r="M232" s="24"/>
      <c r="N232" s="24"/>
      <c r="O232" s="24"/>
      <c r="P232" s="24"/>
      <c r="Q232" s="24"/>
      <c r="R232" s="24"/>
      <c r="S232" s="24"/>
      <c r="T232" s="24"/>
      <c r="U232" s="24"/>
      <c r="V232" s="24"/>
      <c r="W232" s="24"/>
      <c r="X232" s="24"/>
    </row>
    <row r="233" ht="15.75" customHeight="1">
      <c r="G233" s="24"/>
      <c r="H233" s="24"/>
      <c r="I233" s="24"/>
      <c r="J233" s="24"/>
      <c r="L233" s="24"/>
      <c r="M233" s="24"/>
      <c r="N233" s="24"/>
      <c r="O233" s="24"/>
      <c r="P233" s="24"/>
      <c r="Q233" s="24"/>
      <c r="R233" s="24"/>
      <c r="S233" s="24"/>
      <c r="T233" s="24"/>
      <c r="U233" s="24"/>
      <c r="V233" s="24"/>
      <c r="W233" s="24"/>
      <c r="X233" s="24"/>
    </row>
    <row r="234" ht="15.75" customHeight="1">
      <c r="G234" s="24"/>
      <c r="H234" s="24"/>
      <c r="I234" s="24"/>
      <c r="J234" s="24"/>
      <c r="L234" s="24"/>
      <c r="M234" s="24"/>
      <c r="N234" s="24"/>
      <c r="O234" s="24"/>
      <c r="P234" s="24"/>
      <c r="Q234" s="24"/>
      <c r="R234" s="24"/>
      <c r="S234" s="24"/>
      <c r="T234" s="24"/>
      <c r="U234" s="24"/>
      <c r="V234" s="24"/>
      <c r="W234" s="24"/>
      <c r="X234" s="24"/>
    </row>
    <row r="235" ht="15.75" customHeight="1">
      <c r="G235" s="24"/>
      <c r="H235" s="24"/>
      <c r="I235" s="24"/>
      <c r="J235" s="24"/>
      <c r="L235" s="24"/>
      <c r="M235" s="24"/>
      <c r="N235" s="24"/>
      <c r="O235" s="24"/>
      <c r="P235" s="24"/>
      <c r="Q235" s="24"/>
      <c r="R235" s="24"/>
      <c r="S235" s="24"/>
      <c r="T235" s="24"/>
      <c r="U235" s="24"/>
      <c r="V235" s="24"/>
      <c r="W235" s="24"/>
      <c r="X235" s="24"/>
    </row>
    <row r="236" ht="15.75" customHeight="1">
      <c r="G236" s="24"/>
      <c r="H236" s="24"/>
      <c r="I236" s="24"/>
      <c r="J236" s="24"/>
      <c r="L236" s="24"/>
      <c r="M236" s="24"/>
      <c r="N236" s="24"/>
      <c r="O236" s="24"/>
      <c r="P236" s="24"/>
      <c r="Q236" s="24"/>
      <c r="R236" s="24"/>
      <c r="S236" s="24"/>
      <c r="T236" s="24"/>
      <c r="U236" s="24"/>
      <c r="V236" s="24"/>
      <c r="W236" s="24"/>
      <c r="X236" s="24"/>
    </row>
    <row r="237" ht="15.75" customHeight="1">
      <c r="G237" s="24"/>
      <c r="H237" s="24"/>
      <c r="I237" s="24"/>
      <c r="J237" s="24"/>
      <c r="L237" s="24"/>
      <c r="M237" s="24"/>
      <c r="N237" s="24"/>
      <c r="O237" s="24"/>
      <c r="P237" s="24"/>
      <c r="Q237" s="24"/>
      <c r="R237" s="24"/>
      <c r="S237" s="24"/>
      <c r="T237" s="24"/>
      <c r="U237" s="24"/>
      <c r="V237" s="24"/>
      <c r="W237" s="24"/>
      <c r="X237" s="24"/>
    </row>
    <row r="238" ht="15.75" customHeight="1">
      <c r="G238" s="24"/>
      <c r="H238" s="24"/>
      <c r="I238" s="24"/>
      <c r="J238" s="24"/>
      <c r="L238" s="24"/>
      <c r="M238" s="24"/>
      <c r="N238" s="24"/>
      <c r="O238" s="24"/>
      <c r="P238" s="24"/>
      <c r="Q238" s="24"/>
      <c r="R238" s="24"/>
      <c r="S238" s="24"/>
      <c r="T238" s="24"/>
      <c r="U238" s="24"/>
      <c r="V238" s="24"/>
      <c r="W238" s="24"/>
      <c r="X238" s="24"/>
    </row>
    <row r="239" ht="15.75" customHeight="1">
      <c r="G239" s="24"/>
      <c r="H239" s="24"/>
      <c r="I239" s="24"/>
      <c r="J239" s="24"/>
      <c r="L239" s="24"/>
      <c r="M239" s="24"/>
      <c r="N239" s="24"/>
      <c r="O239" s="24"/>
      <c r="P239" s="24"/>
      <c r="Q239" s="24"/>
      <c r="R239" s="24"/>
      <c r="S239" s="24"/>
      <c r="T239" s="24"/>
      <c r="U239" s="24"/>
      <c r="V239" s="24"/>
      <c r="W239" s="24"/>
      <c r="X239" s="24"/>
    </row>
    <row r="240" ht="15.75" customHeight="1">
      <c r="G240" s="24"/>
      <c r="H240" s="24"/>
      <c r="I240" s="24"/>
      <c r="J240" s="24"/>
      <c r="L240" s="24"/>
      <c r="M240" s="24"/>
      <c r="N240" s="24"/>
      <c r="O240" s="24"/>
      <c r="P240" s="24"/>
      <c r="Q240" s="24"/>
      <c r="R240" s="24"/>
      <c r="S240" s="24"/>
      <c r="T240" s="24"/>
      <c r="U240" s="24"/>
      <c r="V240" s="24"/>
      <c r="W240" s="24"/>
      <c r="X240" s="24"/>
    </row>
    <row r="241" ht="15.75" customHeight="1">
      <c r="G241" s="24"/>
      <c r="H241" s="24"/>
      <c r="I241" s="24"/>
      <c r="J241" s="24"/>
      <c r="L241" s="24"/>
      <c r="M241" s="24"/>
      <c r="N241" s="24"/>
      <c r="O241" s="24"/>
      <c r="P241" s="24"/>
      <c r="Q241" s="24"/>
      <c r="R241" s="24"/>
      <c r="S241" s="24"/>
      <c r="T241" s="24"/>
      <c r="U241" s="24"/>
      <c r="V241" s="24"/>
      <c r="W241" s="24"/>
      <c r="X241" s="24"/>
    </row>
    <row r="242" ht="15.75" customHeight="1">
      <c r="G242" s="24"/>
      <c r="H242" s="24"/>
      <c r="I242" s="24"/>
      <c r="J242" s="24"/>
      <c r="L242" s="24"/>
      <c r="M242" s="24"/>
      <c r="N242" s="24"/>
      <c r="O242" s="24"/>
      <c r="P242" s="24"/>
      <c r="Q242" s="24"/>
      <c r="R242" s="24"/>
      <c r="S242" s="24"/>
      <c r="T242" s="24"/>
      <c r="U242" s="24"/>
      <c r="V242" s="24"/>
      <c r="W242" s="24"/>
      <c r="X242" s="24"/>
    </row>
    <row r="243" ht="15.75" customHeight="1">
      <c r="G243" s="24"/>
      <c r="H243" s="24"/>
      <c r="I243" s="24"/>
      <c r="J243" s="24"/>
      <c r="L243" s="24"/>
      <c r="M243" s="24"/>
      <c r="N243" s="24"/>
      <c r="O243" s="24"/>
      <c r="P243" s="24"/>
      <c r="Q243" s="24"/>
      <c r="R243" s="24"/>
      <c r="S243" s="24"/>
      <c r="T243" s="24"/>
      <c r="U243" s="24"/>
      <c r="V243" s="24"/>
      <c r="W243" s="24"/>
      <c r="X243" s="24"/>
    </row>
    <row r="244" ht="15.75" customHeight="1">
      <c r="G244" s="24"/>
      <c r="H244" s="24"/>
      <c r="I244" s="24"/>
      <c r="J244" s="24"/>
      <c r="L244" s="24"/>
      <c r="M244" s="24"/>
      <c r="N244" s="24"/>
      <c r="O244" s="24"/>
      <c r="P244" s="24"/>
      <c r="Q244" s="24"/>
      <c r="R244" s="24"/>
      <c r="S244" s="24"/>
      <c r="T244" s="24"/>
      <c r="U244" s="24"/>
      <c r="V244" s="24"/>
      <c r="W244" s="24"/>
      <c r="X244" s="24"/>
    </row>
    <row r="245" ht="15.75" customHeight="1">
      <c r="G245" s="24"/>
      <c r="H245" s="24"/>
      <c r="I245" s="24"/>
      <c r="J245" s="24"/>
      <c r="L245" s="24"/>
      <c r="M245" s="24"/>
      <c r="N245" s="24"/>
      <c r="O245" s="24"/>
      <c r="P245" s="24"/>
      <c r="Q245" s="24"/>
      <c r="R245" s="24"/>
      <c r="S245" s="24"/>
      <c r="T245" s="24"/>
      <c r="U245" s="24"/>
      <c r="V245" s="24"/>
      <c r="W245" s="24"/>
      <c r="X245" s="24"/>
    </row>
    <row r="246" ht="15.75" customHeight="1">
      <c r="G246" s="24"/>
      <c r="H246" s="24"/>
      <c r="I246" s="24"/>
      <c r="J246" s="24"/>
      <c r="L246" s="24"/>
      <c r="M246" s="24"/>
      <c r="N246" s="24"/>
      <c r="O246" s="24"/>
      <c r="P246" s="24"/>
      <c r="Q246" s="24"/>
      <c r="R246" s="24"/>
      <c r="S246" s="24"/>
      <c r="T246" s="24"/>
      <c r="U246" s="24"/>
      <c r="V246" s="24"/>
      <c r="W246" s="24"/>
      <c r="X246" s="24"/>
    </row>
    <row r="247" ht="15.75" customHeight="1">
      <c r="G247" s="24"/>
      <c r="H247" s="24"/>
      <c r="I247" s="24"/>
      <c r="J247" s="24"/>
      <c r="L247" s="24"/>
      <c r="M247" s="24"/>
      <c r="N247" s="24"/>
      <c r="O247" s="24"/>
      <c r="P247" s="24"/>
      <c r="Q247" s="24"/>
      <c r="R247" s="24"/>
      <c r="S247" s="24"/>
      <c r="T247" s="24"/>
      <c r="U247" s="24"/>
      <c r="V247" s="24"/>
      <c r="W247" s="24"/>
      <c r="X247" s="24"/>
    </row>
    <row r="248" ht="15.75" customHeight="1">
      <c r="G248" s="24"/>
      <c r="H248" s="24"/>
      <c r="I248" s="24"/>
      <c r="J248" s="24"/>
      <c r="L248" s="24"/>
      <c r="M248" s="24"/>
      <c r="N248" s="24"/>
      <c r="O248" s="24"/>
      <c r="P248" s="24"/>
      <c r="Q248" s="24"/>
      <c r="R248" s="24"/>
      <c r="S248" s="24"/>
      <c r="T248" s="24"/>
      <c r="U248" s="24"/>
      <c r="V248" s="24"/>
      <c r="W248" s="24"/>
      <c r="X248" s="24"/>
    </row>
    <row r="249" ht="15.75" customHeight="1">
      <c r="G249" s="24"/>
      <c r="H249" s="24"/>
      <c r="I249" s="24"/>
      <c r="J249" s="24"/>
      <c r="L249" s="24"/>
      <c r="M249" s="24"/>
      <c r="N249" s="24"/>
      <c r="O249" s="24"/>
      <c r="P249" s="24"/>
      <c r="Q249" s="24"/>
      <c r="R249" s="24"/>
      <c r="S249" s="24"/>
      <c r="T249" s="24"/>
      <c r="U249" s="24"/>
      <c r="V249" s="24"/>
      <c r="W249" s="24"/>
      <c r="X249" s="24"/>
    </row>
    <row r="250" ht="15.75" customHeight="1">
      <c r="G250" s="24"/>
      <c r="H250" s="24"/>
      <c r="I250" s="24"/>
      <c r="J250" s="24"/>
      <c r="L250" s="24"/>
      <c r="M250" s="24"/>
      <c r="N250" s="24"/>
      <c r="O250" s="24"/>
      <c r="P250" s="24"/>
      <c r="Q250" s="24"/>
      <c r="R250" s="24"/>
      <c r="S250" s="24"/>
      <c r="T250" s="24"/>
      <c r="U250" s="24"/>
      <c r="V250" s="24"/>
      <c r="W250" s="24"/>
      <c r="X250" s="24"/>
    </row>
    <row r="251" ht="15.75" customHeight="1">
      <c r="G251" s="24"/>
      <c r="H251" s="24"/>
      <c r="I251" s="24"/>
      <c r="J251" s="24"/>
      <c r="L251" s="24"/>
      <c r="M251" s="24"/>
      <c r="N251" s="24"/>
      <c r="O251" s="24"/>
      <c r="P251" s="24"/>
      <c r="Q251" s="24"/>
      <c r="R251" s="24"/>
      <c r="S251" s="24"/>
      <c r="T251" s="24"/>
      <c r="U251" s="24"/>
      <c r="V251" s="24"/>
      <c r="W251" s="24"/>
      <c r="X251" s="24"/>
    </row>
    <row r="252" ht="15.75" customHeight="1">
      <c r="G252" s="24"/>
      <c r="H252" s="24"/>
      <c r="I252" s="24"/>
      <c r="J252" s="24"/>
      <c r="L252" s="24"/>
      <c r="M252" s="24"/>
      <c r="N252" s="24"/>
      <c r="O252" s="24"/>
      <c r="P252" s="24"/>
      <c r="Q252" s="24"/>
      <c r="R252" s="24"/>
      <c r="S252" s="24"/>
      <c r="T252" s="24"/>
      <c r="U252" s="24"/>
      <c r="V252" s="24"/>
      <c r="W252" s="24"/>
      <c r="X252" s="24"/>
    </row>
    <row r="253" ht="15.75" customHeight="1">
      <c r="G253" s="24"/>
      <c r="H253" s="24"/>
      <c r="I253" s="24"/>
      <c r="J253" s="24"/>
      <c r="L253" s="24"/>
      <c r="M253" s="24"/>
      <c r="N253" s="24"/>
      <c r="O253" s="24"/>
      <c r="P253" s="24"/>
      <c r="Q253" s="24"/>
      <c r="R253" s="24"/>
      <c r="S253" s="24"/>
      <c r="T253" s="24"/>
      <c r="U253" s="24"/>
      <c r="V253" s="24"/>
      <c r="W253" s="24"/>
      <c r="X253" s="24"/>
    </row>
    <row r="254" ht="15.75" customHeight="1">
      <c r="G254" s="24"/>
      <c r="H254" s="24"/>
      <c r="I254" s="24"/>
      <c r="J254" s="24"/>
      <c r="L254" s="24"/>
      <c r="M254" s="24"/>
      <c r="N254" s="24"/>
      <c r="O254" s="24"/>
      <c r="P254" s="24"/>
      <c r="Q254" s="24"/>
      <c r="R254" s="24"/>
      <c r="S254" s="24"/>
      <c r="T254" s="24"/>
      <c r="U254" s="24"/>
      <c r="V254" s="24"/>
      <c r="W254" s="24"/>
      <c r="X254" s="24"/>
    </row>
    <row r="255" ht="15.75" customHeight="1">
      <c r="G255" s="24"/>
      <c r="H255" s="24"/>
      <c r="I255" s="24"/>
      <c r="J255" s="24"/>
      <c r="L255" s="24"/>
      <c r="M255" s="24"/>
      <c r="N255" s="24"/>
      <c r="O255" s="24"/>
      <c r="P255" s="24"/>
      <c r="Q255" s="24"/>
      <c r="R255" s="24"/>
      <c r="S255" s="24"/>
      <c r="T255" s="24"/>
      <c r="U255" s="24"/>
      <c r="V255" s="24"/>
      <c r="W255" s="24"/>
      <c r="X255" s="24"/>
    </row>
    <row r="256" ht="15.75" customHeight="1">
      <c r="G256" s="24"/>
      <c r="H256" s="24"/>
      <c r="I256" s="24"/>
      <c r="J256" s="24"/>
      <c r="L256" s="24"/>
      <c r="M256" s="24"/>
      <c r="N256" s="24"/>
      <c r="O256" s="24"/>
      <c r="P256" s="24"/>
      <c r="Q256" s="24"/>
      <c r="R256" s="24"/>
      <c r="S256" s="24"/>
      <c r="T256" s="24"/>
      <c r="U256" s="24"/>
      <c r="V256" s="24"/>
      <c r="W256" s="24"/>
      <c r="X256" s="24"/>
    </row>
    <row r="257" ht="15.75" customHeight="1">
      <c r="G257" s="24"/>
      <c r="H257" s="24"/>
      <c r="I257" s="24"/>
      <c r="J257" s="24"/>
      <c r="L257" s="24"/>
      <c r="M257" s="24"/>
      <c r="N257" s="24"/>
      <c r="O257" s="24"/>
      <c r="P257" s="24"/>
      <c r="Q257" s="24"/>
      <c r="R257" s="24"/>
      <c r="S257" s="24"/>
      <c r="T257" s="24"/>
      <c r="U257" s="24"/>
      <c r="V257" s="24"/>
      <c r="W257" s="24"/>
      <c r="X257" s="24"/>
    </row>
    <row r="258" ht="15.75" customHeight="1">
      <c r="G258" s="24"/>
      <c r="H258" s="24"/>
      <c r="I258" s="24"/>
      <c r="J258" s="24"/>
      <c r="L258" s="24"/>
      <c r="M258" s="24"/>
      <c r="N258" s="24"/>
      <c r="O258" s="24"/>
      <c r="P258" s="24"/>
      <c r="Q258" s="24"/>
      <c r="R258" s="24"/>
      <c r="S258" s="24"/>
      <c r="T258" s="24"/>
      <c r="U258" s="24"/>
      <c r="V258" s="24"/>
      <c r="W258" s="24"/>
      <c r="X258" s="24"/>
    </row>
    <row r="259" ht="15.75" customHeight="1">
      <c r="G259" s="24"/>
      <c r="H259" s="24"/>
      <c r="I259" s="24"/>
      <c r="J259" s="24"/>
      <c r="L259" s="24"/>
      <c r="M259" s="24"/>
      <c r="N259" s="24"/>
      <c r="O259" s="24"/>
      <c r="P259" s="24"/>
      <c r="Q259" s="24"/>
      <c r="R259" s="24"/>
      <c r="S259" s="24"/>
      <c r="T259" s="24"/>
      <c r="U259" s="24"/>
      <c r="V259" s="24"/>
      <c r="W259" s="24"/>
      <c r="X259" s="24"/>
    </row>
    <row r="260" ht="15.75" customHeight="1">
      <c r="G260" s="24"/>
      <c r="H260" s="24"/>
      <c r="I260" s="24"/>
      <c r="J260" s="24"/>
      <c r="L260" s="24"/>
      <c r="M260" s="24"/>
      <c r="N260" s="24"/>
      <c r="O260" s="24"/>
      <c r="P260" s="24"/>
      <c r="Q260" s="24"/>
      <c r="R260" s="24"/>
      <c r="S260" s="24"/>
      <c r="T260" s="24"/>
      <c r="U260" s="24"/>
      <c r="V260" s="24"/>
      <c r="W260" s="24"/>
      <c r="X260" s="24"/>
    </row>
    <row r="261" ht="15.75" customHeight="1">
      <c r="G261" s="24"/>
      <c r="H261" s="24"/>
      <c r="I261" s="24"/>
      <c r="J261" s="24"/>
      <c r="L261" s="24"/>
      <c r="M261" s="24"/>
      <c r="N261" s="24"/>
      <c r="O261" s="24"/>
      <c r="P261" s="24"/>
      <c r="Q261" s="24"/>
      <c r="R261" s="24"/>
      <c r="S261" s="24"/>
      <c r="T261" s="24"/>
      <c r="U261" s="24"/>
      <c r="V261" s="24"/>
      <c r="W261" s="24"/>
      <c r="X261" s="24"/>
    </row>
    <row r="262" ht="15.75" customHeight="1">
      <c r="G262" s="24"/>
      <c r="H262" s="24"/>
      <c r="I262" s="24"/>
      <c r="J262" s="24"/>
      <c r="L262" s="24"/>
      <c r="M262" s="24"/>
      <c r="N262" s="24"/>
      <c r="O262" s="24"/>
      <c r="P262" s="24"/>
      <c r="Q262" s="24"/>
      <c r="R262" s="24"/>
      <c r="S262" s="24"/>
      <c r="T262" s="24"/>
      <c r="U262" s="24"/>
      <c r="V262" s="24"/>
      <c r="W262" s="24"/>
      <c r="X262" s="24"/>
    </row>
    <row r="263" ht="15.75" customHeight="1">
      <c r="G263" s="24"/>
      <c r="H263" s="24"/>
      <c r="I263" s="24"/>
      <c r="J263" s="24"/>
      <c r="L263" s="24"/>
      <c r="M263" s="24"/>
      <c r="N263" s="24"/>
      <c r="O263" s="24"/>
      <c r="P263" s="24"/>
      <c r="Q263" s="24"/>
      <c r="R263" s="24"/>
      <c r="S263" s="24"/>
      <c r="T263" s="24"/>
      <c r="U263" s="24"/>
      <c r="V263" s="24"/>
      <c r="W263" s="24"/>
      <c r="X263" s="24"/>
    </row>
    <row r="264" ht="15.75" customHeight="1">
      <c r="G264" s="24"/>
      <c r="H264" s="24"/>
      <c r="I264" s="24"/>
      <c r="J264" s="24"/>
      <c r="L264" s="24"/>
      <c r="M264" s="24"/>
      <c r="N264" s="24"/>
      <c r="O264" s="24"/>
      <c r="P264" s="24"/>
      <c r="Q264" s="24"/>
      <c r="R264" s="24"/>
      <c r="S264" s="24"/>
      <c r="T264" s="24"/>
      <c r="U264" s="24"/>
      <c r="V264" s="24"/>
      <c r="W264" s="24"/>
      <c r="X264" s="24"/>
    </row>
    <row r="265" ht="15.75" customHeight="1">
      <c r="G265" s="24"/>
      <c r="H265" s="24"/>
      <c r="I265" s="24"/>
      <c r="J265" s="24"/>
      <c r="L265" s="24"/>
      <c r="M265" s="24"/>
      <c r="N265" s="24"/>
      <c r="O265" s="24"/>
      <c r="P265" s="24"/>
      <c r="Q265" s="24"/>
      <c r="R265" s="24"/>
      <c r="S265" s="24"/>
      <c r="T265" s="24"/>
      <c r="U265" s="24"/>
      <c r="V265" s="24"/>
      <c r="W265" s="24"/>
      <c r="X265" s="24"/>
    </row>
    <row r="266" ht="15.75" customHeight="1">
      <c r="G266" s="24"/>
      <c r="H266" s="24"/>
      <c r="I266" s="24"/>
      <c r="J266" s="24"/>
      <c r="L266" s="24"/>
      <c r="M266" s="24"/>
      <c r="N266" s="24"/>
      <c r="O266" s="24"/>
      <c r="P266" s="24"/>
      <c r="Q266" s="24"/>
      <c r="R266" s="24"/>
      <c r="S266" s="24"/>
      <c r="T266" s="24"/>
      <c r="U266" s="24"/>
      <c r="V266" s="24"/>
      <c r="W266" s="24"/>
      <c r="X266" s="24"/>
    </row>
    <row r="267" ht="15.75" customHeight="1">
      <c r="G267" s="24"/>
      <c r="H267" s="24"/>
      <c r="I267" s="24"/>
      <c r="J267" s="24"/>
      <c r="L267" s="24"/>
      <c r="M267" s="24"/>
      <c r="N267" s="24"/>
      <c r="O267" s="24"/>
      <c r="P267" s="24"/>
      <c r="Q267" s="24"/>
      <c r="R267" s="24"/>
      <c r="S267" s="24"/>
      <c r="T267" s="24"/>
      <c r="U267" s="24"/>
      <c r="V267" s="24"/>
      <c r="W267" s="24"/>
      <c r="X267" s="24"/>
    </row>
    <row r="268" ht="15.75" customHeight="1">
      <c r="G268" s="24"/>
      <c r="H268" s="24"/>
      <c r="I268" s="24"/>
      <c r="J268" s="24"/>
      <c r="L268" s="24"/>
      <c r="M268" s="24"/>
      <c r="N268" s="24"/>
      <c r="O268" s="24"/>
      <c r="P268" s="24"/>
      <c r="Q268" s="24"/>
      <c r="R268" s="24"/>
      <c r="S268" s="24"/>
      <c r="T268" s="24"/>
      <c r="U268" s="24"/>
      <c r="V268" s="24"/>
      <c r="W268" s="24"/>
      <c r="X268" s="24"/>
    </row>
    <row r="269" ht="15.75" customHeight="1">
      <c r="G269" s="24"/>
      <c r="H269" s="24"/>
      <c r="I269" s="24"/>
      <c r="J269" s="24"/>
      <c r="L269" s="24"/>
      <c r="M269" s="24"/>
      <c r="N269" s="24"/>
      <c r="O269" s="24"/>
      <c r="P269" s="24"/>
      <c r="Q269" s="24"/>
      <c r="R269" s="24"/>
      <c r="S269" s="24"/>
      <c r="T269" s="24"/>
      <c r="U269" s="24"/>
      <c r="V269" s="24"/>
      <c r="W269" s="24"/>
      <c r="X269" s="24"/>
    </row>
    <row r="270" ht="15.75" customHeight="1">
      <c r="G270" s="24"/>
      <c r="H270" s="24"/>
      <c r="I270" s="24"/>
      <c r="J270" s="24"/>
      <c r="L270" s="24"/>
      <c r="M270" s="24"/>
      <c r="N270" s="24"/>
      <c r="O270" s="24"/>
      <c r="P270" s="24"/>
      <c r="Q270" s="24"/>
      <c r="R270" s="24"/>
      <c r="S270" s="24"/>
      <c r="T270" s="24"/>
      <c r="U270" s="24"/>
      <c r="V270" s="24"/>
      <c r="W270" s="24"/>
      <c r="X270" s="24"/>
    </row>
    <row r="271" ht="15.75" customHeight="1">
      <c r="G271" s="786"/>
    </row>
    <row r="272" ht="15.75" customHeight="1">
      <c r="G272" s="786"/>
    </row>
    <row r="273" ht="15.75" customHeight="1">
      <c r="G273" s="786"/>
    </row>
    <row r="274" ht="15.75" customHeight="1">
      <c r="G274" s="786"/>
    </row>
    <row r="275" ht="15.75" customHeight="1">
      <c r="G275" s="786"/>
    </row>
    <row r="276" ht="15.75" customHeight="1">
      <c r="G276" s="786"/>
    </row>
    <row r="277" ht="15.75" customHeight="1">
      <c r="G277" s="786"/>
    </row>
    <row r="278" ht="15.75" customHeight="1">
      <c r="G278" s="786"/>
    </row>
    <row r="279" ht="15.75" customHeight="1">
      <c r="G279" s="786"/>
    </row>
    <row r="280" ht="15.75" customHeight="1">
      <c r="G280" s="786"/>
    </row>
    <row r="281" ht="15.75" customHeight="1">
      <c r="G281" s="786"/>
    </row>
    <row r="282" ht="15.75" customHeight="1">
      <c r="G282" s="786"/>
    </row>
    <row r="283" ht="15.75" customHeight="1">
      <c r="G283" s="786"/>
    </row>
    <row r="284" ht="15.75" customHeight="1">
      <c r="G284" s="786"/>
    </row>
    <row r="285" ht="15.75" customHeight="1">
      <c r="G285" s="786"/>
    </row>
    <row r="286" ht="15.75" customHeight="1">
      <c r="G286" s="786"/>
    </row>
    <row r="287" ht="15.75" customHeight="1">
      <c r="G287" s="786"/>
    </row>
    <row r="288" ht="15.75" customHeight="1">
      <c r="G288" s="786"/>
    </row>
    <row r="289" ht="15.75" customHeight="1">
      <c r="G289" s="786"/>
    </row>
    <row r="290" ht="15.75" customHeight="1">
      <c r="G290" s="786"/>
    </row>
    <row r="291" ht="15.75" customHeight="1">
      <c r="G291" s="786"/>
    </row>
    <row r="292" ht="15.75" customHeight="1">
      <c r="G292" s="786"/>
    </row>
    <row r="293" ht="15.75" customHeight="1">
      <c r="G293" s="786"/>
    </row>
    <row r="294" ht="15.75" customHeight="1">
      <c r="G294" s="786"/>
    </row>
    <row r="295" ht="15.75" customHeight="1">
      <c r="G295" s="786"/>
    </row>
    <row r="296" ht="15.75" customHeight="1">
      <c r="G296" s="786"/>
    </row>
    <row r="297" ht="15.75" customHeight="1">
      <c r="G297" s="786"/>
    </row>
    <row r="298" ht="15.75" customHeight="1">
      <c r="G298" s="786"/>
    </row>
    <row r="299" ht="15.75" customHeight="1">
      <c r="G299" s="786"/>
    </row>
    <row r="300" ht="15.75" customHeight="1">
      <c r="G300" s="786"/>
    </row>
    <row r="301" ht="15.75" customHeight="1">
      <c r="G301" s="786"/>
    </row>
    <row r="302" ht="15.75" customHeight="1">
      <c r="G302" s="786"/>
    </row>
    <row r="303" ht="15.75" customHeight="1">
      <c r="G303" s="786"/>
    </row>
    <row r="304" ht="15.75" customHeight="1">
      <c r="G304" s="786"/>
    </row>
    <row r="305" ht="15.75" customHeight="1">
      <c r="G305" s="786"/>
    </row>
    <row r="306" ht="15.75" customHeight="1">
      <c r="G306" s="786"/>
    </row>
    <row r="307" ht="15.75" customHeight="1">
      <c r="G307" s="786"/>
    </row>
    <row r="308" ht="15.75" customHeight="1">
      <c r="G308" s="786"/>
    </row>
    <row r="309" ht="15.75" customHeight="1">
      <c r="G309" s="786"/>
    </row>
    <row r="310" ht="15.75" customHeight="1">
      <c r="G310" s="786"/>
    </row>
    <row r="311" ht="15.75" customHeight="1">
      <c r="G311" s="786"/>
    </row>
    <row r="312" ht="15.75" customHeight="1">
      <c r="G312" s="786"/>
    </row>
    <row r="313" ht="15.75" customHeight="1">
      <c r="G313" s="786"/>
    </row>
    <row r="314" ht="15.75" customHeight="1">
      <c r="G314" s="786"/>
    </row>
    <row r="315" ht="15.75" customHeight="1">
      <c r="G315" s="786"/>
    </row>
    <row r="316" ht="15.75" customHeight="1">
      <c r="G316" s="786"/>
    </row>
    <row r="317" ht="15.75" customHeight="1">
      <c r="G317" s="786"/>
    </row>
    <row r="318" ht="15.75" customHeight="1">
      <c r="G318" s="786"/>
    </row>
    <row r="319" ht="15.75" customHeight="1">
      <c r="G319" s="786"/>
    </row>
    <row r="320" ht="15.75" customHeight="1">
      <c r="G320" s="786"/>
    </row>
    <row r="321" ht="15.75" customHeight="1">
      <c r="G321" s="786"/>
    </row>
    <row r="322" ht="15.75" customHeight="1">
      <c r="G322" s="786"/>
    </row>
    <row r="323" ht="15.75" customHeight="1">
      <c r="G323" s="786"/>
    </row>
    <row r="324" ht="15.75" customHeight="1">
      <c r="G324" s="786"/>
    </row>
    <row r="325" ht="15.75" customHeight="1">
      <c r="G325" s="786"/>
    </row>
    <row r="326" ht="15.75" customHeight="1">
      <c r="G326" s="786"/>
    </row>
    <row r="327" ht="15.75" customHeight="1">
      <c r="G327" s="786"/>
    </row>
    <row r="328" ht="15.75" customHeight="1">
      <c r="G328" s="786"/>
    </row>
    <row r="329" ht="15.75" customHeight="1">
      <c r="G329" s="786"/>
    </row>
    <row r="330" ht="15.75" customHeight="1">
      <c r="G330" s="786"/>
    </row>
    <row r="331" ht="15.75" customHeight="1">
      <c r="G331" s="786"/>
    </row>
    <row r="332" ht="15.75" customHeight="1">
      <c r="G332" s="786"/>
    </row>
    <row r="333" ht="15.75" customHeight="1">
      <c r="G333" s="786"/>
    </row>
    <row r="334" ht="15.75" customHeight="1">
      <c r="G334" s="786"/>
    </row>
    <row r="335" ht="15.75" customHeight="1">
      <c r="G335" s="786"/>
    </row>
    <row r="336" ht="15.75" customHeight="1">
      <c r="G336" s="786"/>
    </row>
    <row r="337" ht="15.75" customHeight="1">
      <c r="G337" s="786"/>
    </row>
    <row r="338" ht="15.75" customHeight="1">
      <c r="G338" s="786"/>
    </row>
    <row r="339" ht="15.75" customHeight="1">
      <c r="G339" s="786"/>
    </row>
    <row r="340" ht="15.75" customHeight="1">
      <c r="G340" s="786"/>
    </row>
    <row r="341" ht="15.75" customHeight="1">
      <c r="G341" s="786"/>
    </row>
    <row r="342" ht="15.75" customHeight="1">
      <c r="G342" s="786"/>
    </row>
    <row r="343" ht="15.75" customHeight="1">
      <c r="G343" s="786"/>
    </row>
    <row r="344" ht="15.75" customHeight="1">
      <c r="G344" s="786"/>
    </row>
    <row r="345" ht="15.75" customHeight="1">
      <c r="G345" s="786"/>
    </row>
    <row r="346" ht="15.75" customHeight="1">
      <c r="G346" s="786"/>
    </row>
    <row r="347" ht="15.75" customHeight="1">
      <c r="G347" s="786"/>
    </row>
    <row r="348" ht="15.75" customHeight="1">
      <c r="G348" s="786"/>
    </row>
    <row r="349" ht="15.75" customHeight="1">
      <c r="G349" s="786"/>
    </row>
    <row r="350" ht="15.75" customHeight="1">
      <c r="G350" s="786"/>
    </row>
    <row r="351" ht="15.75" customHeight="1">
      <c r="G351" s="786"/>
    </row>
    <row r="352" ht="15.75" customHeight="1">
      <c r="G352" s="786"/>
    </row>
    <row r="353" ht="15.75" customHeight="1">
      <c r="G353" s="786"/>
    </row>
    <row r="354" ht="15.75" customHeight="1">
      <c r="G354" s="786"/>
    </row>
    <row r="355" ht="15.75" customHeight="1">
      <c r="G355" s="786"/>
    </row>
    <row r="356" ht="15.75" customHeight="1">
      <c r="G356" s="786"/>
    </row>
    <row r="357" ht="15.75" customHeight="1">
      <c r="G357" s="786"/>
    </row>
    <row r="358" ht="15.75" customHeight="1">
      <c r="G358" s="786"/>
    </row>
    <row r="359" ht="15.75" customHeight="1">
      <c r="G359" s="786"/>
    </row>
    <row r="360" ht="15.75" customHeight="1">
      <c r="G360" s="786"/>
    </row>
    <row r="361" ht="15.75" customHeight="1">
      <c r="G361" s="786"/>
    </row>
    <row r="362" ht="15.75" customHeight="1">
      <c r="G362" s="786"/>
    </row>
    <row r="363" ht="15.75" customHeight="1">
      <c r="G363" s="786"/>
    </row>
    <row r="364" ht="15.75" customHeight="1">
      <c r="G364" s="786"/>
    </row>
    <row r="365" ht="15.75" customHeight="1">
      <c r="G365" s="786"/>
    </row>
    <row r="366" ht="15.75" customHeight="1">
      <c r="G366" s="786"/>
    </row>
    <row r="367" ht="15.75" customHeight="1">
      <c r="G367" s="786"/>
    </row>
    <row r="368" ht="15.75" customHeight="1">
      <c r="G368" s="786"/>
    </row>
    <row r="369" ht="15.75" customHeight="1">
      <c r="G369" s="786"/>
    </row>
    <row r="370" ht="15.75" customHeight="1">
      <c r="G370" s="786"/>
    </row>
    <row r="371" ht="15.75" customHeight="1">
      <c r="G371" s="786"/>
    </row>
    <row r="372" ht="15.75" customHeight="1">
      <c r="G372" s="786"/>
    </row>
    <row r="373" ht="15.75" customHeight="1">
      <c r="G373" s="786"/>
    </row>
    <row r="374" ht="15.75" customHeight="1">
      <c r="G374" s="786"/>
    </row>
    <row r="375" ht="15.75" customHeight="1">
      <c r="G375" s="786"/>
    </row>
    <row r="376" ht="15.75" customHeight="1">
      <c r="G376" s="786"/>
    </row>
    <row r="377" ht="15.75" customHeight="1">
      <c r="G377" s="786"/>
    </row>
    <row r="378" ht="15.75" customHeight="1">
      <c r="G378" s="786"/>
    </row>
    <row r="379" ht="15.75" customHeight="1">
      <c r="G379" s="786"/>
    </row>
    <row r="380" ht="15.75" customHeight="1">
      <c r="G380" s="786"/>
    </row>
    <row r="381" ht="15.75" customHeight="1">
      <c r="G381" s="786"/>
    </row>
    <row r="382" ht="15.75" customHeight="1">
      <c r="G382" s="786"/>
    </row>
    <row r="383" ht="15.75" customHeight="1">
      <c r="G383" s="786"/>
    </row>
    <row r="384" ht="15.75" customHeight="1">
      <c r="G384" s="786"/>
    </row>
    <row r="385" ht="15.75" customHeight="1">
      <c r="G385" s="786"/>
    </row>
    <row r="386" ht="15.75" customHeight="1">
      <c r="G386" s="786"/>
    </row>
    <row r="387" ht="15.75" customHeight="1">
      <c r="G387" s="786"/>
    </row>
    <row r="388" ht="15.75" customHeight="1">
      <c r="G388" s="786"/>
    </row>
    <row r="389" ht="15.75" customHeight="1">
      <c r="G389" s="786"/>
    </row>
    <row r="390" ht="15.75" customHeight="1">
      <c r="G390" s="786"/>
    </row>
    <row r="391" ht="15.75" customHeight="1">
      <c r="G391" s="786"/>
    </row>
    <row r="392" ht="15.75" customHeight="1">
      <c r="G392" s="786"/>
    </row>
    <row r="393" ht="15.75" customHeight="1">
      <c r="G393" s="786"/>
    </row>
    <row r="394" ht="15.75" customHeight="1">
      <c r="G394" s="786"/>
    </row>
    <row r="395" ht="15.75" customHeight="1">
      <c r="G395" s="786"/>
    </row>
    <row r="396" ht="15.75" customHeight="1">
      <c r="G396" s="786"/>
    </row>
    <row r="397" ht="15.75" customHeight="1">
      <c r="G397" s="786"/>
    </row>
    <row r="398" ht="15.75" customHeight="1">
      <c r="G398" s="786"/>
    </row>
    <row r="399" ht="15.75" customHeight="1">
      <c r="G399" s="786"/>
    </row>
    <row r="400" ht="15.75" customHeight="1">
      <c r="G400" s="786"/>
    </row>
    <row r="401" ht="15.75" customHeight="1">
      <c r="G401" s="786"/>
    </row>
    <row r="402" ht="15.75" customHeight="1">
      <c r="G402" s="786"/>
    </row>
    <row r="403" ht="15.75" customHeight="1">
      <c r="G403" s="786"/>
    </row>
    <row r="404" ht="15.75" customHeight="1">
      <c r="G404" s="786"/>
    </row>
    <row r="405" ht="15.75" customHeight="1">
      <c r="G405" s="786"/>
    </row>
    <row r="406" ht="15.75" customHeight="1">
      <c r="G406" s="786"/>
    </row>
    <row r="407" ht="15.75" customHeight="1">
      <c r="G407" s="786"/>
    </row>
    <row r="408" ht="15.75" customHeight="1">
      <c r="G408" s="786"/>
    </row>
    <row r="409" ht="15.75" customHeight="1">
      <c r="G409" s="786"/>
    </row>
    <row r="410" ht="15.75" customHeight="1">
      <c r="G410" s="786"/>
    </row>
    <row r="411" ht="15.75" customHeight="1">
      <c r="G411" s="786"/>
    </row>
    <row r="412" ht="15.75" customHeight="1">
      <c r="G412" s="786"/>
    </row>
    <row r="413" ht="15.75" customHeight="1">
      <c r="G413" s="786"/>
    </row>
    <row r="414" ht="15.75" customHeight="1">
      <c r="G414" s="786"/>
    </row>
    <row r="415" ht="15.75" customHeight="1">
      <c r="G415" s="786"/>
    </row>
    <row r="416" ht="15.75" customHeight="1">
      <c r="G416" s="786"/>
    </row>
    <row r="417" ht="15.75" customHeight="1">
      <c r="G417" s="786"/>
    </row>
    <row r="418" ht="15.75" customHeight="1">
      <c r="G418" s="786"/>
    </row>
    <row r="419" ht="15.75" customHeight="1">
      <c r="G419" s="786"/>
    </row>
    <row r="420" ht="15.75" customHeight="1">
      <c r="G420" s="786"/>
    </row>
    <row r="421" ht="15.75" customHeight="1">
      <c r="G421" s="786"/>
    </row>
    <row r="422" ht="15.75" customHeight="1">
      <c r="G422" s="786"/>
    </row>
    <row r="423" ht="15.75" customHeight="1">
      <c r="G423" s="786"/>
    </row>
    <row r="424" ht="15.75" customHeight="1">
      <c r="G424" s="786"/>
    </row>
    <row r="425" ht="15.75" customHeight="1">
      <c r="G425" s="786"/>
    </row>
    <row r="426" ht="15.75" customHeight="1">
      <c r="G426" s="786"/>
    </row>
    <row r="427" ht="15.75" customHeight="1">
      <c r="G427" s="786"/>
    </row>
    <row r="428" ht="15.75" customHeight="1">
      <c r="G428" s="786"/>
    </row>
    <row r="429" ht="15.75" customHeight="1">
      <c r="G429" s="786"/>
    </row>
    <row r="430" ht="15.75" customHeight="1">
      <c r="G430" s="786"/>
    </row>
    <row r="431" ht="15.75" customHeight="1">
      <c r="G431" s="786"/>
    </row>
    <row r="432" ht="15.75" customHeight="1">
      <c r="G432" s="786"/>
    </row>
    <row r="433" ht="15.75" customHeight="1">
      <c r="G433" s="786"/>
    </row>
    <row r="434" ht="15.75" customHeight="1">
      <c r="G434" s="786"/>
    </row>
    <row r="435" ht="15.75" customHeight="1">
      <c r="G435" s="786"/>
    </row>
    <row r="436" ht="15.75" customHeight="1">
      <c r="G436" s="786"/>
    </row>
    <row r="437" ht="15.75" customHeight="1">
      <c r="G437" s="786"/>
    </row>
    <row r="438" ht="15.75" customHeight="1">
      <c r="G438" s="786"/>
    </row>
    <row r="439" ht="15.75" customHeight="1">
      <c r="G439" s="786"/>
    </row>
    <row r="440" ht="15.75" customHeight="1">
      <c r="G440" s="786"/>
    </row>
    <row r="441" ht="15.75" customHeight="1">
      <c r="G441" s="786"/>
    </row>
    <row r="442" ht="15.75" customHeight="1">
      <c r="G442" s="786"/>
    </row>
    <row r="443" ht="15.75" customHeight="1">
      <c r="G443" s="786"/>
    </row>
    <row r="444" ht="15.75" customHeight="1">
      <c r="G444" s="786"/>
    </row>
    <row r="445" ht="15.75" customHeight="1">
      <c r="G445" s="786"/>
    </row>
    <row r="446" ht="15.75" customHeight="1">
      <c r="G446" s="786"/>
    </row>
    <row r="447" ht="15.75" customHeight="1">
      <c r="G447" s="786"/>
    </row>
    <row r="448" ht="15.75" customHeight="1">
      <c r="G448" s="786"/>
    </row>
    <row r="449" ht="15.75" customHeight="1">
      <c r="G449" s="786"/>
    </row>
    <row r="450" ht="15.75" customHeight="1">
      <c r="G450" s="786"/>
    </row>
    <row r="451" ht="15.75" customHeight="1">
      <c r="G451" s="786"/>
    </row>
    <row r="452" ht="15.75" customHeight="1">
      <c r="G452" s="786"/>
    </row>
    <row r="453" ht="15.75" customHeight="1">
      <c r="G453" s="786"/>
    </row>
    <row r="454" ht="15.75" customHeight="1">
      <c r="G454" s="786"/>
    </row>
    <row r="455" ht="15.75" customHeight="1">
      <c r="G455" s="786"/>
    </row>
    <row r="456" ht="15.75" customHeight="1">
      <c r="G456" s="786"/>
    </row>
    <row r="457" ht="15.75" customHeight="1">
      <c r="G457" s="786"/>
    </row>
    <row r="458" ht="15.75" customHeight="1">
      <c r="G458" s="786"/>
    </row>
    <row r="459" ht="15.75" customHeight="1">
      <c r="G459" s="786"/>
    </row>
    <row r="460" ht="15.75" customHeight="1">
      <c r="G460" s="786"/>
    </row>
    <row r="461" ht="15.75" customHeight="1">
      <c r="G461" s="786"/>
    </row>
    <row r="462" ht="15.75" customHeight="1">
      <c r="G462" s="786"/>
    </row>
    <row r="463" ht="15.75" customHeight="1">
      <c r="G463" s="786"/>
    </row>
    <row r="464" ht="15.75" customHeight="1">
      <c r="G464" s="786"/>
    </row>
    <row r="465" ht="15.75" customHeight="1">
      <c r="G465" s="786"/>
    </row>
    <row r="466" ht="15.75" customHeight="1">
      <c r="G466" s="786"/>
    </row>
    <row r="467" ht="15.75" customHeight="1">
      <c r="G467" s="786"/>
    </row>
    <row r="468" ht="15.75" customHeight="1">
      <c r="G468" s="786"/>
    </row>
    <row r="469" ht="15.75" customHeight="1">
      <c r="G469" s="786"/>
    </row>
    <row r="470" ht="15.75" customHeight="1">
      <c r="G470" s="786"/>
    </row>
    <row r="471" ht="15.75" customHeight="1">
      <c r="G471" s="786"/>
    </row>
    <row r="472" ht="15.75" customHeight="1">
      <c r="G472" s="786"/>
    </row>
    <row r="473" ht="15.75" customHeight="1">
      <c r="G473" s="786"/>
    </row>
    <row r="474" ht="15.75" customHeight="1">
      <c r="G474" s="786"/>
    </row>
    <row r="475" ht="15.75" customHeight="1">
      <c r="G475" s="786"/>
    </row>
    <row r="476" ht="15.75" customHeight="1">
      <c r="G476" s="786"/>
    </row>
    <row r="477" ht="15.75" customHeight="1">
      <c r="G477" s="786"/>
    </row>
    <row r="478" ht="15.75" customHeight="1">
      <c r="G478" s="786"/>
    </row>
    <row r="479" ht="15.75" customHeight="1">
      <c r="G479" s="786"/>
    </row>
    <row r="480" ht="15.75" customHeight="1">
      <c r="G480" s="786"/>
    </row>
    <row r="481" ht="15.75" customHeight="1">
      <c r="G481" s="786"/>
    </row>
    <row r="482" ht="15.75" customHeight="1">
      <c r="G482" s="786"/>
    </row>
    <row r="483" ht="15.75" customHeight="1">
      <c r="G483" s="786"/>
    </row>
    <row r="484" ht="15.75" customHeight="1">
      <c r="G484" s="786"/>
    </row>
    <row r="485" ht="15.75" customHeight="1">
      <c r="G485" s="786"/>
    </row>
    <row r="486" ht="15.75" customHeight="1">
      <c r="G486" s="786"/>
    </row>
    <row r="487" ht="15.75" customHeight="1">
      <c r="G487" s="786"/>
    </row>
    <row r="488" ht="15.75" customHeight="1">
      <c r="G488" s="786"/>
    </row>
    <row r="489" ht="15.75" customHeight="1">
      <c r="G489" s="786"/>
    </row>
    <row r="490" ht="15.75" customHeight="1">
      <c r="G490" s="786"/>
    </row>
    <row r="491" ht="15.75" customHeight="1">
      <c r="G491" s="786"/>
    </row>
    <row r="492" ht="15.75" customHeight="1">
      <c r="G492" s="786"/>
    </row>
    <row r="493" ht="15.75" customHeight="1">
      <c r="G493" s="786"/>
    </row>
    <row r="494" ht="15.75" customHeight="1">
      <c r="G494" s="786"/>
    </row>
    <row r="495" ht="15.75" customHeight="1">
      <c r="G495" s="786"/>
    </row>
    <row r="496" ht="15.75" customHeight="1">
      <c r="G496" s="786"/>
    </row>
    <row r="497" ht="15.75" customHeight="1">
      <c r="G497" s="786"/>
    </row>
    <row r="498" ht="15.75" customHeight="1">
      <c r="G498" s="786"/>
    </row>
    <row r="499" ht="15.75" customHeight="1">
      <c r="G499" s="786"/>
    </row>
    <row r="500" ht="15.75" customHeight="1">
      <c r="G500" s="786"/>
    </row>
    <row r="501" ht="15.75" customHeight="1">
      <c r="G501" s="786"/>
    </row>
    <row r="502" ht="15.75" customHeight="1">
      <c r="G502" s="786"/>
    </row>
    <row r="503" ht="15.75" customHeight="1">
      <c r="G503" s="786"/>
    </row>
    <row r="504" ht="15.75" customHeight="1">
      <c r="G504" s="786"/>
    </row>
    <row r="505" ht="15.75" customHeight="1">
      <c r="G505" s="786"/>
    </row>
    <row r="506" ht="15.75" customHeight="1">
      <c r="G506" s="786"/>
    </row>
    <row r="507" ht="15.75" customHeight="1">
      <c r="G507" s="786"/>
    </row>
    <row r="508" ht="15.75" customHeight="1">
      <c r="G508" s="786"/>
    </row>
    <row r="509" ht="15.75" customHeight="1">
      <c r="G509" s="786"/>
    </row>
    <row r="510" ht="15.75" customHeight="1">
      <c r="G510" s="786"/>
    </row>
    <row r="511" ht="15.75" customHeight="1">
      <c r="G511" s="786"/>
    </row>
    <row r="512" ht="15.75" customHeight="1">
      <c r="G512" s="786"/>
    </row>
    <row r="513" ht="15.75" customHeight="1">
      <c r="G513" s="786"/>
    </row>
    <row r="514" ht="15.75" customHeight="1">
      <c r="G514" s="786"/>
    </row>
    <row r="515" ht="15.75" customHeight="1">
      <c r="G515" s="786"/>
    </row>
    <row r="516" ht="15.75" customHeight="1">
      <c r="G516" s="786"/>
    </row>
    <row r="517" ht="15.75" customHeight="1">
      <c r="G517" s="786"/>
    </row>
    <row r="518" ht="15.75" customHeight="1">
      <c r="G518" s="786"/>
    </row>
    <row r="519" ht="15.75" customHeight="1">
      <c r="G519" s="786"/>
    </row>
    <row r="520" ht="15.75" customHeight="1">
      <c r="G520" s="786"/>
    </row>
    <row r="521" ht="15.75" customHeight="1">
      <c r="G521" s="786"/>
    </row>
    <row r="522" ht="15.75" customHeight="1">
      <c r="G522" s="786"/>
    </row>
    <row r="523" ht="15.75" customHeight="1">
      <c r="G523" s="786"/>
    </row>
    <row r="524" ht="15.75" customHeight="1">
      <c r="G524" s="786"/>
    </row>
    <row r="525" ht="15.75" customHeight="1">
      <c r="G525" s="786"/>
    </row>
    <row r="526" ht="15.75" customHeight="1">
      <c r="G526" s="786"/>
    </row>
    <row r="527" ht="15.75" customHeight="1">
      <c r="G527" s="786"/>
    </row>
    <row r="528" ht="15.75" customHeight="1">
      <c r="G528" s="786"/>
    </row>
    <row r="529" ht="15.75" customHeight="1">
      <c r="G529" s="786"/>
    </row>
    <row r="530" ht="15.75" customHeight="1">
      <c r="G530" s="786"/>
    </row>
    <row r="531" ht="15.75" customHeight="1">
      <c r="G531" s="786"/>
    </row>
    <row r="532" ht="15.75" customHeight="1">
      <c r="G532" s="786"/>
    </row>
    <row r="533" ht="15.75" customHeight="1">
      <c r="G533" s="786"/>
    </row>
    <row r="534" ht="15.75" customHeight="1">
      <c r="G534" s="786"/>
    </row>
    <row r="535" ht="15.75" customHeight="1">
      <c r="G535" s="786"/>
    </row>
    <row r="536" ht="15.75" customHeight="1">
      <c r="G536" s="786"/>
    </row>
    <row r="537" ht="15.75" customHeight="1">
      <c r="G537" s="786"/>
    </row>
    <row r="538" ht="15.75" customHeight="1">
      <c r="G538" s="786"/>
    </row>
    <row r="539" ht="15.75" customHeight="1">
      <c r="G539" s="786"/>
    </row>
    <row r="540" ht="15.75" customHeight="1">
      <c r="G540" s="786"/>
    </row>
    <row r="541" ht="15.75" customHeight="1">
      <c r="G541" s="786"/>
    </row>
    <row r="542" ht="15.75" customHeight="1">
      <c r="G542" s="786"/>
    </row>
    <row r="543" ht="15.75" customHeight="1">
      <c r="G543" s="786"/>
    </row>
    <row r="544" ht="15.75" customHeight="1">
      <c r="G544" s="786"/>
    </row>
    <row r="545" ht="15.75" customHeight="1">
      <c r="G545" s="786"/>
    </row>
    <row r="546" ht="15.75" customHeight="1">
      <c r="G546" s="786"/>
    </row>
    <row r="547" ht="15.75" customHeight="1">
      <c r="G547" s="786"/>
    </row>
    <row r="548" ht="15.75" customHeight="1">
      <c r="G548" s="786"/>
    </row>
    <row r="549" ht="15.75" customHeight="1">
      <c r="G549" s="786"/>
    </row>
    <row r="550" ht="15.75" customHeight="1">
      <c r="G550" s="786"/>
    </row>
    <row r="551" ht="15.75" customHeight="1">
      <c r="G551" s="786"/>
    </row>
    <row r="552" ht="15.75" customHeight="1">
      <c r="G552" s="786"/>
    </row>
    <row r="553" ht="15.75" customHeight="1">
      <c r="G553" s="786"/>
    </row>
    <row r="554" ht="15.75" customHeight="1">
      <c r="G554" s="786"/>
    </row>
    <row r="555" ht="15.75" customHeight="1">
      <c r="G555" s="786"/>
    </row>
    <row r="556" ht="15.75" customHeight="1">
      <c r="G556" s="786"/>
    </row>
    <row r="557" ht="15.75" customHeight="1">
      <c r="G557" s="786"/>
    </row>
    <row r="558" ht="15.75" customHeight="1">
      <c r="G558" s="786"/>
    </row>
    <row r="559" ht="15.75" customHeight="1">
      <c r="G559" s="786"/>
    </row>
    <row r="560" ht="15.75" customHeight="1">
      <c r="G560" s="786"/>
    </row>
    <row r="561" ht="15.75" customHeight="1">
      <c r="G561" s="786"/>
    </row>
    <row r="562" ht="15.75" customHeight="1">
      <c r="G562" s="786"/>
    </row>
    <row r="563" ht="15.75" customHeight="1">
      <c r="G563" s="786"/>
    </row>
    <row r="564" ht="15.75" customHeight="1">
      <c r="G564" s="786"/>
    </row>
    <row r="565" ht="15.75" customHeight="1">
      <c r="G565" s="786"/>
    </row>
    <row r="566" ht="15.75" customHeight="1">
      <c r="G566" s="786"/>
    </row>
    <row r="567" ht="15.75" customHeight="1">
      <c r="G567" s="786"/>
    </row>
    <row r="568" ht="15.75" customHeight="1">
      <c r="G568" s="786"/>
    </row>
    <row r="569" ht="15.75" customHeight="1">
      <c r="G569" s="786"/>
    </row>
    <row r="570" ht="15.75" customHeight="1">
      <c r="G570" s="786"/>
    </row>
    <row r="571" ht="15.75" customHeight="1">
      <c r="G571" s="786"/>
    </row>
    <row r="572" ht="15.75" customHeight="1">
      <c r="G572" s="786"/>
    </row>
    <row r="573" ht="15.75" customHeight="1">
      <c r="G573" s="786"/>
    </row>
    <row r="574" ht="15.75" customHeight="1">
      <c r="G574" s="786"/>
    </row>
    <row r="575" ht="15.75" customHeight="1">
      <c r="G575" s="786"/>
    </row>
    <row r="576" ht="15.75" customHeight="1">
      <c r="G576" s="786"/>
    </row>
    <row r="577" ht="15.75" customHeight="1">
      <c r="G577" s="786"/>
    </row>
    <row r="578" ht="15.75" customHeight="1">
      <c r="G578" s="786"/>
    </row>
    <row r="579" ht="15.75" customHeight="1">
      <c r="G579" s="786"/>
    </row>
    <row r="580" ht="15.75" customHeight="1">
      <c r="G580" s="786"/>
    </row>
    <row r="581" ht="15.75" customHeight="1">
      <c r="G581" s="786"/>
    </row>
    <row r="582" ht="15.75" customHeight="1">
      <c r="G582" s="786"/>
    </row>
    <row r="583" ht="15.75" customHeight="1">
      <c r="G583" s="786"/>
    </row>
    <row r="584" ht="15.75" customHeight="1">
      <c r="G584" s="786"/>
    </row>
    <row r="585" ht="15.75" customHeight="1">
      <c r="G585" s="786"/>
    </row>
    <row r="586" ht="15.75" customHeight="1">
      <c r="G586" s="786"/>
    </row>
    <row r="587" ht="15.75" customHeight="1">
      <c r="G587" s="786"/>
    </row>
    <row r="588" ht="15.75" customHeight="1">
      <c r="G588" s="786"/>
    </row>
    <row r="589" ht="15.75" customHeight="1">
      <c r="G589" s="786"/>
    </row>
    <row r="590" ht="15.75" customHeight="1">
      <c r="G590" s="786"/>
    </row>
    <row r="591" ht="15.75" customHeight="1">
      <c r="G591" s="786"/>
    </row>
    <row r="592" ht="15.75" customHeight="1">
      <c r="G592" s="786"/>
    </row>
    <row r="593" ht="15.75" customHeight="1">
      <c r="G593" s="786"/>
    </row>
    <row r="594" ht="15.75" customHeight="1">
      <c r="G594" s="786"/>
    </row>
    <row r="595" ht="15.75" customHeight="1">
      <c r="G595" s="786"/>
    </row>
    <row r="596" ht="15.75" customHeight="1">
      <c r="G596" s="786"/>
    </row>
    <row r="597" ht="15.75" customHeight="1">
      <c r="G597" s="786"/>
    </row>
    <row r="598" ht="15.75" customHeight="1">
      <c r="G598" s="786"/>
    </row>
    <row r="599" ht="15.75" customHeight="1">
      <c r="G599" s="786"/>
    </row>
    <row r="600" ht="15.75" customHeight="1">
      <c r="G600" s="786"/>
    </row>
    <row r="601" ht="15.75" customHeight="1">
      <c r="G601" s="786"/>
    </row>
    <row r="602" ht="15.75" customHeight="1">
      <c r="G602" s="786"/>
    </row>
    <row r="603" ht="15.75" customHeight="1">
      <c r="G603" s="786"/>
    </row>
    <row r="604" ht="15.75" customHeight="1">
      <c r="G604" s="786"/>
    </row>
    <row r="605" ht="15.75" customHeight="1">
      <c r="G605" s="786"/>
    </row>
    <row r="606" ht="15.75" customHeight="1">
      <c r="G606" s="786"/>
    </row>
    <row r="607" ht="15.75" customHeight="1">
      <c r="G607" s="786"/>
    </row>
    <row r="608" ht="15.75" customHeight="1">
      <c r="G608" s="786"/>
    </row>
    <row r="609" ht="15.75" customHeight="1">
      <c r="G609" s="786"/>
    </row>
    <row r="610" ht="15.75" customHeight="1">
      <c r="G610" s="786"/>
    </row>
    <row r="611" ht="15.75" customHeight="1">
      <c r="G611" s="786"/>
    </row>
    <row r="612" ht="15.75" customHeight="1">
      <c r="G612" s="786"/>
    </row>
    <row r="613" ht="15.75" customHeight="1">
      <c r="G613" s="786"/>
    </row>
    <row r="614" ht="15.75" customHeight="1">
      <c r="G614" s="786"/>
    </row>
    <row r="615" ht="15.75" customHeight="1">
      <c r="G615" s="786"/>
    </row>
    <row r="616" ht="15.75" customHeight="1">
      <c r="G616" s="786"/>
    </row>
    <row r="617" ht="15.75" customHeight="1">
      <c r="G617" s="786"/>
    </row>
    <row r="618" ht="15.75" customHeight="1">
      <c r="G618" s="786"/>
    </row>
    <row r="619" ht="15.75" customHeight="1">
      <c r="G619" s="786"/>
    </row>
    <row r="620" ht="15.75" customHeight="1">
      <c r="G620" s="786"/>
    </row>
    <row r="621" ht="15.75" customHeight="1">
      <c r="G621" s="786"/>
    </row>
    <row r="622" ht="15.75" customHeight="1">
      <c r="G622" s="786"/>
    </row>
    <row r="623" ht="15.75" customHeight="1">
      <c r="G623" s="786"/>
    </row>
    <row r="624" ht="15.75" customHeight="1">
      <c r="G624" s="786"/>
    </row>
    <row r="625" ht="15.75" customHeight="1">
      <c r="G625" s="786"/>
    </row>
    <row r="626" ht="15.75" customHeight="1">
      <c r="G626" s="786"/>
    </row>
    <row r="627" ht="15.75" customHeight="1">
      <c r="G627" s="786"/>
    </row>
    <row r="628" ht="15.75" customHeight="1">
      <c r="G628" s="786"/>
    </row>
    <row r="629" ht="15.75" customHeight="1">
      <c r="G629" s="786"/>
    </row>
    <row r="630" ht="15.75" customHeight="1">
      <c r="G630" s="786"/>
    </row>
    <row r="631" ht="15.75" customHeight="1">
      <c r="G631" s="786"/>
    </row>
    <row r="632" ht="15.75" customHeight="1">
      <c r="G632" s="786"/>
    </row>
    <row r="633" ht="15.75" customHeight="1">
      <c r="G633" s="786"/>
    </row>
    <row r="634" ht="15.75" customHeight="1">
      <c r="G634" s="786"/>
    </row>
    <row r="635" ht="15.75" customHeight="1">
      <c r="G635" s="786"/>
    </row>
    <row r="636" ht="15.75" customHeight="1">
      <c r="G636" s="786"/>
    </row>
    <row r="637" ht="15.75" customHeight="1">
      <c r="G637" s="786"/>
    </row>
    <row r="638" ht="15.75" customHeight="1">
      <c r="G638" s="786"/>
    </row>
    <row r="639" ht="15.75" customHeight="1">
      <c r="G639" s="786"/>
    </row>
    <row r="640" ht="15.75" customHeight="1">
      <c r="G640" s="786"/>
    </row>
    <row r="641" ht="15.75" customHeight="1">
      <c r="G641" s="786"/>
    </row>
    <row r="642" ht="15.75" customHeight="1">
      <c r="G642" s="786"/>
    </row>
    <row r="643" ht="15.75" customHeight="1">
      <c r="G643" s="786"/>
    </row>
    <row r="644" ht="15.75" customHeight="1">
      <c r="G644" s="786"/>
    </row>
    <row r="645" ht="15.75" customHeight="1">
      <c r="G645" s="786"/>
    </row>
    <row r="646" ht="15.75" customHeight="1">
      <c r="G646" s="786"/>
    </row>
    <row r="647" ht="15.75" customHeight="1">
      <c r="G647" s="786"/>
    </row>
    <row r="648" ht="15.75" customHeight="1">
      <c r="G648" s="786"/>
    </row>
    <row r="649" ht="15.75" customHeight="1">
      <c r="G649" s="786"/>
    </row>
    <row r="650" ht="15.75" customHeight="1">
      <c r="G650" s="786"/>
    </row>
    <row r="651" ht="15.75" customHeight="1">
      <c r="G651" s="786"/>
    </row>
    <row r="652" ht="15.75" customHeight="1">
      <c r="G652" s="786"/>
    </row>
    <row r="653" ht="15.75" customHeight="1">
      <c r="G653" s="786"/>
    </row>
    <row r="654" ht="15.75" customHeight="1">
      <c r="G654" s="786"/>
    </row>
    <row r="655" ht="15.75" customHeight="1">
      <c r="G655" s="786"/>
    </row>
    <row r="656" ht="15.75" customHeight="1">
      <c r="G656" s="786"/>
    </row>
    <row r="657" ht="15.75" customHeight="1">
      <c r="G657" s="786"/>
    </row>
    <row r="658" ht="15.75" customHeight="1">
      <c r="G658" s="786"/>
    </row>
    <row r="659" ht="15.75" customHeight="1">
      <c r="G659" s="786"/>
    </row>
    <row r="660" ht="15.75" customHeight="1">
      <c r="G660" s="786"/>
    </row>
    <row r="661" ht="15.75" customHeight="1">
      <c r="G661" s="786"/>
    </row>
    <row r="662" ht="15.75" customHeight="1">
      <c r="G662" s="786"/>
    </row>
    <row r="663" ht="15.75" customHeight="1">
      <c r="G663" s="786"/>
    </row>
    <row r="664" ht="15.75" customHeight="1">
      <c r="G664" s="786"/>
    </row>
    <row r="665" ht="15.75" customHeight="1">
      <c r="G665" s="786"/>
    </row>
    <row r="666" ht="15.75" customHeight="1">
      <c r="G666" s="786"/>
    </row>
    <row r="667" ht="15.75" customHeight="1">
      <c r="G667" s="786"/>
    </row>
    <row r="668" ht="15.75" customHeight="1">
      <c r="G668" s="786"/>
    </row>
    <row r="669" ht="15.75" customHeight="1">
      <c r="G669" s="786"/>
    </row>
    <row r="670" ht="15.75" customHeight="1">
      <c r="G670" s="786"/>
    </row>
    <row r="671" ht="15.75" customHeight="1">
      <c r="G671" s="786"/>
    </row>
    <row r="672" ht="15.75" customHeight="1">
      <c r="G672" s="786"/>
    </row>
    <row r="673" ht="15.75" customHeight="1">
      <c r="G673" s="786"/>
    </row>
    <row r="674" ht="15.75" customHeight="1">
      <c r="G674" s="786"/>
    </row>
    <row r="675" ht="15.75" customHeight="1">
      <c r="G675" s="786"/>
    </row>
    <row r="676" ht="15.75" customHeight="1">
      <c r="G676" s="786"/>
    </row>
    <row r="677" ht="15.75" customHeight="1">
      <c r="G677" s="786"/>
    </row>
    <row r="678" ht="15.75" customHeight="1">
      <c r="G678" s="786"/>
    </row>
    <row r="679" ht="15.75" customHeight="1">
      <c r="G679" s="786"/>
    </row>
    <row r="680" ht="15.75" customHeight="1">
      <c r="G680" s="786"/>
    </row>
    <row r="681" ht="15.75" customHeight="1">
      <c r="G681" s="786"/>
    </row>
    <row r="682" ht="15.75" customHeight="1">
      <c r="G682" s="786"/>
    </row>
    <row r="683" ht="15.75" customHeight="1">
      <c r="G683" s="786"/>
    </row>
    <row r="684" ht="15.75" customHeight="1">
      <c r="G684" s="786"/>
    </row>
    <row r="685" ht="15.75" customHeight="1">
      <c r="G685" s="786"/>
    </row>
    <row r="686" ht="15.75" customHeight="1">
      <c r="G686" s="786"/>
    </row>
    <row r="687" ht="15.75" customHeight="1">
      <c r="G687" s="786"/>
    </row>
    <row r="688" ht="15.75" customHeight="1">
      <c r="G688" s="786"/>
    </row>
    <row r="689" ht="15.75" customHeight="1">
      <c r="G689" s="786"/>
    </row>
    <row r="690" ht="15.75" customHeight="1">
      <c r="G690" s="786"/>
    </row>
    <row r="691" ht="15.75" customHeight="1">
      <c r="G691" s="786"/>
    </row>
    <row r="692" ht="15.75" customHeight="1">
      <c r="G692" s="786"/>
    </row>
    <row r="693" ht="15.75" customHeight="1">
      <c r="G693" s="786"/>
    </row>
    <row r="694" ht="15.75" customHeight="1">
      <c r="G694" s="786"/>
    </row>
    <row r="695" ht="15.75" customHeight="1">
      <c r="G695" s="786"/>
    </row>
    <row r="696" ht="15.75" customHeight="1">
      <c r="G696" s="786"/>
    </row>
    <row r="697" ht="15.75" customHeight="1">
      <c r="G697" s="786"/>
    </row>
    <row r="698" ht="15.75" customHeight="1">
      <c r="G698" s="786"/>
    </row>
    <row r="699" ht="15.75" customHeight="1">
      <c r="G699" s="786"/>
    </row>
    <row r="700" ht="15.75" customHeight="1">
      <c r="G700" s="786"/>
    </row>
    <row r="701" ht="15.75" customHeight="1">
      <c r="G701" s="786"/>
    </row>
    <row r="702" ht="15.75" customHeight="1">
      <c r="G702" s="786"/>
    </row>
    <row r="703" ht="15.75" customHeight="1">
      <c r="G703" s="786"/>
    </row>
    <row r="704" ht="15.75" customHeight="1">
      <c r="G704" s="786"/>
    </row>
    <row r="705" ht="15.75" customHeight="1">
      <c r="G705" s="786"/>
    </row>
    <row r="706" ht="15.75" customHeight="1">
      <c r="G706" s="786"/>
    </row>
    <row r="707" ht="15.75" customHeight="1">
      <c r="G707" s="786"/>
    </row>
    <row r="708" ht="15.75" customHeight="1">
      <c r="G708" s="786"/>
    </row>
    <row r="709" ht="15.75" customHeight="1">
      <c r="G709" s="786"/>
    </row>
    <row r="710" ht="15.75" customHeight="1">
      <c r="G710" s="786"/>
    </row>
    <row r="711" ht="15.75" customHeight="1">
      <c r="G711" s="786"/>
    </row>
    <row r="712" ht="15.75" customHeight="1">
      <c r="G712" s="786"/>
    </row>
    <row r="713" ht="15.75" customHeight="1">
      <c r="G713" s="786"/>
    </row>
    <row r="714" ht="15.75" customHeight="1">
      <c r="G714" s="786"/>
    </row>
    <row r="715" ht="15.75" customHeight="1">
      <c r="G715" s="786"/>
    </row>
    <row r="716" ht="15.75" customHeight="1">
      <c r="G716" s="786"/>
    </row>
    <row r="717" ht="15.75" customHeight="1">
      <c r="G717" s="786"/>
    </row>
    <row r="718" ht="15.75" customHeight="1">
      <c r="G718" s="786"/>
    </row>
    <row r="719" ht="15.75" customHeight="1">
      <c r="G719" s="786"/>
    </row>
    <row r="720" ht="15.75" customHeight="1">
      <c r="G720" s="786"/>
    </row>
    <row r="721" ht="15.75" customHeight="1">
      <c r="G721" s="786"/>
    </row>
    <row r="722" ht="15.75" customHeight="1">
      <c r="G722" s="786"/>
    </row>
    <row r="723" ht="15.75" customHeight="1">
      <c r="G723" s="786"/>
    </row>
    <row r="724" ht="15.75" customHeight="1">
      <c r="G724" s="786"/>
    </row>
    <row r="725" ht="15.75" customHeight="1">
      <c r="G725" s="786"/>
    </row>
    <row r="726" ht="15.75" customHeight="1">
      <c r="G726" s="786"/>
    </row>
    <row r="727" ht="15.75" customHeight="1">
      <c r="G727" s="786"/>
    </row>
    <row r="728" ht="15.75" customHeight="1">
      <c r="G728" s="786"/>
    </row>
    <row r="729" ht="15.75" customHeight="1">
      <c r="G729" s="786"/>
    </row>
    <row r="730" ht="15.75" customHeight="1">
      <c r="G730" s="786"/>
    </row>
    <row r="731" ht="15.75" customHeight="1">
      <c r="G731" s="786"/>
    </row>
    <row r="732" ht="15.75" customHeight="1">
      <c r="G732" s="786"/>
    </row>
    <row r="733" ht="15.75" customHeight="1">
      <c r="G733" s="786"/>
    </row>
    <row r="734" ht="15.75" customHeight="1">
      <c r="G734" s="786"/>
    </row>
    <row r="735" ht="15.75" customHeight="1">
      <c r="G735" s="786"/>
    </row>
    <row r="736" ht="15.75" customHeight="1">
      <c r="G736" s="786"/>
    </row>
    <row r="737" ht="15.75" customHeight="1">
      <c r="G737" s="786"/>
    </row>
    <row r="738" ht="15.75" customHeight="1">
      <c r="G738" s="786"/>
    </row>
    <row r="739" ht="15.75" customHeight="1">
      <c r="G739" s="786"/>
    </row>
    <row r="740" ht="15.75" customHeight="1">
      <c r="G740" s="786"/>
    </row>
    <row r="741" ht="15.75" customHeight="1">
      <c r="G741" s="786"/>
    </row>
    <row r="742" ht="15.75" customHeight="1">
      <c r="G742" s="786"/>
    </row>
    <row r="743" ht="15.75" customHeight="1">
      <c r="G743" s="786"/>
    </row>
    <row r="744" ht="15.75" customHeight="1">
      <c r="G744" s="786"/>
    </row>
    <row r="745" ht="15.75" customHeight="1">
      <c r="G745" s="786"/>
    </row>
    <row r="746" ht="15.75" customHeight="1">
      <c r="G746" s="786"/>
    </row>
    <row r="747" ht="15.75" customHeight="1">
      <c r="G747" s="786"/>
    </row>
    <row r="748" ht="15.75" customHeight="1">
      <c r="G748" s="786"/>
    </row>
    <row r="749" ht="15.75" customHeight="1">
      <c r="G749" s="786"/>
    </row>
    <row r="750" ht="15.75" customHeight="1">
      <c r="G750" s="786"/>
    </row>
    <row r="751" ht="15.75" customHeight="1">
      <c r="G751" s="786"/>
    </row>
    <row r="752" ht="15.75" customHeight="1">
      <c r="G752" s="786"/>
    </row>
    <row r="753" ht="15.75" customHeight="1">
      <c r="G753" s="786"/>
    </row>
    <row r="754" ht="15.75" customHeight="1">
      <c r="G754" s="786"/>
    </row>
    <row r="755" ht="15.75" customHeight="1">
      <c r="G755" s="786"/>
    </row>
    <row r="756" ht="15.75" customHeight="1">
      <c r="G756" s="786"/>
    </row>
    <row r="757" ht="15.75" customHeight="1">
      <c r="G757" s="786"/>
    </row>
    <row r="758" ht="15.75" customHeight="1">
      <c r="G758" s="786"/>
    </row>
    <row r="759" ht="15.75" customHeight="1">
      <c r="G759" s="786"/>
    </row>
    <row r="760" ht="15.75" customHeight="1">
      <c r="G760" s="786"/>
    </row>
    <row r="761" ht="15.75" customHeight="1">
      <c r="G761" s="786"/>
    </row>
    <row r="762" ht="15.75" customHeight="1">
      <c r="G762" s="786"/>
    </row>
    <row r="763" ht="15.75" customHeight="1">
      <c r="G763" s="786"/>
    </row>
    <row r="764" ht="15.75" customHeight="1">
      <c r="G764" s="786"/>
    </row>
    <row r="765" ht="15.75" customHeight="1">
      <c r="G765" s="786"/>
    </row>
    <row r="766" ht="15.75" customHeight="1">
      <c r="G766" s="786"/>
    </row>
    <row r="767" ht="15.75" customHeight="1">
      <c r="G767" s="786"/>
    </row>
    <row r="768" ht="15.75" customHeight="1">
      <c r="G768" s="786"/>
    </row>
    <row r="769" ht="15.75" customHeight="1">
      <c r="G769" s="786"/>
    </row>
    <row r="770" ht="15.75" customHeight="1">
      <c r="G770" s="786"/>
    </row>
    <row r="771" ht="15.75" customHeight="1">
      <c r="G771" s="786"/>
    </row>
    <row r="772" ht="15.75" customHeight="1">
      <c r="G772" s="786"/>
    </row>
    <row r="773" ht="15.75" customHeight="1">
      <c r="G773" s="786"/>
    </row>
    <row r="774" ht="15.75" customHeight="1">
      <c r="G774" s="786"/>
    </row>
    <row r="775" ht="15.75" customHeight="1">
      <c r="G775" s="786"/>
    </row>
    <row r="776" ht="15.75" customHeight="1">
      <c r="G776" s="786"/>
    </row>
    <row r="777" ht="15.75" customHeight="1">
      <c r="G777" s="786"/>
    </row>
    <row r="778" ht="15.75" customHeight="1">
      <c r="G778" s="786"/>
    </row>
    <row r="779" ht="15.75" customHeight="1">
      <c r="G779" s="786"/>
    </row>
    <row r="780" ht="15.75" customHeight="1">
      <c r="G780" s="786"/>
    </row>
    <row r="781" ht="15.75" customHeight="1">
      <c r="G781" s="786"/>
    </row>
    <row r="782" ht="15.75" customHeight="1">
      <c r="G782" s="786"/>
    </row>
    <row r="783" ht="15.75" customHeight="1">
      <c r="G783" s="786"/>
    </row>
    <row r="784" ht="15.75" customHeight="1">
      <c r="G784" s="786"/>
    </row>
    <row r="785" ht="15.75" customHeight="1">
      <c r="G785" s="786"/>
    </row>
    <row r="786" ht="15.75" customHeight="1">
      <c r="G786" s="786"/>
    </row>
    <row r="787" ht="15.75" customHeight="1">
      <c r="G787" s="786"/>
    </row>
    <row r="788" ht="15.75" customHeight="1">
      <c r="G788" s="786"/>
    </row>
    <row r="789" ht="15.75" customHeight="1">
      <c r="G789" s="786"/>
    </row>
    <row r="790" ht="15.75" customHeight="1">
      <c r="G790" s="786"/>
    </row>
    <row r="791" ht="15.75" customHeight="1">
      <c r="G791" s="786"/>
    </row>
    <row r="792" ht="15.75" customHeight="1">
      <c r="G792" s="786"/>
    </row>
    <row r="793" ht="15.75" customHeight="1">
      <c r="G793" s="786"/>
    </row>
    <row r="794" ht="15.75" customHeight="1">
      <c r="G794" s="786"/>
    </row>
    <row r="795" ht="15.75" customHeight="1">
      <c r="G795" s="786"/>
    </row>
    <row r="796" ht="15.75" customHeight="1">
      <c r="G796" s="786"/>
    </row>
    <row r="797" ht="15.75" customHeight="1">
      <c r="G797" s="786"/>
    </row>
    <row r="798" ht="15.75" customHeight="1">
      <c r="G798" s="786"/>
    </row>
    <row r="799" ht="15.75" customHeight="1">
      <c r="G799" s="786"/>
    </row>
    <row r="800" ht="15.75" customHeight="1">
      <c r="G800" s="786"/>
    </row>
    <row r="801" ht="15.75" customHeight="1">
      <c r="G801" s="786"/>
    </row>
    <row r="802" ht="15.75" customHeight="1">
      <c r="G802" s="786"/>
    </row>
    <row r="803" ht="15.75" customHeight="1">
      <c r="G803" s="786"/>
    </row>
    <row r="804" ht="15.75" customHeight="1">
      <c r="G804" s="786"/>
    </row>
    <row r="805" ht="15.75" customHeight="1">
      <c r="G805" s="786"/>
    </row>
    <row r="806" ht="15.75" customHeight="1">
      <c r="G806" s="786"/>
    </row>
    <row r="807" ht="15.75" customHeight="1">
      <c r="G807" s="786"/>
    </row>
    <row r="808" ht="15.75" customHeight="1">
      <c r="G808" s="786"/>
    </row>
    <row r="809" ht="15.75" customHeight="1">
      <c r="G809" s="786"/>
    </row>
    <row r="810" ht="15.75" customHeight="1">
      <c r="G810" s="786"/>
    </row>
    <row r="811" ht="15.75" customHeight="1">
      <c r="G811" s="786"/>
    </row>
    <row r="812" ht="15.75" customHeight="1">
      <c r="G812" s="786"/>
    </row>
    <row r="813" ht="15.75" customHeight="1">
      <c r="G813" s="786"/>
    </row>
    <row r="814" ht="15.75" customHeight="1">
      <c r="G814" s="786"/>
    </row>
    <row r="815" ht="15.75" customHeight="1">
      <c r="G815" s="786"/>
    </row>
    <row r="816" ht="15.75" customHeight="1">
      <c r="G816" s="786"/>
    </row>
    <row r="817" ht="15.75" customHeight="1">
      <c r="G817" s="786"/>
    </row>
    <row r="818" ht="15.75" customHeight="1">
      <c r="G818" s="786"/>
    </row>
    <row r="819" ht="15.75" customHeight="1">
      <c r="G819" s="786"/>
    </row>
    <row r="820" ht="15.75" customHeight="1">
      <c r="G820" s="786"/>
    </row>
    <row r="821" ht="15.75" customHeight="1">
      <c r="G821" s="786"/>
    </row>
    <row r="822" ht="15.75" customHeight="1">
      <c r="G822" s="786"/>
    </row>
    <row r="823" ht="15.75" customHeight="1">
      <c r="G823" s="786"/>
    </row>
    <row r="824" ht="15.75" customHeight="1">
      <c r="G824" s="786"/>
    </row>
    <row r="825" ht="15.75" customHeight="1">
      <c r="G825" s="786"/>
    </row>
    <row r="826" ht="15.75" customHeight="1">
      <c r="G826" s="786"/>
    </row>
    <row r="827" ht="15.75" customHeight="1">
      <c r="G827" s="786"/>
    </row>
    <row r="828" ht="15.75" customHeight="1">
      <c r="G828" s="786"/>
    </row>
    <row r="829" ht="15.75" customHeight="1">
      <c r="G829" s="786"/>
    </row>
    <row r="830" ht="15.75" customHeight="1">
      <c r="G830" s="786"/>
    </row>
    <row r="831" ht="15.75" customHeight="1">
      <c r="G831" s="786"/>
    </row>
    <row r="832" ht="15.75" customHeight="1">
      <c r="G832" s="786"/>
    </row>
    <row r="833" ht="15.75" customHeight="1">
      <c r="G833" s="786"/>
    </row>
    <row r="834" ht="15.75" customHeight="1">
      <c r="G834" s="786"/>
    </row>
    <row r="835" ht="15.75" customHeight="1">
      <c r="G835" s="786"/>
    </row>
    <row r="836" ht="15.75" customHeight="1">
      <c r="G836" s="786"/>
    </row>
    <row r="837" ht="15.75" customHeight="1">
      <c r="G837" s="786"/>
    </row>
    <row r="838" ht="15.75" customHeight="1">
      <c r="G838" s="786"/>
    </row>
    <row r="839" ht="15.75" customHeight="1">
      <c r="G839" s="786"/>
    </row>
    <row r="840" ht="15.75" customHeight="1">
      <c r="G840" s="786"/>
    </row>
    <row r="841" ht="15.75" customHeight="1">
      <c r="G841" s="786"/>
    </row>
    <row r="842" ht="15.75" customHeight="1">
      <c r="G842" s="786"/>
    </row>
    <row r="843" ht="15.75" customHeight="1">
      <c r="G843" s="786"/>
    </row>
    <row r="844" ht="15.75" customHeight="1">
      <c r="G844" s="786"/>
    </row>
    <row r="845" ht="15.75" customHeight="1">
      <c r="G845" s="786"/>
    </row>
    <row r="846" ht="15.75" customHeight="1">
      <c r="G846" s="786"/>
    </row>
    <row r="847" ht="15.75" customHeight="1">
      <c r="G847" s="786"/>
    </row>
    <row r="848" ht="15.75" customHeight="1">
      <c r="G848" s="786"/>
    </row>
    <row r="849" ht="15.75" customHeight="1">
      <c r="G849" s="786"/>
    </row>
    <row r="850" ht="15.75" customHeight="1">
      <c r="G850" s="786"/>
    </row>
    <row r="851" ht="15.75" customHeight="1">
      <c r="G851" s="786"/>
    </row>
    <row r="852" ht="15.75" customHeight="1">
      <c r="G852" s="786"/>
    </row>
    <row r="853" ht="15.75" customHeight="1">
      <c r="G853" s="786"/>
    </row>
    <row r="854" ht="15.75" customHeight="1">
      <c r="G854" s="786"/>
    </row>
    <row r="855" ht="15.75" customHeight="1">
      <c r="G855" s="786"/>
    </row>
    <row r="856" ht="15.75" customHeight="1">
      <c r="G856" s="786"/>
    </row>
    <row r="857" ht="15.75" customHeight="1">
      <c r="G857" s="786"/>
    </row>
    <row r="858" ht="15.75" customHeight="1">
      <c r="G858" s="786"/>
    </row>
    <row r="859" ht="15.75" customHeight="1">
      <c r="G859" s="786"/>
    </row>
    <row r="860" ht="15.75" customHeight="1">
      <c r="G860" s="786"/>
    </row>
    <row r="861" ht="15.75" customHeight="1">
      <c r="G861" s="786"/>
    </row>
    <row r="862" ht="15.75" customHeight="1">
      <c r="G862" s="786"/>
    </row>
    <row r="863" ht="15.75" customHeight="1">
      <c r="G863" s="786"/>
    </row>
    <row r="864" ht="15.75" customHeight="1">
      <c r="G864" s="786"/>
    </row>
    <row r="865" ht="15.75" customHeight="1">
      <c r="G865" s="786"/>
    </row>
    <row r="866" ht="15.75" customHeight="1">
      <c r="G866" s="786"/>
    </row>
    <row r="867" ht="15.75" customHeight="1">
      <c r="G867" s="786"/>
    </row>
    <row r="868" ht="15.75" customHeight="1">
      <c r="G868" s="786"/>
    </row>
    <row r="869" ht="15.75" customHeight="1">
      <c r="G869" s="786"/>
    </row>
    <row r="870" ht="15.75" customHeight="1">
      <c r="G870" s="786"/>
    </row>
    <row r="871" ht="15.75" customHeight="1">
      <c r="G871" s="786"/>
    </row>
    <row r="872" ht="15.75" customHeight="1">
      <c r="G872" s="786"/>
    </row>
    <row r="873" ht="15.75" customHeight="1">
      <c r="G873" s="786"/>
    </row>
    <row r="874" ht="15.75" customHeight="1">
      <c r="G874" s="786"/>
    </row>
    <row r="875" ht="15.75" customHeight="1">
      <c r="G875" s="786"/>
    </row>
    <row r="876" ht="15.75" customHeight="1">
      <c r="G876" s="786"/>
    </row>
    <row r="877" ht="15.75" customHeight="1">
      <c r="G877" s="786"/>
    </row>
    <row r="878" ht="15.75" customHeight="1">
      <c r="G878" s="786"/>
    </row>
    <row r="879" ht="15.75" customHeight="1">
      <c r="G879" s="786"/>
    </row>
    <row r="880" ht="15.75" customHeight="1">
      <c r="G880" s="786"/>
    </row>
    <row r="881" ht="15.75" customHeight="1">
      <c r="G881" s="786"/>
    </row>
    <row r="882" ht="15.75" customHeight="1">
      <c r="G882" s="786"/>
    </row>
    <row r="883" ht="15.75" customHeight="1">
      <c r="G883" s="786"/>
    </row>
    <row r="884" ht="15.75" customHeight="1">
      <c r="G884" s="786"/>
    </row>
    <row r="885" ht="15.75" customHeight="1">
      <c r="G885" s="786"/>
    </row>
    <row r="886" ht="15.75" customHeight="1">
      <c r="G886" s="786"/>
    </row>
    <row r="887" ht="15.75" customHeight="1">
      <c r="G887" s="786"/>
    </row>
    <row r="888" ht="15.75" customHeight="1">
      <c r="G888" s="786"/>
    </row>
    <row r="889" ht="15.75" customHeight="1">
      <c r="G889" s="786"/>
    </row>
    <row r="890" ht="15.75" customHeight="1">
      <c r="G890" s="786"/>
    </row>
    <row r="891" ht="15.75" customHeight="1">
      <c r="G891" s="786"/>
    </row>
    <row r="892" ht="15.75" customHeight="1">
      <c r="G892" s="786"/>
    </row>
    <row r="893" ht="15.75" customHeight="1">
      <c r="G893" s="786"/>
    </row>
    <row r="894" ht="15.75" customHeight="1">
      <c r="G894" s="786"/>
    </row>
    <row r="895" ht="15.75" customHeight="1">
      <c r="G895" s="786"/>
    </row>
    <row r="896" ht="15.75" customHeight="1">
      <c r="G896" s="786"/>
    </row>
    <row r="897" ht="15.75" customHeight="1">
      <c r="G897" s="786"/>
    </row>
    <row r="898" ht="15.75" customHeight="1">
      <c r="G898" s="786"/>
    </row>
    <row r="899" ht="15.75" customHeight="1">
      <c r="G899" s="786"/>
    </row>
    <row r="900" ht="15.75" customHeight="1">
      <c r="G900" s="786"/>
    </row>
    <row r="901" ht="15.75" customHeight="1">
      <c r="G901" s="786"/>
    </row>
    <row r="902" ht="15.75" customHeight="1">
      <c r="G902" s="786"/>
    </row>
    <row r="903" ht="15.75" customHeight="1">
      <c r="G903" s="786"/>
    </row>
    <row r="904" ht="15.75" customHeight="1">
      <c r="G904" s="786"/>
    </row>
    <row r="905" ht="15.75" customHeight="1">
      <c r="G905" s="786"/>
    </row>
    <row r="906" ht="15.75" customHeight="1">
      <c r="G906" s="786"/>
    </row>
    <row r="907" ht="15.75" customHeight="1">
      <c r="G907" s="786"/>
    </row>
    <row r="908" ht="15.75" customHeight="1">
      <c r="G908" s="786"/>
    </row>
    <row r="909" ht="15.75" customHeight="1">
      <c r="G909" s="786"/>
    </row>
    <row r="910" ht="15.75" customHeight="1">
      <c r="G910" s="786"/>
    </row>
    <row r="911" ht="15.75" customHeight="1">
      <c r="G911" s="786"/>
    </row>
    <row r="912" ht="15.75" customHeight="1">
      <c r="G912" s="786"/>
    </row>
    <row r="913" ht="15.75" customHeight="1">
      <c r="G913" s="786"/>
    </row>
    <row r="914" ht="15.75" customHeight="1">
      <c r="G914" s="786"/>
    </row>
    <row r="915" ht="15.75" customHeight="1">
      <c r="G915" s="786"/>
    </row>
    <row r="916" ht="15.75" customHeight="1">
      <c r="G916" s="786"/>
    </row>
    <row r="917" ht="15.75" customHeight="1">
      <c r="G917" s="786"/>
    </row>
    <row r="918" ht="15.75" customHeight="1">
      <c r="G918" s="786"/>
    </row>
    <row r="919" ht="15.75" customHeight="1">
      <c r="G919" s="786"/>
    </row>
    <row r="920" ht="15.75" customHeight="1">
      <c r="G920" s="786"/>
    </row>
    <row r="921" ht="15.75" customHeight="1">
      <c r="G921" s="786"/>
    </row>
    <row r="922" ht="15.75" customHeight="1">
      <c r="G922" s="786"/>
    </row>
    <row r="923" ht="15.75" customHeight="1">
      <c r="G923" s="786"/>
    </row>
    <row r="924" ht="15.75" customHeight="1">
      <c r="G924" s="786"/>
    </row>
    <row r="925" ht="15.75" customHeight="1">
      <c r="G925" s="786"/>
    </row>
    <row r="926" ht="15.75" customHeight="1">
      <c r="G926" s="786"/>
    </row>
    <row r="927" ht="15.75" customHeight="1">
      <c r="G927" s="786"/>
    </row>
    <row r="928" ht="15.75" customHeight="1">
      <c r="G928" s="786"/>
    </row>
    <row r="929" ht="15.75" customHeight="1">
      <c r="G929" s="786"/>
    </row>
    <row r="930" ht="15.75" customHeight="1">
      <c r="G930" s="786"/>
    </row>
    <row r="931" ht="15.75" customHeight="1">
      <c r="G931" s="786"/>
    </row>
    <row r="932" ht="15.75" customHeight="1">
      <c r="G932" s="786"/>
    </row>
    <row r="933" ht="15.75" customHeight="1">
      <c r="G933" s="786"/>
    </row>
    <row r="934" ht="15.75" customHeight="1">
      <c r="G934" s="786"/>
    </row>
    <row r="935" ht="15.75" customHeight="1">
      <c r="G935" s="786"/>
    </row>
    <row r="936" ht="15.75" customHeight="1">
      <c r="G936" s="786"/>
    </row>
    <row r="937" ht="15.75" customHeight="1">
      <c r="G937" s="786"/>
    </row>
    <row r="938" ht="15.75" customHeight="1">
      <c r="G938" s="786"/>
    </row>
    <row r="939" ht="15.75" customHeight="1">
      <c r="G939" s="786"/>
    </row>
    <row r="940" ht="15.75" customHeight="1">
      <c r="G940" s="786"/>
    </row>
    <row r="941" ht="15.75" customHeight="1">
      <c r="G941" s="786"/>
    </row>
    <row r="942" ht="15.75" customHeight="1">
      <c r="G942" s="786"/>
    </row>
    <row r="943" ht="15.75" customHeight="1">
      <c r="G943" s="786"/>
    </row>
    <row r="944" ht="15.75" customHeight="1">
      <c r="G944" s="786"/>
    </row>
    <row r="945" ht="15.75" customHeight="1">
      <c r="G945" s="786"/>
    </row>
    <row r="946" ht="15.75" customHeight="1">
      <c r="G946" s="786"/>
    </row>
    <row r="947" ht="15.75" customHeight="1">
      <c r="G947" s="786"/>
    </row>
    <row r="948" ht="15.75" customHeight="1">
      <c r="G948" s="786"/>
    </row>
    <row r="949" ht="15.75" customHeight="1">
      <c r="G949" s="786"/>
    </row>
    <row r="950" ht="15.75" customHeight="1">
      <c r="G950" s="786"/>
    </row>
    <row r="951" ht="15.75" customHeight="1">
      <c r="G951" s="786"/>
    </row>
    <row r="952" ht="15.75" customHeight="1">
      <c r="G952" s="786"/>
    </row>
    <row r="953" ht="15.75" customHeight="1">
      <c r="G953" s="786"/>
    </row>
    <row r="954" ht="15.75" customHeight="1">
      <c r="G954" s="786"/>
    </row>
    <row r="955" ht="15.75" customHeight="1">
      <c r="G955" s="786"/>
    </row>
    <row r="956" ht="15.75" customHeight="1">
      <c r="G956" s="786"/>
    </row>
    <row r="957" ht="15.75" customHeight="1">
      <c r="G957" s="786"/>
    </row>
    <row r="958" ht="15.75" customHeight="1">
      <c r="G958" s="786"/>
    </row>
    <row r="959" ht="15.75" customHeight="1">
      <c r="G959" s="786"/>
    </row>
    <row r="960" ht="15.75" customHeight="1">
      <c r="G960" s="786"/>
    </row>
    <row r="961" ht="15.75" customHeight="1">
      <c r="G961" s="786"/>
    </row>
    <row r="962" ht="15.75" customHeight="1">
      <c r="G962" s="786"/>
    </row>
    <row r="963" ht="15.75" customHeight="1">
      <c r="G963" s="786"/>
    </row>
    <row r="964" ht="15.75" customHeight="1">
      <c r="G964" s="786"/>
    </row>
    <row r="965" ht="15.75" customHeight="1">
      <c r="G965" s="786"/>
    </row>
    <row r="966" ht="15.75" customHeight="1">
      <c r="G966" s="786"/>
    </row>
    <row r="967" ht="15.75" customHeight="1">
      <c r="G967" s="786"/>
    </row>
    <row r="968" ht="15.75" customHeight="1">
      <c r="G968" s="786"/>
    </row>
    <row r="969" ht="15.75" customHeight="1">
      <c r="G969" s="786"/>
    </row>
    <row r="970" ht="15.75" customHeight="1">
      <c r="G970" s="786"/>
    </row>
    <row r="971" ht="15.75" customHeight="1">
      <c r="G971" s="786"/>
    </row>
    <row r="972" ht="15.75" customHeight="1">
      <c r="G972" s="786"/>
    </row>
    <row r="973" ht="15.75" customHeight="1">
      <c r="G973" s="786"/>
    </row>
    <row r="974" ht="15.75" customHeight="1">
      <c r="G974" s="786"/>
    </row>
    <row r="975" ht="15.75" customHeight="1">
      <c r="G975" s="786"/>
    </row>
    <row r="976" ht="15.75" customHeight="1">
      <c r="G976" s="786"/>
    </row>
    <row r="977" ht="15.75" customHeight="1">
      <c r="G977" s="786"/>
    </row>
    <row r="978" ht="15.75" customHeight="1">
      <c r="G978" s="786"/>
    </row>
    <row r="979" ht="15.75" customHeight="1">
      <c r="G979" s="786"/>
    </row>
    <row r="980" ht="15.75" customHeight="1">
      <c r="G980" s="786"/>
    </row>
    <row r="981" ht="15.75" customHeight="1">
      <c r="G981" s="786"/>
    </row>
    <row r="982" ht="15.75" customHeight="1">
      <c r="G982" s="786"/>
    </row>
    <row r="983" ht="15.75" customHeight="1">
      <c r="G983" s="786"/>
    </row>
    <row r="984" ht="15.75" customHeight="1">
      <c r="G984" s="786"/>
    </row>
    <row r="985" ht="15.75" customHeight="1">
      <c r="G985" s="786"/>
    </row>
    <row r="986" ht="15.75" customHeight="1">
      <c r="G986" s="786"/>
    </row>
    <row r="987" ht="15.75" customHeight="1">
      <c r="G987" s="786"/>
    </row>
    <row r="988" ht="15.75" customHeight="1">
      <c r="G988" s="786"/>
    </row>
    <row r="989" ht="15.75" customHeight="1">
      <c r="G989" s="786"/>
    </row>
    <row r="990" ht="15.75" customHeight="1">
      <c r="G990" s="786"/>
    </row>
    <row r="991" ht="15.75" customHeight="1">
      <c r="G991" s="786"/>
    </row>
    <row r="992" ht="15.75" customHeight="1">
      <c r="G992" s="786"/>
    </row>
    <row r="993" ht="15.75" customHeight="1">
      <c r="G993" s="786"/>
    </row>
    <row r="994" ht="15.75" customHeight="1">
      <c r="G994" s="786"/>
    </row>
    <row r="995" ht="15.75" customHeight="1">
      <c r="G995" s="786"/>
    </row>
    <row r="996" ht="15.75" customHeight="1">
      <c r="G996" s="786"/>
    </row>
    <row r="997" ht="15.75" customHeight="1">
      <c r="G997" s="786"/>
    </row>
    <row r="998" ht="15.75" customHeight="1">
      <c r="G998" s="786"/>
    </row>
    <row r="999" ht="15.75" customHeight="1">
      <c r="G999" s="786"/>
    </row>
    <row r="1000" ht="15.75" customHeight="1">
      <c r="G1000" s="786"/>
    </row>
    <row r="1001" ht="15.75" customHeight="1">
      <c r="G1001" s="786"/>
    </row>
    <row r="1002" ht="15.75" customHeight="1">
      <c r="G1002" s="786"/>
    </row>
    <row r="1003" ht="15.75" customHeight="1">
      <c r="G1003" s="786"/>
    </row>
    <row r="1004" ht="15.75" customHeight="1">
      <c r="G1004" s="786"/>
    </row>
  </sheetData>
  <mergeCells count="32">
    <mergeCell ref="A25:AK25"/>
    <mergeCell ref="B26:F26"/>
    <mergeCell ref="B1:AK1"/>
    <mergeCell ref="B2:F2"/>
    <mergeCell ref="A4:A6"/>
    <mergeCell ref="A7:A8"/>
    <mergeCell ref="B10:F10"/>
    <mergeCell ref="A12:A13"/>
    <mergeCell ref="B17:F17"/>
    <mergeCell ref="A35:A36"/>
    <mergeCell ref="A41:A42"/>
    <mergeCell ref="A44:A45"/>
    <mergeCell ref="G45:I45"/>
    <mergeCell ref="A48:AK48"/>
    <mergeCell ref="B49:F49"/>
    <mergeCell ref="A14:A15"/>
    <mergeCell ref="A19:A20"/>
    <mergeCell ref="A21:A22"/>
    <mergeCell ref="A28:A29"/>
    <mergeCell ref="A30:A31"/>
    <mergeCell ref="B33:F33"/>
    <mergeCell ref="B39:F39"/>
    <mergeCell ref="G65:I65"/>
    <mergeCell ref="G66:I66"/>
    <mergeCell ref="A51:A52"/>
    <mergeCell ref="B56:F56"/>
    <mergeCell ref="A58:A59"/>
    <mergeCell ref="G59:I59"/>
    <mergeCell ref="A60:A61"/>
    <mergeCell ref="B63:F63"/>
    <mergeCell ref="A65:A66"/>
    <mergeCell ref="A67:A68"/>
  </mergeCells>
  <conditionalFormatting sqref="AN4:AN9 AN12:AN16 AN19:AN22 AN28:AN31 AN35:AN37 AN41:AN45 AN51:AN54 AN58:AN61 AN65:AN68">
    <cfRule type="cellIs" dxfId="4" priority="1" operator="greaterThan">
      <formula>3</formula>
    </cfRule>
  </conditionalFormatting>
  <conditionalFormatting sqref="AO4:AS9 AT4 AO12:AS16 AO19:AS22 AO28:AS31 AO35:AS37 AO41:AS45 AO51:AS54 AO58:AS61 AO65:AS68">
    <cfRule type="cellIs" dxfId="4" priority="2" operator="greaterThan">
      <formula>0</formula>
    </cfRule>
  </conditionalFormatting>
  <conditionalFormatting sqref="AM4:AM9 AM12:AM16 AM19:AM22 AM28:AM31 AM35:AM37 AM41:AM45 AM51:AM54 AM58:AM61 AM65:AM68">
    <cfRule type="endsWith" dxfId="3" priority="3" operator="endsWith" text="NO CORRESPONDE FRANCO">
      <formula>RIGHT((AM4),LEN("NO CORRESPONDE FRANCO"))=("NO CORRESPONDE FRANCO")</formula>
    </cfRule>
  </conditionalFormatting>
  <printOptions/>
  <pageMargins bottom="0.75" footer="0.0" header="0.0" left="0.7" right="0.7" top="0.75"/>
  <pageSetup orientation="landscape"/>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71"/>
    <col customWidth="1" min="2" max="2" width="14.57"/>
    <col customWidth="1" min="3" max="3" width="19.71"/>
    <col customWidth="1" min="4" max="4" width="10.71"/>
    <col customWidth="1" min="5" max="5" width="30.71"/>
    <col customWidth="1" min="6" max="6" width="13.86"/>
    <col customWidth="1" min="7" max="25" width="3.29"/>
    <col customWidth="1" min="26" max="26" width="4.14"/>
    <col customWidth="1" min="27" max="31" width="4.57"/>
    <col customWidth="1" min="32" max="32" width="7.57"/>
    <col customWidth="1" min="33" max="33" width="5.71"/>
    <col customWidth="1" min="34" max="34" width="4.57"/>
    <col customWidth="1" min="35" max="35" width="4.86"/>
    <col customWidth="1" min="36" max="36" width="4.71"/>
    <col customWidth="1" min="37" max="37" width="23.0"/>
    <col customWidth="1" min="38" max="38" width="23.29"/>
    <col customWidth="1" min="39" max="39" width="26.29"/>
    <col customWidth="1" min="40" max="40" width="3.71"/>
    <col customWidth="1" min="41" max="41" width="3.86"/>
    <col customWidth="1" min="42" max="42" width="4.29"/>
    <col customWidth="1" min="43" max="43" width="4.14"/>
    <col customWidth="1" min="44" max="44" width="3.29"/>
    <col customWidth="1" hidden="1" min="45" max="45" width="2.14"/>
    <col customWidth="1" min="46" max="46" width="56.86"/>
  </cols>
  <sheetData>
    <row r="1" ht="26.25" customHeight="1">
      <c r="A1" s="467">
        <v>545.0</v>
      </c>
      <c r="B1" s="787" t="s">
        <v>1467</v>
      </c>
      <c r="C1" s="788"/>
      <c r="D1" s="788"/>
      <c r="E1" s="788"/>
      <c r="F1" s="788"/>
      <c r="G1" s="788"/>
      <c r="H1" s="788"/>
      <c r="I1" s="788"/>
      <c r="J1" s="788"/>
      <c r="K1" s="788"/>
      <c r="L1" s="788"/>
      <c r="M1" s="788"/>
      <c r="N1" s="788"/>
      <c r="O1" s="788"/>
      <c r="P1" s="788"/>
      <c r="Q1" s="788"/>
      <c r="R1" s="788"/>
      <c r="S1" s="788"/>
      <c r="T1" s="788"/>
      <c r="U1" s="788"/>
      <c r="V1" s="788"/>
      <c r="W1" s="788"/>
      <c r="X1" s="788"/>
      <c r="Y1" s="788"/>
      <c r="Z1" s="788"/>
      <c r="AA1" s="788"/>
      <c r="AB1" s="788"/>
      <c r="AC1" s="788"/>
      <c r="AD1" s="788"/>
      <c r="AE1" s="788"/>
      <c r="AF1" s="788"/>
      <c r="AG1" s="788"/>
      <c r="AH1" s="788"/>
      <c r="AI1" s="788"/>
      <c r="AJ1" s="788"/>
      <c r="AK1" s="789"/>
      <c r="AM1" s="28"/>
      <c r="AN1" s="790"/>
      <c r="AO1" s="790"/>
      <c r="AP1" s="790"/>
      <c r="AQ1" s="790"/>
      <c r="AR1" s="790"/>
      <c r="AS1" s="790"/>
      <c r="AT1" s="790"/>
    </row>
    <row r="2">
      <c r="B2" s="791" t="s">
        <v>1328</v>
      </c>
      <c r="C2" s="650"/>
      <c r="D2" s="650"/>
      <c r="E2" s="650"/>
      <c r="F2" s="651"/>
      <c r="G2" s="9">
        <v>1.0</v>
      </c>
      <c r="H2" s="9">
        <v>2.0</v>
      </c>
      <c r="I2" s="9">
        <v>3.0</v>
      </c>
      <c r="J2" s="7">
        <v>4.0</v>
      </c>
      <c r="K2" s="9">
        <v>5.0</v>
      </c>
      <c r="L2" s="9">
        <v>6.0</v>
      </c>
      <c r="M2" s="9">
        <v>7.0</v>
      </c>
      <c r="N2" s="9">
        <v>8.0</v>
      </c>
      <c r="O2" s="9">
        <v>9.0</v>
      </c>
      <c r="P2" s="9">
        <v>10.0</v>
      </c>
      <c r="Q2" s="7">
        <v>11.0</v>
      </c>
      <c r="R2" s="9">
        <v>12.0</v>
      </c>
      <c r="S2" s="9">
        <v>13.0</v>
      </c>
      <c r="T2" s="9">
        <v>14.0</v>
      </c>
      <c r="U2" s="9">
        <v>15.0</v>
      </c>
      <c r="V2" s="9">
        <v>16.0</v>
      </c>
      <c r="W2" s="9">
        <v>17.0</v>
      </c>
      <c r="X2" s="7">
        <v>18.0</v>
      </c>
      <c r="Y2" s="9">
        <v>19.0</v>
      </c>
      <c r="Z2" s="9">
        <v>20.0</v>
      </c>
      <c r="AA2" s="9">
        <v>21.0</v>
      </c>
      <c r="AB2" s="9">
        <v>22.0</v>
      </c>
      <c r="AC2" s="9">
        <v>23.0</v>
      </c>
      <c r="AD2" s="9">
        <v>24.0</v>
      </c>
      <c r="AE2" s="7">
        <v>25.0</v>
      </c>
      <c r="AF2" s="9">
        <v>26.0</v>
      </c>
      <c r="AG2" s="9">
        <v>27.0</v>
      </c>
      <c r="AH2" s="9">
        <v>28.0</v>
      </c>
      <c r="AI2" s="9">
        <v>29.0</v>
      </c>
      <c r="AJ2" s="9">
        <v>30.0</v>
      </c>
      <c r="AK2" s="9">
        <v>31.0</v>
      </c>
      <c r="AL2" s="9">
        <v>31.0</v>
      </c>
      <c r="AM2" s="26"/>
      <c r="AN2" s="24"/>
      <c r="AO2" s="24"/>
      <c r="AP2" s="24"/>
      <c r="AQ2" s="24"/>
      <c r="AR2" s="24"/>
      <c r="AS2" s="24"/>
      <c r="AT2" s="24"/>
    </row>
    <row r="3">
      <c r="B3" s="792" t="s">
        <v>4</v>
      </c>
      <c r="C3" s="793" t="s">
        <v>5</v>
      </c>
      <c r="D3" s="794" t="s">
        <v>6</v>
      </c>
      <c r="E3" s="795" t="s">
        <v>7</v>
      </c>
      <c r="F3" s="794" t="s">
        <v>8</v>
      </c>
      <c r="G3" s="10" t="s">
        <v>9</v>
      </c>
      <c r="H3" s="10" t="s">
        <v>10</v>
      </c>
      <c r="I3" s="10" t="s">
        <v>11</v>
      </c>
      <c r="J3" s="10" t="s">
        <v>12</v>
      </c>
      <c r="K3" s="10" t="s">
        <v>12</v>
      </c>
      <c r="L3" s="10" t="s">
        <v>13</v>
      </c>
      <c r="M3" s="10" t="s">
        <v>15</v>
      </c>
      <c r="N3" s="10" t="s">
        <v>9</v>
      </c>
      <c r="O3" s="10" t="s">
        <v>10</v>
      </c>
      <c r="P3" s="10" t="s">
        <v>11</v>
      </c>
      <c r="Q3" s="10" t="s">
        <v>12</v>
      </c>
      <c r="R3" s="10" t="s">
        <v>12</v>
      </c>
      <c r="S3" s="10" t="s">
        <v>13</v>
      </c>
      <c r="T3" s="10" t="s">
        <v>15</v>
      </c>
      <c r="U3" s="10" t="s">
        <v>9</v>
      </c>
      <c r="V3" s="10" t="s">
        <v>10</v>
      </c>
      <c r="W3" s="10" t="s">
        <v>11</v>
      </c>
      <c r="X3" s="10" t="s">
        <v>12</v>
      </c>
      <c r="Y3" s="10" t="s">
        <v>12</v>
      </c>
      <c r="Z3" s="10" t="s">
        <v>13</v>
      </c>
      <c r="AA3" s="10" t="s">
        <v>15</v>
      </c>
      <c r="AB3" s="10" t="s">
        <v>9</v>
      </c>
      <c r="AC3" s="10" t="s">
        <v>10</v>
      </c>
      <c r="AD3" s="10" t="s">
        <v>11</v>
      </c>
      <c r="AE3" s="10" t="s">
        <v>12</v>
      </c>
      <c r="AF3" s="10" t="s">
        <v>12</v>
      </c>
      <c r="AG3" s="10" t="s">
        <v>13</v>
      </c>
      <c r="AH3" s="10" t="s">
        <v>15</v>
      </c>
      <c r="AI3" s="10" t="s">
        <v>9</v>
      </c>
      <c r="AJ3" s="10" t="s">
        <v>10</v>
      </c>
      <c r="AK3" s="796" t="s">
        <v>11</v>
      </c>
      <c r="AM3" s="31" t="s">
        <v>16</v>
      </c>
      <c r="AN3" s="31" t="s">
        <v>18</v>
      </c>
      <c r="AO3" s="31" t="s">
        <v>19</v>
      </c>
      <c r="AP3" s="31" t="s">
        <v>20</v>
      </c>
      <c r="AQ3" s="31" t="s">
        <v>21</v>
      </c>
      <c r="AR3" s="33" t="s">
        <v>22</v>
      </c>
      <c r="AS3" s="36"/>
      <c r="AT3" s="36"/>
    </row>
    <row r="4">
      <c r="A4" s="797" t="s">
        <v>1329</v>
      </c>
      <c r="B4" s="798" t="s">
        <v>33</v>
      </c>
      <c r="C4" s="799" t="s">
        <v>1468</v>
      </c>
      <c r="D4" s="54">
        <v>4.2949397E7</v>
      </c>
      <c r="E4" s="56" t="s">
        <v>1469</v>
      </c>
      <c r="F4" s="54" t="s">
        <v>1470</v>
      </c>
      <c r="G4" s="45" t="s">
        <v>27</v>
      </c>
      <c r="H4" s="45" t="s">
        <v>27</v>
      </c>
      <c r="I4" s="45" t="s">
        <v>18</v>
      </c>
      <c r="J4" s="172" t="s">
        <v>27</v>
      </c>
      <c r="K4" s="44"/>
      <c r="L4" s="44"/>
      <c r="M4" s="800" t="s">
        <v>79</v>
      </c>
      <c r="N4" s="45" t="s">
        <v>27</v>
      </c>
      <c r="O4" s="106" t="s">
        <v>32</v>
      </c>
      <c r="P4" s="45" t="s">
        <v>27</v>
      </c>
      <c r="Q4" s="44"/>
      <c r="R4" s="44"/>
      <c r="S4" s="45" t="s">
        <v>27</v>
      </c>
      <c r="T4" s="45" t="s">
        <v>120</v>
      </c>
      <c r="U4" s="45" t="s">
        <v>27</v>
      </c>
      <c r="V4" s="44"/>
      <c r="W4" s="44"/>
      <c r="X4" s="44"/>
      <c r="Y4" s="45" t="s">
        <v>120</v>
      </c>
      <c r="Z4" s="45" t="s">
        <v>27</v>
      </c>
      <c r="AA4" s="45" t="s">
        <v>120</v>
      </c>
      <c r="AB4" s="103" t="s">
        <v>18</v>
      </c>
      <c r="AC4" s="44"/>
      <c r="AD4" s="44"/>
      <c r="AE4" s="45" t="s">
        <v>27</v>
      </c>
      <c r="AF4" s="45" t="s">
        <v>27</v>
      </c>
      <c r="AG4" s="45" t="s">
        <v>27</v>
      </c>
      <c r="AH4" s="44"/>
      <c r="AI4" s="44"/>
      <c r="AJ4" s="44"/>
      <c r="AK4" s="45" t="s">
        <v>27</v>
      </c>
      <c r="AM4" s="60" t="str">
        <f>IFS(AN4&gt;3,"NO CORRESPONDE FRANCO",AS4&gt;0,"NO CORRESPONDE FRANCO",AS4=0,"")</f>
        <v/>
      </c>
      <c r="AN4" s="60">
        <f>COUNTIF($G4:$AK4,"LLT")</f>
        <v>2</v>
      </c>
      <c r="AO4" s="60">
        <f>COUNTIF($G4:$AK4,"LM")</f>
        <v>0</v>
      </c>
      <c r="AP4" s="60">
        <f>COUNTIF($G4:$AK4,"FaC")</f>
        <v>0</v>
      </c>
      <c r="AQ4" s="60">
        <f>COUNTIF($G4:$AK4,"LxE")</f>
        <v>0</v>
      </c>
      <c r="AR4" s="60">
        <f>COUNTIF($G4:$AK4,"LA")</f>
        <v>0</v>
      </c>
      <c r="AS4" s="60">
        <f>SUM(AO4:AR4)</f>
        <v>0</v>
      </c>
      <c r="AT4" s="36"/>
    </row>
    <row r="5">
      <c r="A5" s="801"/>
      <c r="B5" s="802" t="s">
        <v>269</v>
      </c>
      <c r="C5" s="803" t="s">
        <v>1471</v>
      </c>
      <c r="D5" s="802">
        <v>11674.0</v>
      </c>
      <c r="E5" s="803" t="s">
        <v>1472</v>
      </c>
      <c r="F5" s="804" t="s">
        <v>1473</v>
      </c>
      <c r="G5" s="805" t="s">
        <v>18</v>
      </c>
      <c r="H5" s="805" t="s">
        <v>27</v>
      </c>
      <c r="I5" s="805" t="s">
        <v>27</v>
      </c>
      <c r="J5" s="806"/>
      <c r="K5" s="806"/>
      <c r="L5" s="806"/>
      <c r="M5" s="805" t="s">
        <v>27</v>
      </c>
      <c r="N5" s="805" t="s">
        <v>27</v>
      </c>
      <c r="O5" s="805" t="s">
        <v>27</v>
      </c>
      <c r="P5" s="805" t="s">
        <v>27</v>
      </c>
      <c r="Q5" s="44"/>
      <c r="R5" s="44"/>
      <c r="S5" s="70"/>
      <c r="T5" s="45" t="s">
        <v>27</v>
      </c>
      <c r="U5" s="45" t="s">
        <v>27</v>
      </c>
      <c r="V5" s="44"/>
      <c r="W5" s="44"/>
      <c r="X5" s="44"/>
      <c r="Y5" s="45" t="s">
        <v>27</v>
      </c>
      <c r="Z5" s="45" t="s">
        <v>27</v>
      </c>
      <c r="AA5" s="45" t="s">
        <v>27</v>
      </c>
      <c r="AB5" s="103" t="s">
        <v>18</v>
      </c>
      <c r="AC5" s="44"/>
      <c r="AD5" s="44"/>
      <c r="AE5" s="70"/>
      <c r="AF5" s="45" t="s">
        <v>27</v>
      </c>
      <c r="AG5" s="45" t="s">
        <v>27</v>
      </c>
      <c r="AH5" s="44"/>
      <c r="AI5" s="44"/>
      <c r="AJ5" s="44"/>
      <c r="AK5" s="45" t="s">
        <v>27</v>
      </c>
      <c r="AL5" s="48"/>
      <c r="AM5" s="60"/>
      <c r="AN5" s="60"/>
      <c r="AO5" s="60"/>
      <c r="AP5" s="60"/>
      <c r="AQ5" s="60"/>
      <c r="AR5" s="60"/>
      <c r="AS5" s="60"/>
      <c r="AT5" s="672"/>
    </row>
    <row r="6">
      <c r="A6" s="807"/>
      <c r="B6" s="808" t="s">
        <v>33</v>
      </c>
      <c r="C6" s="809" t="s">
        <v>1474</v>
      </c>
      <c r="D6" s="808">
        <v>4.2146164E7</v>
      </c>
      <c r="E6" s="810" t="s">
        <v>1475</v>
      </c>
      <c r="F6" s="808" t="s">
        <v>1476</v>
      </c>
      <c r="G6" s="711" t="s">
        <v>27</v>
      </c>
      <c r="H6" s="711" t="s">
        <v>27</v>
      </c>
      <c r="I6" s="711" t="s">
        <v>27</v>
      </c>
      <c r="J6" s="710"/>
      <c r="K6" s="710"/>
      <c r="L6" s="710"/>
      <c r="M6" s="711" t="s">
        <v>27</v>
      </c>
      <c r="N6" s="711" t="s">
        <v>27</v>
      </c>
      <c r="O6" s="711" t="s">
        <v>27</v>
      </c>
      <c r="P6" s="96" t="s">
        <v>22</v>
      </c>
      <c r="Q6" s="96" t="s">
        <v>22</v>
      </c>
      <c r="R6" s="96" t="s">
        <v>22</v>
      </c>
      <c r="S6" s="96" t="s">
        <v>22</v>
      </c>
      <c r="T6" s="96" t="s">
        <v>22</v>
      </c>
      <c r="U6" s="96" t="s">
        <v>22</v>
      </c>
      <c r="V6" s="96" t="s">
        <v>22</v>
      </c>
      <c r="W6" s="710"/>
      <c r="X6" s="710"/>
      <c r="Y6" s="811" t="s">
        <v>32</v>
      </c>
      <c r="Z6" s="711" t="s">
        <v>120</v>
      </c>
      <c r="AA6" s="711" t="s">
        <v>27</v>
      </c>
      <c r="AB6" s="109" t="s">
        <v>79</v>
      </c>
      <c r="AC6" s="710"/>
      <c r="AD6" s="710"/>
      <c r="AE6" s="711" t="s">
        <v>27</v>
      </c>
      <c r="AF6" s="711" t="s">
        <v>27</v>
      </c>
      <c r="AG6" s="711" t="s">
        <v>27</v>
      </c>
      <c r="AH6" s="710"/>
      <c r="AI6" s="710"/>
      <c r="AJ6" s="712" t="s">
        <v>27</v>
      </c>
      <c r="AK6" s="711" t="s">
        <v>27</v>
      </c>
      <c r="AL6" s="812" t="s">
        <v>1477</v>
      </c>
      <c r="AM6" s="60" t="str">
        <f t="shared" ref="AM6:AM8" si="1">IFS(AN6&gt;3,"NO CORRESPONDE FRANCO",AS6&gt;0,"NO CORRESPONDE FRANCO",AS6=0,"")</f>
        <v>NO CORRESPONDE FRANCO</v>
      </c>
      <c r="AN6" s="60">
        <f t="shared" ref="AN6:AN8" si="2">COUNTIF($G6:$AK6,"LLT")</f>
        <v>0</v>
      </c>
      <c r="AO6" s="60">
        <f t="shared" ref="AO6:AO8" si="3">COUNTIF($G6:$AK6,"LM")</f>
        <v>0</v>
      </c>
      <c r="AP6" s="60">
        <f t="shared" ref="AP6:AP8" si="4">COUNTIF($G6:$AK6,"FaC")</f>
        <v>0</v>
      </c>
      <c r="AQ6" s="60">
        <f t="shared" ref="AQ6:AQ8" si="5">COUNTIF($G6:$AK6,"LxE")</f>
        <v>0</v>
      </c>
      <c r="AR6" s="60">
        <f t="shared" ref="AR6:AR8" si="6">COUNTIF($G6:$AK6,"LA")</f>
        <v>7</v>
      </c>
      <c r="AS6" s="60">
        <f t="shared" ref="AS6:AS8" si="7">SUM(AO6:AR6)</f>
        <v>7</v>
      </c>
      <c r="AT6" s="24"/>
    </row>
    <row r="7">
      <c r="A7" s="813" t="s">
        <v>1337</v>
      </c>
      <c r="B7" s="814" t="s">
        <v>33</v>
      </c>
      <c r="C7" s="815" t="s">
        <v>1478</v>
      </c>
      <c r="D7" s="814">
        <v>4.154649E7</v>
      </c>
      <c r="E7" s="816" t="s">
        <v>1479</v>
      </c>
      <c r="F7" s="817" t="s">
        <v>1480</v>
      </c>
      <c r="G7" s="720" t="s">
        <v>18</v>
      </c>
      <c r="H7" s="720" t="s">
        <v>18</v>
      </c>
      <c r="I7" s="720" t="s">
        <v>27</v>
      </c>
      <c r="J7" s="818" t="s">
        <v>79</v>
      </c>
      <c r="K7" s="718"/>
      <c r="L7" s="718"/>
      <c r="M7" s="172" t="s">
        <v>27</v>
      </c>
      <c r="N7" s="819" t="s">
        <v>19</v>
      </c>
      <c r="O7" s="819" t="s">
        <v>19</v>
      </c>
      <c r="P7" s="819" t="s">
        <v>19</v>
      </c>
      <c r="Q7" s="718"/>
      <c r="R7" s="718"/>
      <c r="S7" s="720" t="s">
        <v>27</v>
      </c>
      <c r="T7" s="603" t="s">
        <v>20</v>
      </c>
      <c r="U7" s="720" t="s">
        <v>27</v>
      </c>
      <c r="V7" s="96" t="s">
        <v>22</v>
      </c>
      <c r="W7" s="96" t="s">
        <v>22</v>
      </c>
      <c r="X7" s="96" t="s">
        <v>22</v>
      </c>
      <c r="Y7" s="96" t="s">
        <v>22</v>
      </c>
      <c r="Z7" s="96" t="s">
        <v>22</v>
      </c>
      <c r="AA7" s="720" t="s">
        <v>120</v>
      </c>
      <c r="AB7" s="720" t="s">
        <v>27</v>
      </c>
      <c r="AC7" s="718"/>
      <c r="AD7" s="718"/>
      <c r="AE7" s="720" t="s">
        <v>27</v>
      </c>
      <c r="AF7" s="720" t="s">
        <v>27</v>
      </c>
      <c r="AG7" s="720" t="s">
        <v>27</v>
      </c>
      <c r="AH7" s="720" t="s">
        <v>18</v>
      </c>
      <c r="AI7" s="718"/>
      <c r="AJ7" s="718"/>
      <c r="AK7" s="718"/>
      <c r="AL7" s="48"/>
      <c r="AM7" s="60" t="str">
        <f t="shared" si="1"/>
        <v>NO CORRESPONDE FRANCO</v>
      </c>
      <c r="AN7" s="60">
        <f t="shared" si="2"/>
        <v>3</v>
      </c>
      <c r="AO7" s="60">
        <f t="shared" si="3"/>
        <v>3</v>
      </c>
      <c r="AP7" s="60">
        <f t="shared" si="4"/>
        <v>1</v>
      </c>
      <c r="AQ7" s="60">
        <f t="shared" si="5"/>
        <v>0</v>
      </c>
      <c r="AR7" s="60">
        <f t="shared" si="6"/>
        <v>5</v>
      </c>
      <c r="AS7" s="60">
        <f t="shared" si="7"/>
        <v>9</v>
      </c>
      <c r="AT7" s="672"/>
    </row>
    <row r="8">
      <c r="A8" s="820"/>
      <c r="B8" s="821" t="s">
        <v>33</v>
      </c>
      <c r="C8" s="822" t="s">
        <v>1481</v>
      </c>
      <c r="D8" s="823">
        <v>3.3501856E7</v>
      </c>
      <c r="E8" s="822" t="s">
        <v>1482</v>
      </c>
      <c r="F8" s="824" t="s">
        <v>1483</v>
      </c>
      <c r="G8" s="45" t="s">
        <v>27</v>
      </c>
      <c r="H8" s="45" t="s">
        <v>120</v>
      </c>
      <c r="I8" s="45" t="s">
        <v>27</v>
      </c>
      <c r="J8" s="45" t="s">
        <v>27</v>
      </c>
      <c r="K8" s="44"/>
      <c r="L8" s="44"/>
      <c r="M8" s="44"/>
      <c r="N8" s="45" t="s">
        <v>27</v>
      </c>
      <c r="O8" s="45" t="s">
        <v>27</v>
      </c>
      <c r="P8" s="45" t="s">
        <v>27</v>
      </c>
      <c r="Q8" s="44"/>
      <c r="R8" s="44"/>
      <c r="S8" s="45" t="s">
        <v>27</v>
      </c>
      <c r="T8" s="45" t="s">
        <v>27</v>
      </c>
      <c r="U8" s="45" t="s">
        <v>27</v>
      </c>
      <c r="V8" s="45" t="s">
        <v>27</v>
      </c>
      <c r="W8" s="44"/>
      <c r="X8" s="44"/>
      <c r="Y8" s="44"/>
      <c r="Z8" s="45" t="s">
        <v>120</v>
      </c>
      <c r="AA8" s="45" t="s">
        <v>120</v>
      </c>
      <c r="AB8" s="45" t="s">
        <v>27</v>
      </c>
      <c r="AC8" s="44"/>
      <c r="AD8" s="103" t="s">
        <v>27</v>
      </c>
      <c r="AE8" s="45" t="s">
        <v>27</v>
      </c>
      <c r="AF8" s="45" t="s">
        <v>27</v>
      </c>
      <c r="AG8" s="109" t="s">
        <v>79</v>
      </c>
      <c r="AH8" s="128" t="s">
        <v>79</v>
      </c>
      <c r="AI8" s="44"/>
      <c r="AJ8" s="44"/>
      <c r="AK8" s="44"/>
      <c r="AL8" s="825" t="s">
        <v>1484</v>
      </c>
      <c r="AM8" s="60" t="str">
        <f t="shared" si="1"/>
        <v/>
      </c>
      <c r="AN8" s="60">
        <f t="shared" si="2"/>
        <v>0</v>
      </c>
      <c r="AO8" s="60">
        <f t="shared" si="3"/>
        <v>0</v>
      </c>
      <c r="AP8" s="60">
        <f t="shared" si="4"/>
        <v>0</v>
      </c>
      <c r="AQ8" s="60">
        <f t="shared" si="5"/>
        <v>0</v>
      </c>
      <c r="AR8" s="60">
        <f t="shared" si="6"/>
        <v>0</v>
      </c>
      <c r="AS8" s="60">
        <f t="shared" si="7"/>
        <v>0</v>
      </c>
      <c r="AT8" s="672"/>
    </row>
    <row r="9">
      <c r="A9" s="801"/>
      <c r="B9" s="559"/>
      <c r="C9" s="559"/>
      <c r="D9" s="559"/>
      <c r="E9" s="559"/>
      <c r="F9" s="24"/>
      <c r="G9" s="24"/>
      <c r="H9" s="24"/>
      <c r="I9" s="24"/>
      <c r="J9" s="24"/>
      <c r="K9" s="24"/>
      <c r="L9" s="24"/>
      <c r="M9" s="24"/>
      <c r="N9" s="24"/>
      <c r="O9" s="24"/>
      <c r="P9" s="24"/>
      <c r="Q9" s="24"/>
      <c r="R9" s="24"/>
      <c r="S9" s="24"/>
      <c r="T9" s="24"/>
      <c r="U9" s="24"/>
      <c r="V9" s="24"/>
      <c r="W9" s="24"/>
      <c r="X9" s="24"/>
      <c r="Y9" s="24"/>
      <c r="Z9" s="24"/>
      <c r="AA9" s="24"/>
      <c r="AB9" s="24"/>
      <c r="AC9" s="24"/>
      <c r="AD9" s="24"/>
      <c r="AE9" s="24"/>
      <c r="AF9" s="24"/>
      <c r="AG9" s="24"/>
      <c r="AH9" s="24"/>
      <c r="AI9" s="24"/>
      <c r="AJ9" s="24"/>
      <c r="AK9" s="24"/>
      <c r="AL9" s="48"/>
      <c r="AM9" s="826"/>
      <c r="AN9" s="672"/>
      <c r="AO9" s="672"/>
      <c r="AP9" s="672"/>
      <c r="AQ9" s="672"/>
      <c r="AR9" s="672"/>
      <c r="AS9" s="672"/>
      <c r="AT9" s="672"/>
    </row>
    <row r="10">
      <c r="B10" s="563" t="s">
        <v>1347</v>
      </c>
      <c r="C10" s="6"/>
      <c r="D10" s="6"/>
      <c r="E10" s="6"/>
      <c r="F10" s="11"/>
      <c r="G10" s="7">
        <v>1.0</v>
      </c>
      <c r="H10" s="7">
        <v>2.0</v>
      </c>
      <c r="I10" s="7">
        <v>3.0</v>
      </c>
      <c r="J10" s="7">
        <v>4.0</v>
      </c>
      <c r="K10" s="7">
        <v>5.0</v>
      </c>
      <c r="L10" s="7">
        <v>6.0</v>
      </c>
      <c r="M10" s="7">
        <v>7.0</v>
      </c>
      <c r="N10" s="7">
        <v>8.0</v>
      </c>
      <c r="O10" s="7">
        <v>9.0</v>
      </c>
      <c r="P10" s="7">
        <v>10.0</v>
      </c>
      <c r="Q10" s="7">
        <v>11.0</v>
      </c>
      <c r="R10" s="7">
        <v>12.0</v>
      </c>
      <c r="S10" s="7">
        <v>13.0</v>
      </c>
      <c r="T10" s="7">
        <v>14.0</v>
      </c>
      <c r="U10" s="7">
        <v>15.0</v>
      </c>
      <c r="V10" s="7">
        <v>16.0</v>
      </c>
      <c r="W10" s="7">
        <v>17.0</v>
      </c>
      <c r="X10" s="7">
        <v>18.0</v>
      </c>
      <c r="Y10" s="7">
        <v>19.0</v>
      </c>
      <c r="Z10" s="7">
        <v>20.0</v>
      </c>
      <c r="AA10" s="7">
        <v>21.0</v>
      </c>
      <c r="AB10" s="7">
        <v>22.0</v>
      </c>
      <c r="AC10" s="7">
        <v>23.0</v>
      </c>
      <c r="AD10" s="7">
        <v>24.0</v>
      </c>
      <c r="AE10" s="7">
        <v>25.0</v>
      </c>
      <c r="AF10" s="7">
        <v>26.0</v>
      </c>
      <c r="AG10" s="7">
        <v>27.0</v>
      </c>
      <c r="AH10" s="7">
        <v>28.0</v>
      </c>
      <c r="AI10" s="7">
        <v>29.0</v>
      </c>
      <c r="AJ10" s="7">
        <v>30.0</v>
      </c>
      <c r="AK10" s="7">
        <v>31.0</v>
      </c>
      <c r="AL10" s="48"/>
      <c r="AM10" s="826"/>
      <c r="AN10" s="672"/>
      <c r="AO10" s="672"/>
      <c r="AP10" s="672"/>
      <c r="AQ10" s="672"/>
      <c r="AR10" s="672"/>
      <c r="AS10" s="672"/>
      <c r="AT10" s="672"/>
    </row>
    <row r="11">
      <c r="B11" s="792" t="s">
        <v>4</v>
      </c>
      <c r="C11" s="793" t="s">
        <v>5</v>
      </c>
      <c r="D11" s="827" t="s">
        <v>6</v>
      </c>
      <c r="E11" s="828" t="s">
        <v>7</v>
      </c>
      <c r="F11" s="829" t="s">
        <v>8</v>
      </c>
      <c r="G11" s="10" t="s">
        <v>9</v>
      </c>
      <c r="H11" s="10" t="s">
        <v>10</v>
      </c>
      <c r="I11" s="10" t="s">
        <v>11</v>
      </c>
      <c r="J11" s="10" t="s">
        <v>12</v>
      </c>
      <c r="K11" s="10" t="s">
        <v>12</v>
      </c>
      <c r="L11" s="10" t="s">
        <v>13</v>
      </c>
      <c r="M11" s="10" t="s">
        <v>15</v>
      </c>
      <c r="N11" s="10" t="s">
        <v>9</v>
      </c>
      <c r="O11" s="10" t="s">
        <v>10</v>
      </c>
      <c r="P11" s="10" t="s">
        <v>11</v>
      </c>
      <c r="Q11" s="10" t="s">
        <v>12</v>
      </c>
      <c r="R11" s="10" t="s">
        <v>12</v>
      </c>
      <c r="S11" s="10" t="s">
        <v>13</v>
      </c>
      <c r="T11" s="10" t="s">
        <v>15</v>
      </c>
      <c r="U11" s="10" t="s">
        <v>9</v>
      </c>
      <c r="V11" s="10" t="s">
        <v>10</v>
      </c>
      <c r="W11" s="10" t="s">
        <v>11</v>
      </c>
      <c r="X11" s="10" t="s">
        <v>12</v>
      </c>
      <c r="Y11" s="10" t="s">
        <v>12</v>
      </c>
      <c r="Z11" s="10" t="s">
        <v>13</v>
      </c>
      <c r="AA11" s="10" t="s">
        <v>15</v>
      </c>
      <c r="AB11" s="10" t="s">
        <v>9</v>
      </c>
      <c r="AC11" s="10" t="s">
        <v>10</v>
      </c>
      <c r="AD11" s="10" t="s">
        <v>11</v>
      </c>
      <c r="AE11" s="10" t="s">
        <v>12</v>
      </c>
      <c r="AF11" s="10" t="s">
        <v>12</v>
      </c>
      <c r="AG11" s="10" t="s">
        <v>13</v>
      </c>
      <c r="AH11" s="10" t="s">
        <v>15</v>
      </c>
      <c r="AI11" s="10" t="s">
        <v>9</v>
      </c>
      <c r="AJ11" s="10" t="s">
        <v>10</v>
      </c>
      <c r="AK11" s="796" t="s">
        <v>11</v>
      </c>
      <c r="AL11" s="48"/>
      <c r="AM11" s="826"/>
      <c r="AN11" s="672"/>
      <c r="AO11" s="672"/>
      <c r="AP11" s="672"/>
      <c r="AQ11" s="672"/>
      <c r="AR11" s="672"/>
      <c r="AS11" s="672"/>
      <c r="AT11" s="672"/>
    </row>
    <row r="12" ht="15.75" customHeight="1">
      <c r="A12" s="797" t="s">
        <v>1485</v>
      </c>
      <c r="B12" s="830" t="s">
        <v>23</v>
      </c>
      <c r="C12" s="56" t="s">
        <v>1486</v>
      </c>
      <c r="D12" s="54">
        <v>12884.0</v>
      </c>
      <c r="E12" s="56" t="s">
        <v>1487</v>
      </c>
      <c r="F12" s="831" t="s">
        <v>1488</v>
      </c>
      <c r="G12" s="832" t="s">
        <v>22</v>
      </c>
      <c r="H12" s="832" t="s">
        <v>22</v>
      </c>
      <c r="I12" s="832" t="s">
        <v>22</v>
      </c>
      <c r="J12" s="832" t="s">
        <v>22</v>
      </c>
      <c r="K12" s="832" t="s">
        <v>22</v>
      </c>
      <c r="L12" s="45" t="s">
        <v>120</v>
      </c>
      <c r="M12" s="44"/>
      <c r="N12" s="44"/>
      <c r="O12" s="103" t="s">
        <v>27</v>
      </c>
      <c r="P12" s="45" t="s">
        <v>27</v>
      </c>
      <c r="Q12" s="45" t="s">
        <v>27</v>
      </c>
      <c r="R12" s="45" t="s">
        <v>27</v>
      </c>
      <c r="S12" s="44"/>
      <c r="T12" s="44"/>
      <c r="U12" s="44"/>
      <c r="V12" s="45" t="s">
        <v>27</v>
      </c>
      <c r="W12" s="45" t="s">
        <v>27</v>
      </c>
      <c r="X12" s="45" t="s">
        <v>27</v>
      </c>
      <c r="Y12" s="44"/>
      <c r="Z12" s="44"/>
      <c r="AA12" s="103" t="s">
        <v>120</v>
      </c>
      <c r="AB12" s="45" t="s">
        <v>27</v>
      </c>
      <c r="AC12" s="45" t="s">
        <v>120</v>
      </c>
      <c r="AD12" s="45" t="s">
        <v>27</v>
      </c>
      <c r="AE12" s="44"/>
      <c r="AF12" s="44"/>
      <c r="AG12" s="44"/>
      <c r="AH12" s="45" t="s">
        <v>120</v>
      </c>
      <c r="AI12" s="45" t="s">
        <v>27</v>
      </c>
      <c r="AJ12" s="833" t="s">
        <v>20</v>
      </c>
      <c r="AK12" s="44"/>
      <c r="AL12" s="48"/>
      <c r="AM12" s="60" t="str">
        <f t="shared" ref="AM12:AM15" si="8">IFS(AN12&gt;3,"NO CORRESPONDE FRANCO",AS12&gt;0,"NO CORRESPONDE FRANCO",AS12=0,"")</f>
        <v>NO CORRESPONDE FRANCO</v>
      </c>
      <c r="AN12" s="60">
        <f t="shared" ref="AN12:AN15" si="9">COUNTIF($G12:$AK12,"LLT")</f>
        <v>0</v>
      </c>
      <c r="AO12" s="60">
        <f t="shared" ref="AO12:AO15" si="10">COUNTIF($G12:$AK12,"LM")</f>
        <v>0</v>
      </c>
      <c r="AP12" s="60">
        <f t="shared" ref="AP12:AP15" si="11">COUNTIF($G12:$AK12,"FaC")</f>
        <v>1</v>
      </c>
      <c r="AQ12" s="60">
        <f t="shared" ref="AQ12:AQ15" si="12">COUNTIF($G12:$AK12,"LxE")</f>
        <v>0</v>
      </c>
      <c r="AR12" s="60">
        <f t="shared" ref="AR12:AR15" si="13">COUNTIF($G12:$AK12,"LA")</f>
        <v>5</v>
      </c>
      <c r="AS12" s="60">
        <f t="shared" ref="AS12:AS15" si="14">SUM(AO12:AR12)</f>
        <v>6</v>
      </c>
      <c r="AT12" s="672"/>
    </row>
    <row r="13" ht="15.0" customHeight="1">
      <c r="A13" s="801"/>
      <c r="B13" s="830" t="s">
        <v>33</v>
      </c>
      <c r="C13" s="834" t="s">
        <v>1489</v>
      </c>
      <c r="D13" s="54">
        <v>4.0677307E7</v>
      </c>
      <c r="E13" s="56" t="s">
        <v>1490</v>
      </c>
      <c r="F13" s="835" t="s">
        <v>1491</v>
      </c>
      <c r="G13" s="710"/>
      <c r="H13" s="710"/>
      <c r="I13" s="710"/>
      <c r="J13" s="711" t="s">
        <v>27</v>
      </c>
      <c r="K13" s="711" t="s">
        <v>120</v>
      </c>
      <c r="L13" s="711" t="s">
        <v>120</v>
      </c>
      <c r="M13" s="710"/>
      <c r="N13" s="710"/>
      <c r="O13" s="712" t="s">
        <v>27</v>
      </c>
      <c r="P13" s="711" t="s">
        <v>27</v>
      </c>
      <c r="Q13" s="711" t="s">
        <v>27</v>
      </c>
      <c r="R13" s="711" t="s">
        <v>27</v>
      </c>
      <c r="S13" s="710"/>
      <c r="T13" s="710"/>
      <c r="U13" s="710"/>
      <c r="V13" s="836" t="s">
        <v>19</v>
      </c>
      <c r="W13" s="96" t="s">
        <v>22</v>
      </c>
      <c r="X13" s="96" t="s">
        <v>22</v>
      </c>
      <c r="Y13" s="96" t="s">
        <v>22</v>
      </c>
      <c r="Z13" s="96" t="s">
        <v>22</v>
      </c>
      <c r="AA13" s="96" t="s">
        <v>22</v>
      </c>
      <c r="AB13" s="96" t="s">
        <v>22</v>
      </c>
      <c r="AC13" s="96" t="s">
        <v>22</v>
      </c>
      <c r="AD13" s="713" t="s">
        <v>79</v>
      </c>
      <c r="AE13" s="710"/>
      <c r="AF13" s="710"/>
      <c r="AG13" s="712" t="s">
        <v>27</v>
      </c>
      <c r="AH13" s="711" t="s">
        <v>120</v>
      </c>
      <c r="AI13" s="711" t="s">
        <v>27</v>
      </c>
      <c r="AJ13" s="711" t="s">
        <v>27</v>
      </c>
      <c r="AK13" s="710"/>
      <c r="AL13" s="812" t="s">
        <v>1492</v>
      </c>
      <c r="AM13" s="60" t="str">
        <f t="shared" si="8"/>
        <v>NO CORRESPONDE FRANCO</v>
      </c>
      <c r="AN13" s="60">
        <f t="shared" si="9"/>
        <v>0</v>
      </c>
      <c r="AO13" s="60">
        <f t="shared" si="10"/>
        <v>1</v>
      </c>
      <c r="AP13" s="60">
        <f t="shared" si="11"/>
        <v>0</v>
      </c>
      <c r="AQ13" s="60">
        <f t="shared" si="12"/>
        <v>0</v>
      </c>
      <c r="AR13" s="60">
        <f t="shared" si="13"/>
        <v>7</v>
      </c>
      <c r="AS13" s="60">
        <f t="shared" si="14"/>
        <v>8</v>
      </c>
      <c r="AT13" s="24"/>
    </row>
    <row r="14" ht="15.0" customHeight="1">
      <c r="A14" s="837" t="s">
        <v>1355</v>
      </c>
      <c r="B14" s="838" t="s">
        <v>33</v>
      </c>
      <c r="C14" s="839" t="s">
        <v>1493</v>
      </c>
      <c r="D14" s="838">
        <v>2.8596818E7</v>
      </c>
      <c r="E14" s="840" t="s">
        <v>1494</v>
      </c>
      <c r="F14" s="841" t="s">
        <v>1495</v>
      </c>
      <c r="G14" s="718"/>
      <c r="H14" s="718"/>
      <c r="I14" s="719" t="s">
        <v>18</v>
      </c>
      <c r="J14" s="91" t="s">
        <v>19</v>
      </c>
      <c r="K14" s="720" t="s">
        <v>120</v>
      </c>
      <c r="L14" s="718"/>
      <c r="M14" s="718"/>
      <c r="N14" s="718"/>
      <c r="O14" s="472"/>
      <c r="P14" s="720" t="s">
        <v>27</v>
      </c>
      <c r="Q14" s="720" t="s">
        <v>27</v>
      </c>
      <c r="R14" s="720" t="s">
        <v>18</v>
      </c>
      <c r="S14" s="718"/>
      <c r="T14" s="718"/>
      <c r="U14" s="719" t="s">
        <v>27</v>
      </c>
      <c r="V14" s="720" t="s">
        <v>27</v>
      </c>
      <c r="W14" s="720" t="s">
        <v>27</v>
      </c>
      <c r="X14" s="718"/>
      <c r="Y14" s="718"/>
      <c r="Z14" s="718"/>
      <c r="AA14" s="720" t="s">
        <v>120</v>
      </c>
      <c r="AB14" s="720" t="s">
        <v>27</v>
      </c>
      <c r="AC14" s="720" t="s">
        <v>120</v>
      </c>
      <c r="AD14" s="819" t="s">
        <v>19</v>
      </c>
      <c r="AE14" s="718"/>
      <c r="AF14" s="718"/>
      <c r="AG14" s="720" t="s">
        <v>27</v>
      </c>
      <c r="AH14" s="720" t="s">
        <v>120</v>
      </c>
      <c r="AI14" s="720" t="s">
        <v>27</v>
      </c>
      <c r="AJ14" s="718"/>
      <c r="AK14" s="718"/>
      <c r="AL14" s="257"/>
      <c r="AM14" s="60" t="str">
        <f t="shared" si="8"/>
        <v>NO CORRESPONDE FRANCO</v>
      </c>
      <c r="AN14" s="60">
        <f t="shared" si="9"/>
        <v>2</v>
      </c>
      <c r="AO14" s="60">
        <f t="shared" si="10"/>
        <v>2</v>
      </c>
      <c r="AP14" s="60">
        <f t="shared" si="11"/>
        <v>0</v>
      </c>
      <c r="AQ14" s="60">
        <f t="shared" si="12"/>
        <v>0</v>
      </c>
      <c r="AR14" s="60">
        <f t="shared" si="13"/>
        <v>0</v>
      </c>
      <c r="AS14" s="60">
        <f t="shared" si="14"/>
        <v>2</v>
      </c>
      <c r="AT14" s="842"/>
    </row>
    <row r="15" ht="15.0" customHeight="1">
      <c r="A15" s="801"/>
      <c r="B15" s="814" t="s">
        <v>33</v>
      </c>
      <c r="C15" s="815" t="s">
        <v>1496</v>
      </c>
      <c r="D15" s="843">
        <v>2.9277193E7</v>
      </c>
      <c r="E15" s="844" t="s">
        <v>1497</v>
      </c>
      <c r="F15" s="845" t="s">
        <v>1498</v>
      </c>
      <c r="G15" s="44"/>
      <c r="H15" s="44"/>
      <c r="I15" s="103" t="s">
        <v>27</v>
      </c>
      <c r="J15" s="45" t="s">
        <v>27</v>
      </c>
      <c r="K15" s="45" t="s">
        <v>120</v>
      </c>
      <c r="L15" s="44"/>
      <c r="M15" s="44"/>
      <c r="N15" s="44"/>
      <c r="O15" s="45" t="s">
        <v>27</v>
      </c>
      <c r="P15" s="45" t="s">
        <v>27</v>
      </c>
      <c r="Q15" s="45" t="s">
        <v>27</v>
      </c>
      <c r="R15" s="45" t="s">
        <v>27</v>
      </c>
      <c r="S15" s="44"/>
      <c r="T15" s="44"/>
      <c r="U15" s="134" t="s">
        <v>19</v>
      </c>
      <c r="V15" s="45" t="s">
        <v>27</v>
      </c>
      <c r="W15" s="45" t="s">
        <v>27</v>
      </c>
      <c r="X15" s="44"/>
      <c r="Y15" s="44"/>
      <c r="Z15" s="44"/>
      <c r="AA15" s="109" t="s">
        <v>79</v>
      </c>
      <c r="AB15" s="106" t="s">
        <v>32</v>
      </c>
      <c r="AC15" s="309" t="s">
        <v>120</v>
      </c>
      <c r="AD15" s="192" t="s">
        <v>22</v>
      </c>
      <c r="AE15" s="192" t="s">
        <v>22</v>
      </c>
      <c r="AF15" s="192" t="s">
        <v>22</v>
      </c>
      <c r="AG15" s="192" t="s">
        <v>22</v>
      </c>
      <c r="AH15" s="192" t="s">
        <v>22</v>
      </c>
      <c r="AI15" s="192" t="s">
        <v>22</v>
      </c>
      <c r="AJ15" s="44"/>
      <c r="AK15" s="44"/>
      <c r="AL15" s="846" t="s">
        <v>1499</v>
      </c>
      <c r="AM15" s="60" t="str">
        <f t="shared" si="8"/>
        <v>NO CORRESPONDE FRANCO</v>
      </c>
      <c r="AN15" s="60">
        <f t="shared" si="9"/>
        <v>0</v>
      </c>
      <c r="AO15" s="60">
        <f t="shared" si="10"/>
        <v>1</v>
      </c>
      <c r="AP15" s="60">
        <f t="shared" si="11"/>
        <v>0</v>
      </c>
      <c r="AQ15" s="60">
        <f t="shared" si="12"/>
        <v>0</v>
      </c>
      <c r="AR15" s="60">
        <f t="shared" si="13"/>
        <v>6</v>
      </c>
      <c r="AS15" s="60">
        <f t="shared" si="14"/>
        <v>7</v>
      </c>
      <c r="AT15" s="842"/>
    </row>
    <row r="16">
      <c r="B16" s="559"/>
      <c r="C16" s="559"/>
      <c r="D16" s="559"/>
      <c r="E16" s="559"/>
      <c r="F16" s="24"/>
      <c r="G16" s="24"/>
      <c r="H16" s="24"/>
      <c r="I16" s="24"/>
      <c r="J16" s="24"/>
      <c r="K16" s="24"/>
      <c r="L16" s="24"/>
      <c r="M16" s="24"/>
      <c r="N16" s="24"/>
      <c r="O16" s="24"/>
      <c r="P16" s="24"/>
      <c r="Q16" s="24"/>
      <c r="R16" s="24"/>
      <c r="S16" s="24"/>
      <c r="T16" s="24"/>
      <c r="U16" s="24"/>
      <c r="V16" s="24"/>
      <c r="W16" s="24"/>
      <c r="X16" s="24"/>
      <c r="Y16" s="24"/>
      <c r="Z16" s="24"/>
      <c r="AA16" s="24"/>
      <c r="AB16" s="24"/>
      <c r="AC16" s="24"/>
      <c r="AD16" s="24"/>
      <c r="AE16" s="24"/>
      <c r="AF16" s="24"/>
      <c r="AG16" s="24"/>
      <c r="AH16" s="24"/>
      <c r="AI16" s="24"/>
      <c r="AJ16" s="24"/>
      <c r="AK16" s="24"/>
      <c r="AM16" s="26"/>
      <c r="AN16" s="24"/>
      <c r="AO16" s="24"/>
      <c r="AP16" s="24"/>
      <c r="AQ16" s="24"/>
      <c r="AR16" s="24"/>
      <c r="AS16" s="24"/>
      <c r="AT16" s="24"/>
    </row>
    <row r="17">
      <c r="B17" s="563" t="s">
        <v>1365</v>
      </c>
      <c r="C17" s="6"/>
      <c r="D17" s="6"/>
      <c r="E17" s="6"/>
      <c r="F17" s="11"/>
      <c r="G17" s="7">
        <v>1.0</v>
      </c>
      <c r="H17" s="7">
        <v>2.0</v>
      </c>
      <c r="I17" s="7">
        <v>3.0</v>
      </c>
      <c r="J17" s="7">
        <v>4.0</v>
      </c>
      <c r="K17" s="7">
        <v>5.0</v>
      </c>
      <c r="L17" s="7">
        <v>6.0</v>
      </c>
      <c r="M17" s="7">
        <v>7.0</v>
      </c>
      <c r="N17" s="7">
        <v>8.0</v>
      </c>
      <c r="O17" s="7">
        <v>9.0</v>
      </c>
      <c r="P17" s="7">
        <v>10.0</v>
      </c>
      <c r="Q17" s="7">
        <v>11.0</v>
      </c>
      <c r="R17" s="7">
        <v>12.0</v>
      </c>
      <c r="S17" s="7">
        <v>13.0</v>
      </c>
      <c r="T17" s="7">
        <v>14.0</v>
      </c>
      <c r="U17" s="7">
        <v>15.0</v>
      </c>
      <c r="V17" s="7">
        <v>16.0</v>
      </c>
      <c r="W17" s="7">
        <v>17.0</v>
      </c>
      <c r="X17" s="7">
        <v>18.0</v>
      </c>
      <c r="Y17" s="7">
        <v>19.0</v>
      </c>
      <c r="Z17" s="7">
        <v>20.0</v>
      </c>
      <c r="AA17" s="7">
        <v>21.0</v>
      </c>
      <c r="AB17" s="7">
        <v>22.0</v>
      </c>
      <c r="AC17" s="7">
        <v>23.0</v>
      </c>
      <c r="AD17" s="7">
        <v>24.0</v>
      </c>
      <c r="AE17" s="7">
        <v>25.0</v>
      </c>
      <c r="AF17" s="7">
        <v>26.0</v>
      </c>
      <c r="AG17" s="7">
        <v>27.0</v>
      </c>
      <c r="AH17" s="7">
        <v>28.0</v>
      </c>
      <c r="AI17" s="7">
        <v>29.0</v>
      </c>
      <c r="AJ17" s="7">
        <v>30.0</v>
      </c>
      <c r="AK17" s="7">
        <v>31.0</v>
      </c>
      <c r="AM17" s="26"/>
      <c r="AN17" s="24"/>
      <c r="AO17" s="24"/>
      <c r="AP17" s="24"/>
      <c r="AQ17" s="24"/>
      <c r="AR17" s="24"/>
      <c r="AS17" s="24"/>
      <c r="AT17" s="24"/>
    </row>
    <row r="18">
      <c r="B18" s="792" t="s">
        <v>4</v>
      </c>
      <c r="C18" s="793" t="s">
        <v>5</v>
      </c>
      <c r="D18" s="827" t="s">
        <v>6</v>
      </c>
      <c r="E18" s="828" t="s">
        <v>7</v>
      </c>
      <c r="F18" s="829" t="s">
        <v>8</v>
      </c>
      <c r="G18" s="10" t="s">
        <v>9</v>
      </c>
      <c r="H18" s="10" t="s">
        <v>10</v>
      </c>
      <c r="I18" s="10" t="s">
        <v>11</v>
      </c>
      <c r="J18" s="10" t="s">
        <v>12</v>
      </c>
      <c r="K18" s="10" t="s">
        <v>12</v>
      </c>
      <c r="L18" s="10" t="s">
        <v>13</v>
      </c>
      <c r="M18" s="10" t="s">
        <v>15</v>
      </c>
      <c r="N18" s="10" t="s">
        <v>9</v>
      </c>
      <c r="O18" s="10" t="s">
        <v>10</v>
      </c>
      <c r="P18" s="10" t="s">
        <v>11</v>
      </c>
      <c r="Q18" s="10" t="s">
        <v>12</v>
      </c>
      <c r="R18" s="10" t="s">
        <v>12</v>
      </c>
      <c r="S18" s="10" t="s">
        <v>13</v>
      </c>
      <c r="T18" s="10" t="s">
        <v>15</v>
      </c>
      <c r="U18" s="10" t="s">
        <v>9</v>
      </c>
      <c r="V18" s="10" t="s">
        <v>10</v>
      </c>
      <c r="W18" s="10" t="s">
        <v>11</v>
      </c>
      <c r="X18" s="10" t="s">
        <v>12</v>
      </c>
      <c r="Y18" s="10" t="s">
        <v>12</v>
      </c>
      <c r="Z18" s="10" t="s">
        <v>13</v>
      </c>
      <c r="AA18" s="10" t="s">
        <v>15</v>
      </c>
      <c r="AB18" s="10" t="s">
        <v>9</v>
      </c>
      <c r="AC18" s="10" t="s">
        <v>10</v>
      </c>
      <c r="AD18" s="10" t="s">
        <v>11</v>
      </c>
      <c r="AE18" s="10" t="s">
        <v>12</v>
      </c>
      <c r="AF18" s="10" t="s">
        <v>12</v>
      </c>
      <c r="AG18" s="10" t="s">
        <v>13</v>
      </c>
      <c r="AH18" s="10" t="s">
        <v>15</v>
      </c>
      <c r="AI18" s="10" t="s">
        <v>9</v>
      </c>
      <c r="AJ18" s="10" t="s">
        <v>10</v>
      </c>
      <c r="AK18" s="796" t="s">
        <v>11</v>
      </c>
      <c r="AM18" s="26"/>
      <c r="AN18" s="24"/>
      <c r="AO18" s="24"/>
      <c r="AP18" s="24"/>
      <c r="AQ18" s="24"/>
      <c r="AR18" s="24"/>
      <c r="AS18" s="24"/>
      <c r="AT18" s="24"/>
    </row>
    <row r="19">
      <c r="A19" s="847" t="s">
        <v>1500</v>
      </c>
      <c r="B19" s="848" t="s">
        <v>23</v>
      </c>
      <c r="C19" s="849" t="s">
        <v>1501</v>
      </c>
      <c r="D19" s="850">
        <v>12896.0</v>
      </c>
      <c r="E19" s="851" t="s">
        <v>1502</v>
      </c>
      <c r="F19" s="852" t="s">
        <v>1503</v>
      </c>
      <c r="G19" s="832" t="s">
        <v>22</v>
      </c>
      <c r="H19" s="832" t="s">
        <v>22</v>
      </c>
      <c r="I19" s="832" t="s">
        <v>22</v>
      </c>
      <c r="J19" s="44"/>
      <c r="K19" s="45" t="s">
        <v>27</v>
      </c>
      <c r="L19" s="45" t="s">
        <v>27</v>
      </c>
      <c r="M19" s="45" t="s">
        <v>27</v>
      </c>
      <c r="N19" s="45" t="s">
        <v>27</v>
      </c>
      <c r="O19" s="44"/>
      <c r="P19" s="44"/>
      <c r="Q19" s="45" t="s">
        <v>27</v>
      </c>
      <c r="R19" s="70"/>
      <c r="S19" s="45" t="s">
        <v>120</v>
      </c>
      <c r="T19" s="44"/>
      <c r="U19" s="44"/>
      <c r="V19" s="44"/>
      <c r="W19" s="45" t="s">
        <v>27</v>
      </c>
      <c r="X19" s="45" t="s">
        <v>27</v>
      </c>
      <c r="Y19" s="45" t="s">
        <v>27</v>
      </c>
      <c r="Z19" s="45" t="s">
        <v>27</v>
      </c>
      <c r="AA19" s="44"/>
      <c r="AB19" s="44"/>
      <c r="AC19" s="819" t="s">
        <v>19</v>
      </c>
      <c r="AD19" s="819" t="s">
        <v>19</v>
      </c>
      <c r="AE19" s="819" t="s">
        <v>19</v>
      </c>
      <c r="AF19" s="103" t="s">
        <v>27</v>
      </c>
      <c r="AG19" s="44"/>
      <c r="AH19" s="44"/>
      <c r="AI19" s="45" t="s">
        <v>27</v>
      </c>
      <c r="AJ19" s="45" t="s">
        <v>27</v>
      </c>
      <c r="AK19" s="45" t="s">
        <v>120</v>
      </c>
      <c r="AL19" s="812" t="s">
        <v>1504</v>
      </c>
      <c r="AM19" s="60" t="str">
        <f t="shared" ref="AM19:AM24" si="15">IFS(AN19&gt;3,"NO CORRESPONDE FRANCO",AS19&gt;0,"NO CORRESPONDE FRANCO",AS19=0,"")</f>
        <v>NO CORRESPONDE FRANCO</v>
      </c>
      <c r="AN19" s="60">
        <f t="shared" ref="AN19:AN24" si="16">COUNTIF($G19:$AK19,"LLT")</f>
        <v>0</v>
      </c>
      <c r="AO19" s="60">
        <f t="shared" ref="AO19:AO24" si="17">COUNTIF($G19:$AK19,"LM")</f>
        <v>3</v>
      </c>
      <c r="AP19" s="60">
        <f t="shared" ref="AP19:AP24" si="18">COUNTIF($G19:$AK19,"FaC")</f>
        <v>0</v>
      </c>
      <c r="AQ19" s="60">
        <f t="shared" ref="AQ19:AQ24" si="19">COUNTIF($G19:$AK19,"LxE")</f>
        <v>0</v>
      </c>
      <c r="AR19" s="60">
        <f t="shared" ref="AR19:AR24" si="20">COUNTIF($G19:$AK19,"LA")</f>
        <v>3</v>
      </c>
      <c r="AS19" s="60">
        <f t="shared" ref="AS19:AS24" si="21">SUM(AO19:AR19)</f>
        <v>6</v>
      </c>
      <c r="AT19" s="24"/>
    </row>
    <row r="20">
      <c r="A20" s="820"/>
      <c r="B20" s="848" t="s">
        <v>33</v>
      </c>
      <c r="C20" s="849" t="s">
        <v>1505</v>
      </c>
      <c r="D20" s="850">
        <v>4.124802E7</v>
      </c>
      <c r="E20" s="851" t="s">
        <v>1506</v>
      </c>
      <c r="F20" s="853" t="s">
        <v>1507</v>
      </c>
      <c r="G20" s="45" t="s">
        <v>27</v>
      </c>
      <c r="H20" s="44"/>
      <c r="I20" s="44"/>
      <c r="J20" s="44"/>
      <c r="K20" s="45" t="s">
        <v>27</v>
      </c>
      <c r="L20" s="45" t="s">
        <v>120</v>
      </c>
      <c r="M20" s="45" t="s">
        <v>27</v>
      </c>
      <c r="N20" s="45" t="s">
        <v>27</v>
      </c>
      <c r="O20" s="44"/>
      <c r="P20" s="44"/>
      <c r="Q20" s="45" t="s">
        <v>27</v>
      </c>
      <c r="R20" s="45" t="s">
        <v>27</v>
      </c>
      <c r="S20" s="45" t="s">
        <v>27</v>
      </c>
      <c r="T20" s="44"/>
      <c r="U20" s="44"/>
      <c r="V20" s="44"/>
      <c r="W20" s="45" t="s">
        <v>27</v>
      </c>
      <c r="X20" s="45" t="s">
        <v>27</v>
      </c>
      <c r="Y20" s="45" t="s">
        <v>120</v>
      </c>
      <c r="Z20" s="45" t="s">
        <v>27</v>
      </c>
      <c r="AA20" s="44"/>
      <c r="AB20" s="44"/>
      <c r="AC20" s="106" t="s">
        <v>32</v>
      </c>
      <c r="AD20" s="45" t="s">
        <v>27</v>
      </c>
      <c r="AE20" s="45" t="s">
        <v>27</v>
      </c>
      <c r="AF20" s="44"/>
      <c r="AG20" s="44"/>
      <c r="AH20" s="44"/>
      <c r="AI20" s="45" t="s">
        <v>27</v>
      </c>
      <c r="AJ20" s="45" t="s">
        <v>27</v>
      </c>
      <c r="AK20" s="45" t="s">
        <v>27</v>
      </c>
      <c r="AL20" s="257"/>
      <c r="AM20" s="60" t="str">
        <f t="shared" si="15"/>
        <v/>
      </c>
      <c r="AN20" s="60">
        <f t="shared" si="16"/>
        <v>0</v>
      </c>
      <c r="AO20" s="60">
        <f t="shared" si="17"/>
        <v>0</v>
      </c>
      <c r="AP20" s="60">
        <f t="shared" si="18"/>
        <v>0</v>
      </c>
      <c r="AQ20" s="60">
        <f t="shared" si="19"/>
        <v>0</v>
      </c>
      <c r="AR20" s="60">
        <f t="shared" si="20"/>
        <v>0</v>
      </c>
      <c r="AS20" s="60">
        <f t="shared" si="21"/>
        <v>0</v>
      </c>
      <c r="AT20" s="24"/>
    </row>
    <row r="21" ht="15.75" customHeight="1">
      <c r="A21" s="801"/>
      <c r="B21" s="854" t="s">
        <v>33</v>
      </c>
      <c r="C21" s="855" t="s">
        <v>1508</v>
      </c>
      <c r="D21" s="856">
        <v>4.5316966E7</v>
      </c>
      <c r="E21" s="856" t="s">
        <v>1509</v>
      </c>
      <c r="F21" s="857" t="s">
        <v>1510</v>
      </c>
      <c r="G21" s="711" t="s">
        <v>18</v>
      </c>
      <c r="H21" s="710"/>
      <c r="I21" s="710"/>
      <c r="J21" s="710"/>
      <c r="K21" s="711" t="s">
        <v>120</v>
      </c>
      <c r="L21" s="711" t="s">
        <v>120</v>
      </c>
      <c r="M21" s="711" t="s">
        <v>27</v>
      </c>
      <c r="N21" s="711" t="s">
        <v>27</v>
      </c>
      <c r="O21" s="710"/>
      <c r="P21" s="710"/>
      <c r="Q21" s="711" t="s">
        <v>27</v>
      </c>
      <c r="R21" s="711" t="s">
        <v>27</v>
      </c>
      <c r="S21" s="711" t="s">
        <v>27</v>
      </c>
      <c r="T21" s="710"/>
      <c r="U21" s="710"/>
      <c r="V21" s="710"/>
      <c r="W21" s="711" t="s">
        <v>27</v>
      </c>
      <c r="X21" s="711" t="s">
        <v>27</v>
      </c>
      <c r="Y21" s="711" t="s">
        <v>120</v>
      </c>
      <c r="Z21" s="711" t="s">
        <v>27</v>
      </c>
      <c r="AA21" s="710"/>
      <c r="AB21" s="712" t="s">
        <v>27</v>
      </c>
      <c r="AC21" s="711" t="s">
        <v>120</v>
      </c>
      <c r="AD21" s="711" t="s">
        <v>27</v>
      </c>
      <c r="AE21" s="711" t="s">
        <v>27</v>
      </c>
      <c r="AF21" s="710"/>
      <c r="AG21" s="710"/>
      <c r="AH21" s="710"/>
      <c r="AI21" s="711" t="s">
        <v>27</v>
      </c>
      <c r="AJ21" s="109" t="s">
        <v>79</v>
      </c>
      <c r="AK21" s="711" t="s">
        <v>27</v>
      </c>
      <c r="AL21" s="257"/>
      <c r="AM21" s="60" t="str">
        <f t="shared" si="15"/>
        <v/>
      </c>
      <c r="AN21" s="60">
        <f t="shared" si="16"/>
        <v>1</v>
      </c>
      <c r="AO21" s="60">
        <f t="shared" si="17"/>
        <v>0</v>
      </c>
      <c r="AP21" s="60">
        <f t="shared" si="18"/>
        <v>0</v>
      </c>
      <c r="AQ21" s="60">
        <f t="shared" si="19"/>
        <v>0</v>
      </c>
      <c r="AR21" s="60">
        <f t="shared" si="20"/>
        <v>0</v>
      </c>
      <c r="AS21" s="60">
        <f t="shared" si="21"/>
        <v>0</v>
      </c>
      <c r="AT21" s="24"/>
    </row>
    <row r="22" ht="15.75" customHeight="1">
      <c r="A22" s="837" t="s">
        <v>1374</v>
      </c>
      <c r="B22" s="838" t="s">
        <v>230</v>
      </c>
      <c r="C22" s="839" t="s">
        <v>1511</v>
      </c>
      <c r="D22" s="858">
        <v>33930.0</v>
      </c>
      <c r="E22" s="859" t="s">
        <v>1512</v>
      </c>
      <c r="F22" s="860">
        <v>1.122944955E9</v>
      </c>
      <c r="G22" s="720" t="s">
        <v>27</v>
      </c>
      <c r="H22" s="720" t="s">
        <v>120</v>
      </c>
      <c r="I22" s="718"/>
      <c r="J22" s="718"/>
      <c r="K22" s="718"/>
      <c r="L22" s="719" t="s">
        <v>120</v>
      </c>
      <c r="M22" s="819" t="s">
        <v>19</v>
      </c>
      <c r="N22" s="819" t="s">
        <v>19</v>
      </c>
      <c r="O22" s="718"/>
      <c r="P22" s="718"/>
      <c r="Q22" s="720" t="s">
        <v>27</v>
      </c>
      <c r="R22" s="720" t="s">
        <v>27</v>
      </c>
      <c r="S22" s="720" t="s">
        <v>27</v>
      </c>
      <c r="T22" s="720" t="s">
        <v>27</v>
      </c>
      <c r="U22" s="718"/>
      <c r="V22" s="718"/>
      <c r="W22" s="718"/>
      <c r="X22" s="720" t="s">
        <v>27</v>
      </c>
      <c r="Y22" s="720" t="s">
        <v>120</v>
      </c>
      <c r="Z22" s="720" t="s">
        <v>120</v>
      </c>
      <c r="AA22" s="718"/>
      <c r="AB22" s="718"/>
      <c r="AC22" s="720" t="s">
        <v>120</v>
      </c>
      <c r="AD22" s="720" t="s">
        <v>27</v>
      </c>
      <c r="AE22" s="720" t="s">
        <v>27</v>
      </c>
      <c r="AF22" s="720" t="s">
        <v>27</v>
      </c>
      <c r="AG22" s="718"/>
      <c r="AH22" s="719" t="s">
        <v>120</v>
      </c>
      <c r="AI22" s="718"/>
      <c r="AJ22" s="720" t="s">
        <v>27</v>
      </c>
      <c r="AK22" s="720" t="s">
        <v>27</v>
      </c>
      <c r="AL22" s="825" t="s">
        <v>1513</v>
      </c>
      <c r="AM22" s="60" t="str">
        <f t="shared" si="15"/>
        <v>NO CORRESPONDE FRANCO</v>
      </c>
      <c r="AN22" s="60">
        <f t="shared" si="16"/>
        <v>0</v>
      </c>
      <c r="AO22" s="60">
        <f t="shared" si="17"/>
        <v>2</v>
      </c>
      <c r="AP22" s="60">
        <f t="shared" si="18"/>
        <v>0</v>
      </c>
      <c r="AQ22" s="60">
        <f t="shared" si="19"/>
        <v>0</v>
      </c>
      <c r="AR22" s="60">
        <f t="shared" si="20"/>
        <v>0</v>
      </c>
      <c r="AS22" s="60">
        <f t="shared" si="21"/>
        <v>2</v>
      </c>
      <c r="AT22" s="24"/>
    </row>
    <row r="23" ht="15.75" customHeight="1">
      <c r="A23" s="820"/>
      <c r="B23" s="861" t="s">
        <v>33</v>
      </c>
      <c r="C23" s="862" t="s">
        <v>1514</v>
      </c>
      <c r="D23" s="863">
        <v>4.577777E7</v>
      </c>
      <c r="E23" s="864" t="s">
        <v>1515</v>
      </c>
      <c r="F23" s="865" t="s">
        <v>1516</v>
      </c>
      <c r="G23" s="819" t="s">
        <v>19</v>
      </c>
      <c r="H23" s="819" t="s">
        <v>19</v>
      </c>
      <c r="I23" s="44"/>
      <c r="J23" s="44"/>
      <c r="K23" s="44"/>
      <c r="L23" s="45" t="s">
        <v>18</v>
      </c>
      <c r="M23" s="45" t="s">
        <v>18</v>
      </c>
      <c r="N23" s="45" t="s">
        <v>27</v>
      </c>
      <c r="O23" s="44"/>
      <c r="P23" s="44"/>
      <c r="Q23" s="45" t="s">
        <v>27</v>
      </c>
      <c r="R23" s="45" t="s">
        <v>18</v>
      </c>
      <c r="S23" s="45" t="s">
        <v>18</v>
      </c>
      <c r="T23" s="45" t="s">
        <v>18</v>
      </c>
      <c r="U23" s="44"/>
      <c r="V23" s="44"/>
      <c r="W23" s="44"/>
      <c r="X23" s="819" t="s">
        <v>19</v>
      </c>
      <c r="Y23" s="819" t="s">
        <v>19</v>
      </c>
      <c r="Z23" s="45" t="s">
        <v>18</v>
      </c>
      <c r="AA23" s="103" t="s">
        <v>18</v>
      </c>
      <c r="AB23" s="44"/>
      <c r="AC23" s="45" t="s">
        <v>18</v>
      </c>
      <c r="AD23" s="103" t="s">
        <v>18</v>
      </c>
      <c r="AE23" s="45" t="s">
        <v>18</v>
      </c>
      <c r="AF23" s="45" t="s">
        <v>18</v>
      </c>
      <c r="AG23" s="44"/>
      <c r="AH23" s="44"/>
      <c r="AI23" s="44"/>
      <c r="AJ23" s="70"/>
      <c r="AK23" s="45" t="s">
        <v>27</v>
      </c>
      <c r="AL23" s="48"/>
      <c r="AM23" s="60" t="str">
        <f t="shared" si="15"/>
        <v>NO CORRESPONDE FRANCO</v>
      </c>
      <c r="AN23" s="60">
        <f t="shared" si="16"/>
        <v>11</v>
      </c>
      <c r="AO23" s="60">
        <f t="shared" si="17"/>
        <v>4</v>
      </c>
      <c r="AP23" s="60">
        <f t="shared" si="18"/>
        <v>0</v>
      </c>
      <c r="AQ23" s="60">
        <f t="shared" si="19"/>
        <v>0</v>
      </c>
      <c r="AR23" s="60">
        <f t="shared" si="20"/>
        <v>0</v>
      </c>
      <c r="AS23" s="60">
        <f t="shared" si="21"/>
        <v>4</v>
      </c>
      <c r="AT23" s="24"/>
    </row>
    <row r="24" ht="15.75" customHeight="1">
      <c r="A24" s="801"/>
      <c r="B24" s="814" t="s">
        <v>33</v>
      </c>
      <c r="C24" s="815" t="s">
        <v>1517</v>
      </c>
      <c r="D24" s="843">
        <v>4.4789774E7</v>
      </c>
      <c r="E24" s="844" t="s">
        <v>1518</v>
      </c>
      <c r="F24" s="845" t="s">
        <v>1519</v>
      </c>
      <c r="G24" s="45" t="s">
        <v>27</v>
      </c>
      <c r="H24" s="45" t="s">
        <v>120</v>
      </c>
      <c r="I24" s="44"/>
      <c r="J24" s="44"/>
      <c r="K24" s="44"/>
      <c r="L24" s="832" t="s">
        <v>22</v>
      </c>
      <c r="M24" s="832" t="s">
        <v>22</v>
      </c>
      <c r="N24" s="832" t="s">
        <v>22</v>
      </c>
      <c r="O24" s="832" t="s">
        <v>22</v>
      </c>
      <c r="P24" s="832" t="s">
        <v>22</v>
      </c>
      <c r="Q24" s="45" t="s">
        <v>27</v>
      </c>
      <c r="R24" s="45" t="s">
        <v>27</v>
      </c>
      <c r="S24" s="45" t="s">
        <v>27</v>
      </c>
      <c r="T24" s="45" t="s">
        <v>27</v>
      </c>
      <c r="U24" s="44"/>
      <c r="V24" s="44"/>
      <c r="W24" s="44"/>
      <c r="X24" s="45" t="s">
        <v>27</v>
      </c>
      <c r="Y24" s="45" t="s">
        <v>120</v>
      </c>
      <c r="Z24" s="45" t="s">
        <v>27</v>
      </c>
      <c r="AA24" s="44"/>
      <c r="AB24" s="44"/>
      <c r="AC24" s="45" t="s">
        <v>120</v>
      </c>
      <c r="AD24" s="45" t="s">
        <v>27</v>
      </c>
      <c r="AE24" s="45" t="s">
        <v>27</v>
      </c>
      <c r="AF24" s="45" t="s">
        <v>27</v>
      </c>
      <c r="AG24" s="44"/>
      <c r="AH24" s="44"/>
      <c r="AI24" s="44"/>
      <c r="AJ24" s="819" t="s">
        <v>19</v>
      </c>
      <c r="AK24" s="45" t="s">
        <v>120</v>
      </c>
      <c r="AL24" s="866" t="s">
        <v>1520</v>
      </c>
      <c r="AM24" s="60" t="str">
        <f t="shared" si="15"/>
        <v>NO CORRESPONDE FRANCO</v>
      </c>
      <c r="AN24" s="60">
        <f t="shared" si="16"/>
        <v>0</v>
      </c>
      <c r="AO24" s="60">
        <f t="shared" si="17"/>
        <v>1</v>
      </c>
      <c r="AP24" s="60">
        <f t="shared" si="18"/>
        <v>0</v>
      </c>
      <c r="AQ24" s="60">
        <f t="shared" si="19"/>
        <v>0</v>
      </c>
      <c r="AR24" s="60">
        <f t="shared" si="20"/>
        <v>5</v>
      </c>
      <c r="AS24" s="60">
        <f t="shared" si="21"/>
        <v>6</v>
      </c>
      <c r="AT24" s="672"/>
    </row>
    <row r="25" ht="15.75" customHeight="1">
      <c r="F25" s="24"/>
      <c r="G25" s="24">
        <f t="shared" ref="G25:AK25" si="22">COUNTIF(G4:G24,"P") + COUNTIF(G4:G24, "LLT")</f>
        <v>9</v>
      </c>
      <c r="H25" s="24">
        <f t="shared" si="22"/>
        <v>7</v>
      </c>
      <c r="I25" s="24">
        <f t="shared" si="22"/>
        <v>7</v>
      </c>
      <c r="J25" s="24">
        <f t="shared" si="22"/>
        <v>4</v>
      </c>
      <c r="K25" s="24">
        <f t="shared" si="22"/>
        <v>6</v>
      </c>
      <c r="L25" s="24">
        <f t="shared" si="22"/>
        <v>7</v>
      </c>
      <c r="M25" s="24">
        <f t="shared" si="22"/>
        <v>7</v>
      </c>
      <c r="N25" s="24">
        <f t="shared" si="22"/>
        <v>8</v>
      </c>
      <c r="O25" s="24">
        <f t="shared" si="22"/>
        <v>6</v>
      </c>
      <c r="P25" s="24">
        <f t="shared" si="22"/>
        <v>7</v>
      </c>
      <c r="Q25" s="24">
        <f t="shared" si="22"/>
        <v>10</v>
      </c>
      <c r="R25" s="24">
        <f t="shared" si="22"/>
        <v>9</v>
      </c>
      <c r="S25" s="24">
        <f t="shared" si="22"/>
        <v>9</v>
      </c>
      <c r="T25" s="24">
        <f t="shared" si="22"/>
        <v>6</v>
      </c>
      <c r="U25" s="24">
        <f t="shared" si="22"/>
        <v>5</v>
      </c>
      <c r="V25" s="24">
        <f t="shared" si="22"/>
        <v>4</v>
      </c>
      <c r="W25" s="24">
        <f t="shared" si="22"/>
        <v>6</v>
      </c>
      <c r="X25" s="24">
        <f t="shared" si="22"/>
        <v>6</v>
      </c>
      <c r="Y25" s="24">
        <f t="shared" si="22"/>
        <v>7</v>
      </c>
      <c r="Z25" s="24">
        <f t="shared" si="22"/>
        <v>10</v>
      </c>
      <c r="AA25" s="24">
        <f t="shared" si="22"/>
        <v>8</v>
      </c>
      <c r="AB25" s="24">
        <f t="shared" si="22"/>
        <v>7</v>
      </c>
      <c r="AC25" s="24">
        <f t="shared" si="22"/>
        <v>7</v>
      </c>
      <c r="AD25" s="24">
        <f t="shared" si="22"/>
        <v>7</v>
      </c>
      <c r="AE25" s="24">
        <f t="shared" si="22"/>
        <v>9</v>
      </c>
      <c r="AF25" s="24">
        <f t="shared" si="22"/>
        <v>9</v>
      </c>
      <c r="AG25" s="24">
        <f t="shared" si="22"/>
        <v>6</v>
      </c>
      <c r="AH25" s="24">
        <f t="shared" si="22"/>
        <v>5</v>
      </c>
      <c r="AI25" s="24">
        <f t="shared" si="22"/>
        <v>6</v>
      </c>
      <c r="AJ25" s="24">
        <f t="shared" si="22"/>
        <v>5</v>
      </c>
      <c r="AK25" s="24">
        <f t="shared" si="22"/>
        <v>9</v>
      </c>
      <c r="AM25" s="26"/>
      <c r="AN25" s="24"/>
      <c r="AO25" s="24"/>
      <c r="AP25" s="24"/>
      <c r="AQ25" s="24"/>
      <c r="AR25" s="24"/>
      <c r="AS25" s="24"/>
      <c r="AT25" s="24"/>
    </row>
    <row r="26" ht="15.75" customHeight="1">
      <c r="F26" s="24"/>
      <c r="G26" s="24"/>
      <c r="H26" s="24"/>
      <c r="I26" s="24"/>
      <c r="J26" s="24"/>
      <c r="K26" s="24"/>
      <c r="L26" s="24"/>
      <c r="M26" s="24"/>
      <c r="N26" s="24"/>
      <c r="O26" s="24"/>
      <c r="P26" s="24"/>
      <c r="Q26" s="24"/>
      <c r="R26" s="24"/>
      <c r="S26" s="24"/>
      <c r="T26" s="24"/>
      <c r="U26" s="24"/>
      <c r="V26" s="24"/>
      <c r="W26" s="24"/>
      <c r="X26" s="24"/>
      <c r="Y26" s="24"/>
      <c r="Z26" s="24"/>
      <c r="AA26" s="24"/>
      <c r="AB26" s="24"/>
      <c r="AC26" s="24"/>
      <c r="AD26" s="24"/>
      <c r="AE26" s="24"/>
      <c r="AF26" s="24"/>
      <c r="AG26" s="24"/>
      <c r="AH26" s="24"/>
      <c r="AI26" s="24"/>
      <c r="AJ26" s="24"/>
      <c r="AK26" s="24"/>
      <c r="AM26" s="26"/>
      <c r="AN26" s="24"/>
      <c r="AO26" s="24"/>
      <c r="AP26" s="24"/>
      <c r="AQ26" s="24"/>
      <c r="AR26" s="24"/>
      <c r="AS26" s="24"/>
      <c r="AT26" s="24"/>
    </row>
    <row r="27" ht="27.75" customHeight="1">
      <c r="B27" s="867" t="s">
        <v>1381</v>
      </c>
      <c r="C27" s="6"/>
      <c r="D27" s="6"/>
      <c r="E27" s="6"/>
      <c r="F27" s="6"/>
      <c r="G27" s="6"/>
      <c r="H27" s="6"/>
      <c r="I27" s="6"/>
      <c r="J27" s="6"/>
      <c r="K27" s="6"/>
      <c r="L27" s="6"/>
      <c r="M27" s="6"/>
      <c r="N27" s="6"/>
      <c r="O27" s="6"/>
      <c r="P27" s="6"/>
      <c r="Q27" s="6"/>
      <c r="R27" s="6"/>
      <c r="S27" s="6"/>
      <c r="T27" s="6"/>
      <c r="U27" s="6"/>
      <c r="V27" s="6"/>
      <c r="W27" s="6"/>
      <c r="X27" s="6"/>
      <c r="Y27" s="6"/>
      <c r="Z27" s="6"/>
      <c r="AA27" s="6"/>
      <c r="AB27" s="6"/>
      <c r="AC27" s="6"/>
      <c r="AD27" s="6"/>
      <c r="AE27" s="6"/>
      <c r="AF27" s="6"/>
      <c r="AG27" s="6"/>
      <c r="AH27" s="6"/>
      <c r="AI27" s="6"/>
      <c r="AJ27" s="6"/>
      <c r="AK27" s="11"/>
      <c r="AM27" s="26"/>
      <c r="AN27" s="24"/>
      <c r="AO27" s="24"/>
      <c r="AP27" s="24"/>
      <c r="AQ27" s="24"/>
      <c r="AR27" s="24"/>
      <c r="AS27" s="24"/>
      <c r="AT27" s="24"/>
    </row>
    <row r="28" ht="15.75" customHeight="1">
      <c r="B28" s="791" t="s">
        <v>1382</v>
      </c>
      <c r="C28" s="650"/>
      <c r="D28" s="650"/>
      <c r="E28" s="650"/>
      <c r="F28" s="651"/>
      <c r="G28" s="9">
        <v>1.0</v>
      </c>
      <c r="H28" s="9">
        <v>2.0</v>
      </c>
      <c r="I28" s="9">
        <v>3.0</v>
      </c>
      <c r="J28" s="7">
        <v>4.0</v>
      </c>
      <c r="K28" s="9">
        <v>5.0</v>
      </c>
      <c r="L28" s="9">
        <v>6.0</v>
      </c>
      <c r="M28" s="9">
        <v>7.0</v>
      </c>
      <c r="N28" s="9">
        <v>8.0</v>
      </c>
      <c r="O28" s="9">
        <v>9.0</v>
      </c>
      <c r="P28" s="9">
        <v>10.0</v>
      </c>
      <c r="Q28" s="7">
        <v>11.0</v>
      </c>
      <c r="R28" s="9">
        <v>12.0</v>
      </c>
      <c r="S28" s="9">
        <v>13.0</v>
      </c>
      <c r="T28" s="9">
        <v>14.0</v>
      </c>
      <c r="U28" s="9">
        <v>15.0</v>
      </c>
      <c r="V28" s="9">
        <v>16.0</v>
      </c>
      <c r="W28" s="9">
        <v>17.0</v>
      </c>
      <c r="X28" s="7">
        <v>18.0</v>
      </c>
      <c r="Y28" s="9">
        <v>19.0</v>
      </c>
      <c r="Z28" s="9">
        <v>20.0</v>
      </c>
      <c r="AA28" s="9">
        <v>21.0</v>
      </c>
      <c r="AB28" s="9">
        <v>22.0</v>
      </c>
      <c r="AC28" s="9">
        <v>23.0</v>
      </c>
      <c r="AD28" s="9">
        <v>24.0</v>
      </c>
      <c r="AE28" s="7">
        <v>25.0</v>
      </c>
      <c r="AF28" s="9">
        <v>26.0</v>
      </c>
      <c r="AG28" s="9">
        <v>27.0</v>
      </c>
      <c r="AH28" s="9">
        <v>28.0</v>
      </c>
      <c r="AI28" s="9">
        <v>29.0</v>
      </c>
      <c r="AJ28" s="9">
        <v>30.0</v>
      </c>
      <c r="AK28" s="9">
        <v>31.0</v>
      </c>
      <c r="AL28" s="257"/>
      <c r="AM28" s="26"/>
      <c r="AN28" s="842"/>
      <c r="AO28" s="842"/>
      <c r="AP28" s="842"/>
      <c r="AQ28" s="842"/>
      <c r="AR28" s="842"/>
      <c r="AS28" s="842"/>
      <c r="AT28" s="842"/>
    </row>
    <row r="29" ht="23.25" customHeight="1">
      <c r="B29" s="868" t="s">
        <v>4</v>
      </c>
      <c r="C29" s="869" t="s">
        <v>5</v>
      </c>
      <c r="D29" s="870" t="s">
        <v>6</v>
      </c>
      <c r="E29" s="871" t="s">
        <v>7</v>
      </c>
      <c r="F29" s="870" t="s">
        <v>8</v>
      </c>
      <c r="G29" s="738" t="s">
        <v>9</v>
      </c>
      <c r="H29" s="738" t="s">
        <v>10</v>
      </c>
      <c r="I29" s="738" t="s">
        <v>11</v>
      </c>
      <c r="J29" s="738" t="s">
        <v>12</v>
      </c>
      <c r="K29" s="738" t="s">
        <v>12</v>
      </c>
      <c r="L29" s="738" t="s">
        <v>13</v>
      </c>
      <c r="M29" s="738" t="s">
        <v>15</v>
      </c>
      <c r="N29" s="738" t="s">
        <v>9</v>
      </c>
      <c r="O29" s="738" t="s">
        <v>10</v>
      </c>
      <c r="P29" s="738" t="s">
        <v>11</v>
      </c>
      <c r="Q29" s="738" t="s">
        <v>12</v>
      </c>
      <c r="R29" s="738" t="s">
        <v>12</v>
      </c>
      <c r="S29" s="738" t="s">
        <v>13</v>
      </c>
      <c r="T29" s="738" t="s">
        <v>15</v>
      </c>
      <c r="U29" s="738" t="s">
        <v>9</v>
      </c>
      <c r="V29" s="738" t="s">
        <v>10</v>
      </c>
      <c r="W29" s="738" t="s">
        <v>11</v>
      </c>
      <c r="X29" s="738" t="s">
        <v>12</v>
      </c>
      <c r="Y29" s="738" t="s">
        <v>12</v>
      </c>
      <c r="Z29" s="738" t="s">
        <v>13</v>
      </c>
      <c r="AA29" s="738" t="s">
        <v>15</v>
      </c>
      <c r="AB29" s="738" t="s">
        <v>9</v>
      </c>
      <c r="AC29" s="738" t="s">
        <v>10</v>
      </c>
      <c r="AD29" s="738" t="s">
        <v>11</v>
      </c>
      <c r="AE29" s="738" t="s">
        <v>12</v>
      </c>
      <c r="AF29" s="738" t="s">
        <v>12</v>
      </c>
      <c r="AG29" s="738" t="s">
        <v>13</v>
      </c>
      <c r="AH29" s="738" t="s">
        <v>15</v>
      </c>
      <c r="AI29" s="738" t="s">
        <v>9</v>
      </c>
      <c r="AJ29" s="738" t="s">
        <v>10</v>
      </c>
      <c r="AK29" s="872" t="s">
        <v>11</v>
      </c>
      <c r="AL29" s="257"/>
      <c r="AM29" s="26"/>
      <c r="AN29" s="842"/>
      <c r="AO29" s="842"/>
      <c r="AP29" s="842"/>
      <c r="AQ29" s="842"/>
      <c r="AR29" s="842"/>
      <c r="AS29" s="842"/>
      <c r="AT29" s="842"/>
    </row>
    <row r="30" ht="15.75" customHeight="1">
      <c r="A30" s="873" t="s">
        <v>1383</v>
      </c>
      <c r="B30" s="874" t="s">
        <v>33</v>
      </c>
      <c r="C30" s="875" t="s">
        <v>1521</v>
      </c>
      <c r="D30" s="876">
        <v>3.9416017E7</v>
      </c>
      <c r="E30" s="877" t="s">
        <v>1522</v>
      </c>
      <c r="F30" s="876" t="s">
        <v>1523</v>
      </c>
      <c r="G30" s="684" t="s">
        <v>27</v>
      </c>
      <c r="H30" s="731" t="s">
        <v>32</v>
      </c>
      <c r="I30" s="684" t="s">
        <v>27</v>
      </c>
      <c r="J30" s="685"/>
      <c r="K30" s="685"/>
      <c r="L30" s="685"/>
      <c r="M30" s="684" t="s">
        <v>27</v>
      </c>
      <c r="N30" s="106" t="s">
        <v>32</v>
      </c>
      <c r="O30" s="684" t="s">
        <v>27</v>
      </c>
      <c r="P30" s="684" t="s">
        <v>27</v>
      </c>
      <c r="Q30" s="685"/>
      <c r="R30" s="685"/>
      <c r="S30" s="684" t="s">
        <v>27</v>
      </c>
      <c r="T30" s="684" t="s">
        <v>27</v>
      </c>
      <c r="U30" s="106" t="s">
        <v>32</v>
      </c>
      <c r="V30" s="685"/>
      <c r="W30" s="685"/>
      <c r="X30" s="685"/>
      <c r="Y30" s="684" t="s">
        <v>27</v>
      </c>
      <c r="Z30" s="684" t="s">
        <v>27</v>
      </c>
      <c r="AA30" s="684" t="s">
        <v>27</v>
      </c>
      <c r="AB30" s="106" t="s">
        <v>32</v>
      </c>
      <c r="AC30" s="685"/>
      <c r="AD30" s="685"/>
      <c r="AE30" s="684" t="s">
        <v>27</v>
      </c>
      <c r="AF30" s="684" t="s">
        <v>27</v>
      </c>
      <c r="AG30" s="684" t="s">
        <v>27</v>
      </c>
      <c r="AH30" s="685"/>
      <c r="AI30" s="685"/>
      <c r="AJ30" s="685"/>
      <c r="AK30" s="684" t="s">
        <v>27</v>
      </c>
      <c r="AL30" s="257"/>
      <c r="AM30" s="60" t="str">
        <f t="shared" ref="AM30:AM33" si="23">IFS(AN30&gt;3,"NO CORRESPONDE FRANCO",AS30&gt;0,"NO CORRESPONDE FRANCO",AS30=0,"")</f>
        <v/>
      </c>
      <c r="AN30" s="60">
        <f t="shared" ref="AN30:AN33" si="24">COUNTIF($G30:$AK30,"LLT")</f>
        <v>0</v>
      </c>
      <c r="AO30" s="60">
        <f t="shared" ref="AO30:AO33" si="25">COUNTIF($G30:$AK30,"LM")</f>
        <v>0</v>
      </c>
      <c r="AP30" s="60">
        <f t="shared" ref="AP30:AP33" si="26">COUNTIF($G30:$AK30,"FaC")</f>
        <v>0</v>
      </c>
      <c r="AQ30" s="60">
        <f t="shared" ref="AQ30:AQ33" si="27">COUNTIF($G30:$AK30,"LxE")</f>
        <v>0</v>
      </c>
      <c r="AR30" s="60">
        <f t="shared" ref="AR30:AR33" si="28">COUNTIF($G30:$AK30,"LA")</f>
        <v>0</v>
      </c>
      <c r="AS30" s="60">
        <f t="shared" ref="AS30:AS33" si="29">SUM(AO30:AR30)</f>
        <v>0</v>
      </c>
      <c r="AT30" s="878"/>
    </row>
    <row r="31" ht="15.75" customHeight="1">
      <c r="A31" s="879" t="s">
        <v>1391</v>
      </c>
      <c r="B31" s="880" t="s">
        <v>33</v>
      </c>
      <c r="C31" s="862" t="s">
        <v>1524</v>
      </c>
      <c r="D31" s="861">
        <v>3.7542097E7</v>
      </c>
      <c r="E31" s="881" t="s">
        <v>1525</v>
      </c>
      <c r="F31" s="861" t="s">
        <v>1526</v>
      </c>
      <c r="G31" s="692" t="s">
        <v>27</v>
      </c>
      <c r="H31" s="692" t="s">
        <v>27</v>
      </c>
      <c r="I31" s="692" t="s">
        <v>27</v>
      </c>
      <c r="J31" s="692" t="s">
        <v>27</v>
      </c>
      <c r="K31" s="693"/>
      <c r="L31" s="693"/>
      <c r="M31" s="693"/>
      <c r="N31" s="692" t="s">
        <v>27</v>
      </c>
      <c r="O31" s="692" t="s">
        <v>27</v>
      </c>
      <c r="P31" s="692" t="s">
        <v>27</v>
      </c>
      <c r="Q31" s="693"/>
      <c r="R31" s="693"/>
      <c r="S31" s="692" t="s">
        <v>27</v>
      </c>
      <c r="T31" s="692" t="s">
        <v>27</v>
      </c>
      <c r="U31" s="692" t="s">
        <v>27</v>
      </c>
      <c r="V31" s="106" t="s">
        <v>32</v>
      </c>
      <c r="W31" s="693"/>
      <c r="X31" s="693"/>
      <c r="Y31" s="693"/>
      <c r="Z31" s="692" t="s">
        <v>27</v>
      </c>
      <c r="AA31" s="692" t="s">
        <v>27</v>
      </c>
      <c r="AB31" s="692" t="s">
        <v>27</v>
      </c>
      <c r="AC31" s="693"/>
      <c r="AD31" s="693"/>
      <c r="AE31" s="692" t="s">
        <v>27</v>
      </c>
      <c r="AF31" s="692" t="s">
        <v>27</v>
      </c>
      <c r="AG31" s="692" t="s">
        <v>27</v>
      </c>
      <c r="AH31" s="692" t="s">
        <v>27</v>
      </c>
      <c r="AI31" s="693"/>
      <c r="AJ31" s="693"/>
      <c r="AK31" s="693"/>
      <c r="AL31" s="257"/>
      <c r="AM31" s="60" t="str">
        <f t="shared" si="23"/>
        <v/>
      </c>
      <c r="AN31" s="60">
        <f t="shared" si="24"/>
        <v>0</v>
      </c>
      <c r="AO31" s="60">
        <f t="shared" si="25"/>
        <v>0</v>
      </c>
      <c r="AP31" s="60">
        <f t="shared" si="26"/>
        <v>0</v>
      </c>
      <c r="AQ31" s="60">
        <f t="shared" si="27"/>
        <v>0</v>
      </c>
      <c r="AR31" s="60">
        <f t="shared" si="28"/>
        <v>0</v>
      </c>
      <c r="AS31" s="60">
        <f t="shared" si="29"/>
        <v>0</v>
      </c>
      <c r="AT31" s="842"/>
    </row>
    <row r="32" ht="15.75" customHeight="1">
      <c r="A32" s="820"/>
      <c r="B32" s="880" t="s">
        <v>33</v>
      </c>
      <c r="C32" s="862" t="s">
        <v>1527</v>
      </c>
      <c r="D32" s="861">
        <v>2.4062463E7</v>
      </c>
      <c r="E32" s="882" t="s">
        <v>1528</v>
      </c>
      <c r="F32" s="861" t="s">
        <v>1529</v>
      </c>
      <c r="G32" s="72" t="s">
        <v>27</v>
      </c>
      <c r="H32" s="72" t="s">
        <v>27</v>
      </c>
      <c r="I32" s="72" t="s">
        <v>27</v>
      </c>
      <c r="J32" s="72" t="s">
        <v>27</v>
      </c>
      <c r="K32" s="75"/>
      <c r="L32" s="75"/>
      <c r="M32" s="75"/>
      <c r="N32" s="72" t="s">
        <v>27</v>
      </c>
      <c r="O32" s="106" t="s">
        <v>32</v>
      </c>
      <c r="P32" s="72" t="s">
        <v>27</v>
      </c>
      <c r="Q32" s="75"/>
      <c r="R32" s="75"/>
      <c r="S32" s="72" t="s">
        <v>27</v>
      </c>
      <c r="T32" s="72" t="s">
        <v>27</v>
      </c>
      <c r="U32" s="72" t="s">
        <v>27</v>
      </c>
      <c r="V32" s="72" t="s">
        <v>27</v>
      </c>
      <c r="W32" s="75"/>
      <c r="X32" s="75"/>
      <c r="Y32" s="75"/>
      <c r="Z32" s="72" t="s">
        <v>27</v>
      </c>
      <c r="AA32" s="72" t="s">
        <v>27</v>
      </c>
      <c r="AB32" s="72" t="s">
        <v>27</v>
      </c>
      <c r="AC32" s="75"/>
      <c r="AD32" s="75"/>
      <c r="AE32" s="72" t="s">
        <v>27</v>
      </c>
      <c r="AF32" s="72" t="s">
        <v>27</v>
      </c>
      <c r="AG32" s="72" t="s">
        <v>27</v>
      </c>
      <c r="AH32" s="72" t="s">
        <v>27</v>
      </c>
      <c r="AI32" s="75"/>
      <c r="AJ32" s="75"/>
      <c r="AK32" s="75"/>
      <c r="AL32" s="257"/>
      <c r="AM32" s="60" t="str">
        <f t="shared" si="23"/>
        <v/>
      </c>
      <c r="AN32" s="60">
        <f t="shared" si="24"/>
        <v>0</v>
      </c>
      <c r="AO32" s="60">
        <f t="shared" si="25"/>
        <v>0</v>
      </c>
      <c r="AP32" s="60">
        <f t="shared" si="26"/>
        <v>0</v>
      </c>
      <c r="AQ32" s="60">
        <f t="shared" si="27"/>
        <v>0</v>
      </c>
      <c r="AR32" s="60">
        <f t="shared" si="28"/>
        <v>0</v>
      </c>
      <c r="AS32" s="60">
        <f t="shared" si="29"/>
        <v>0</v>
      </c>
      <c r="AT32" s="842"/>
    </row>
    <row r="33" ht="15.75" customHeight="1">
      <c r="A33" s="801"/>
      <c r="B33" s="880" t="s">
        <v>33</v>
      </c>
      <c r="C33" s="862" t="s">
        <v>1530</v>
      </c>
      <c r="D33" s="861">
        <v>4.175626E7</v>
      </c>
      <c r="E33" s="883" t="s">
        <v>1531</v>
      </c>
      <c r="F33" s="884" t="s">
        <v>1532</v>
      </c>
      <c r="G33" s="96" t="s">
        <v>22</v>
      </c>
      <c r="H33" s="96" t="s">
        <v>22</v>
      </c>
      <c r="I33" s="885" t="s">
        <v>1109</v>
      </c>
      <c r="J33" s="885" t="s">
        <v>1109</v>
      </c>
      <c r="K33" s="885" t="s">
        <v>1109</v>
      </c>
      <c r="L33" s="885" t="s">
        <v>1109</v>
      </c>
      <c r="M33" s="885" t="s">
        <v>1109</v>
      </c>
      <c r="N33" s="885" t="s">
        <v>1109</v>
      </c>
      <c r="O33" s="885" t="s">
        <v>1109</v>
      </c>
      <c r="P33" s="885" t="s">
        <v>1109</v>
      </c>
      <c r="Q33" s="885" t="s">
        <v>1109</v>
      </c>
      <c r="R33" s="885" t="s">
        <v>1109</v>
      </c>
      <c r="S33" s="885" t="s">
        <v>1109</v>
      </c>
      <c r="T33" s="885" t="s">
        <v>1109</v>
      </c>
      <c r="U33" s="885" t="s">
        <v>1109</v>
      </c>
      <c r="V33" s="885" t="s">
        <v>1109</v>
      </c>
      <c r="W33" s="885" t="s">
        <v>1109</v>
      </c>
      <c r="X33" s="885" t="s">
        <v>1109</v>
      </c>
      <c r="Y33" s="885" t="s">
        <v>1109</v>
      </c>
      <c r="Z33" s="885" t="s">
        <v>1109</v>
      </c>
      <c r="AA33" s="885" t="s">
        <v>1109</v>
      </c>
      <c r="AB33" s="885" t="s">
        <v>1109</v>
      </c>
      <c r="AC33" s="885" t="s">
        <v>1109</v>
      </c>
      <c r="AD33" s="885" t="s">
        <v>1109</v>
      </c>
      <c r="AE33" s="885" t="s">
        <v>1109</v>
      </c>
      <c r="AF33" s="885" t="s">
        <v>1109</v>
      </c>
      <c r="AG33" s="885" t="s">
        <v>1109</v>
      </c>
      <c r="AH33" s="885" t="s">
        <v>1109</v>
      </c>
      <c r="AI33" s="885" t="s">
        <v>1109</v>
      </c>
      <c r="AJ33" s="885" t="s">
        <v>1109</v>
      </c>
      <c r="AK33" s="885" t="s">
        <v>1109</v>
      </c>
      <c r="AL33" s="257"/>
      <c r="AM33" s="60" t="str">
        <f t="shared" si="23"/>
        <v>NO CORRESPONDE FRANCO</v>
      </c>
      <c r="AN33" s="60">
        <f t="shared" si="24"/>
        <v>0</v>
      </c>
      <c r="AO33" s="60">
        <f t="shared" si="25"/>
        <v>0</v>
      </c>
      <c r="AP33" s="60">
        <f t="shared" si="26"/>
        <v>0</v>
      </c>
      <c r="AQ33" s="60">
        <f t="shared" si="27"/>
        <v>0</v>
      </c>
      <c r="AR33" s="60">
        <f t="shared" si="28"/>
        <v>2</v>
      </c>
      <c r="AS33" s="60">
        <f t="shared" si="29"/>
        <v>2</v>
      </c>
      <c r="AT33" s="24"/>
    </row>
    <row r="34" ht="15.75" customHeight="1">
      <c r="F34" s="24"/>
      <c r="G34" s="24"/>
      <c r="H34" s="24"/>
      <c r="I34" s="24"/>
      <c r="J34" s="24"/>
      <c r="K34" s="24"/>
      <c r="L34" s="24"/>
      <c r="M34" s="24"/>
      <c r="N34" s="24"/>
      <c r="O34" s="24"/>
      <c r="P34" s="24"/>
      <c r="Q34" s="24"/>
      <c r="R34" s="24"/>
      <c r="S34" s="24"/>
      <c r="T34" s="24"/>
      <c r="U34" s="24"/>
      <c r="V34" s="24"/>
      <c r="W34" s="24"/>
      <c r="X34" s="24"/>
      <c r="Y34" s="24"/>
      <c r="Z34" s="24"/>
      <c r="AA34" s="24"/>
      <c r="AB34" s="24"/>
      <c r="AC34" s="24"/>
      <c r="AD34" s="24"/>
      <c r="AE34" s="24"/>
      <c r="AF34" s="24"/>
      <c r="AG34" s="24"/>
      <c r="AH34" s="24"/>
      <c r="AI34" s="24"/>
      <c r="AJ34" s="24"/>
      <c r="AK34" s="24"/>
      <c r="AL34" s="257"/>
      <c r="AM34" s="26"/>
      <c r="AN34" s="842"/>
      <c r="AO34" s="842"/>
      <c r="AP34" s="842"/>
      <c r="AQ34" s="842"/>
      <c r="AR34" s="842"/>
      <c r="AS34" s="842"/>
      <c r="AT34" s="842"/>
    </row>
    <row r="35" ht="15.75" customHeight="1">
      <c r="B35" s="664" t="s">
        <v>1399</v>
      </c>
      <c r="C35" s="2"/>
      <c r="D35" s="2"/>
      <c r="E35" s="2"/>
      <c r="F35" s="3"/>
      <c r="G35" s="9">
        <v>1.0</v>
      </c>
      <c r="H35" s="9">
        <v>2.0</v>
      </c>
      <c r="I35" s="9">
        <v>3.0</v>
      </c>
      <c r="J35" s="9">
        <v>4.0</v>
      </c>
      <c r="K35" s="9">
        <v>5.0</v>
      </c>
      <c r="L35" s="9">
        <v>6.0</v>
      </c>
      <c r="M35" s="9">
        <v>7.0</v>
      </c>
      <c r="N35" s="9">
        <v>8.0</v>
      </c>
      <c r="O35" s="9">
        <v>9.0</v>
      </c>
      <c r="P35" s="9">
        <v>10.0</v>
      </c>
      <c r="Q35" s="9">
        <v>11.0</v>
      </c>
      <c r="R35" s="9">
        <v>12.0</v>
      </c>
      <c r="S35" s="9">
        <v>13.0</v>
      </c>
      <c r="T35" s="9">
        <v>14.0</v>
      </c>
      <c r="U35" s="9">
        <v>15.0</v>
      </c>
      <c r="V35" s="9">
        <v>16.0</v>
      </c>
      <c r="W35" s="9">
        <v>17.0</v>
      </c>
      <c r="X35" s="9">
        <v>18.0</v>
      </c>
      <c r="Y35" s="9">
        <v>19.0</v>
      </c>
      <c r="Z35" s="9">
        <v>20.0</v>
      </c>
      <c r="AA35" s="9">
        <v>21.0</v>
      </c>
      <c r="AB35" s="9">
        <v>22.0</v>
      </c>
      <c r="AC35" s="9">
        <v>23.0</v>
      </c>
      <c r="AD35" s="9">
        <v>24.0</v>
      </c>
      <c r="AE35" s="9">
        <v>25.0</v>
      </c>
      <c r="AF35" s="9">
        <v>26.0</v>
      </c>
      <c r="AG35" s="9">
        <v>27.0</v>
      </c>
      <c r="AH35" s="9">
        <v>28.0</v>
      </c>
      <c r="AI35" s="9">
        <v>29.0</v>
      </c>
      <c r="AJ35" s="9">
        <v>30.0</v>
      </c>
      <c r="AK35" s="9">
        <v>31.0</v>
      </c>
      <c r="AL35" s="257"/>
      <c r="AM35" s="26"/>
      <c r="AN35" s="842"/>
      <c r="AO35" s="842"/>
      <c r="AP35" s="842"/>
      <c r="AQ35" s="842"/>
      <c r="AR35" s="842"/>
      <c r="AS35" s="842"/>
      <c r="AT35" s="842"/>
    </row>
    <row r="36" ht="15.75" customHeight="1">
      <c r="B36" s="868" t="s">
        <v>4</v>
      </c>
      <c r="C36" s="869" t="s">
        <v>5</v>
      </c>
      <c r="D36" s="870" t="s">
        <v>6</v>
      </c>
      <c r="E36" s="871" t="s">
        <v>7</v>
      </c>
      <c r="F36" s="886" t="s">
        <v>8</v>
      </c>
      <c r="G36" s="9" t="s">
        <v>9</v>
      </c>
      <c r="H36" s="9" t="s">
        <v>10</v>
      </c>
      <c r="I36" s="9" t="s">
        <v>11</v>
      </c>
      <c r="J36" s="9" t="s">
        <v>12</v>
      </c>
      <c r="K36" s="9" t="s">
        <v>12</v>
      </c>
      <c r="L36" s="9" t="s">
        <v>13</v>
      </c>
      <c r="M36" s="9" t="s">
        <v>15</v>
      </c>
      <c r="N36" s="9" t="s">
        <v>9</v>
      </c>
      <c r="O36" s="9" t="s">
        <v>10</v>
      </c>
      <c r="P36" s="9" t="s">
        <v>11</v>
      </c>
      <c r="Q36" s="9" t="s">
        <v>12</v>
      </c>
      <c r="R36" s="9" t="s">
        <v>12</v>
      </c>
      <c r="S36" s="9" t="s">
        <v>13</v>
      </c>
      <c r="T36" s="9" t="s">
        <v>15</v>
      </c>
      <c r="U36" s="9" t="s">
        <v>9</v>
      </c>
      <c r="V36" s="9" t="s">
        <v>10</v>
      </c>
      <c r="W36" s="9" t="s">
        <v>11</v>
      </c>
      <c r="X36" s="9" t="s">
        <v>12</v>
      </c>
      <c r="Y36" s="9" t="s">
        <v>12</v>
      </c>
      <c r="Z36" s="9" t="s">
        <v>13</v>
      </c>
      <c r="AA36" s="9" t="s">
        <v>15</v>
      </c>
      <c r="AB36" s="9" t="s">
        <v>9</v>
      </c>
      <c r="AC36" s="9" t="s">
        <v>10</v>
      </c>
      <c r="AD36" s="9" t="s">
        <v>11</v>
      </c>
      <c r="AE36" s="9" t="s">
        <v>12</v>
      </c>
      <c r="AF36" s="9" t="s">
        <v>12</v>
      </c>
      <c r="AG36" s="9" t="s">
        <v>13</v>
      </c>
      <c r="AH36" s="13" t="s">
        <v>15</v>
      </c>
      <c r="AI36" s="9" t="s">
        <v>9</v>
      </c>
      <c r="AJ36" s="9" t="s">
        <v>10</v>
      </c>
      <c r="AK36" s="9" t="s">
        <v>11</v>
      </c>
      <c r="AL36" s="257"/>
      <c r="AM36" s="26"/>
      <c r="AN36" s="842"/>
      <c r="AO36" s="842"/>
      <c r="AP36" s="842"/>
      <c r="AQ36" s="842"/>
      <c r="AR36" s="842"/>
      <c r="AS36" s="842"/>
      <c r="AT36" s="842"/>
    </row>
    <row r="37" ht="15.75" customHeight="1">
      <c r="A37" s="797" t="s">
        <v>1400</v>
      </c>
      <c r="B37" s="887" t="s">
        <v>33</v>
      </c>
      <c r="C37" s="56" t="s">
        <v>1533</v>
      </c>
      <c r="D37" s="54">
        <v>4.4303987E7</v>
      </c>
      <c r="E37" s="888" t="s">
        <v>1534</v>
      </c>
      <c r="F37" s="889" t="s">
        <v>1535</v>
      </c>
      <c r="G37" s="44"/>
      <c r="H37" s="44"/>
      <c r="I37" s="44"/>
      <c r="J37" s="45" t="s">
        <v>27</v>
      </c>
      <c r="K37" s="45" t="s">
        <v>120</v>
      </c>
      <c r="L37" s="45" t="s">
        <v>27</v>
      </c>
      <c r="M37" s="44"/>
      <c r="N37" s="44"/>
      <c r="O37" s="106" t="s">
        <v>32</v>
      </c>
      <c r="P37" s="45" t="s">
        <v>18</v>
      </c>
      <c r="Q37" s="45" t="s">
        <v>27</v>
      </c>
      <c r="R37" s="45" t="s">
        <v>27</v>
      </c>
      <c r="S37" s="44"/>
      <c r="T37" s="44"/>
      <c r="U37" s="44"/>
      <c r="V37" s="45" t="s">
        <v>27</v>
      </c>
      <c r="W37" s="45" t="s">
        <v>27</v>
      </c>
      <c r="X37" s="45" t="s">
        <v>27</v>
      </c>
      <c r="Y37" s="44"/>
      <c r="Z37" s="44"/>
      <c r="AA37" s="103" t="s">
        <v>27</v>
      </c>
      <c r="AB37" s="45" t="s">
        <v>27</v>
      </c>
      <c r="AC37" s="45" t="s">
        <v>18</v>
      </c>
      <c r="AD37" s="45" t="s">
        <v>27</v>
      </c>
      <c r="AE37" s="44"/>
      <c r="AF37" s="44"/>
      <c r="AG37" s="44"/>
      <c r="AH37" s="45" t="s">
        <v>27</v>
      </c>
      <c r="AI37" s="45" t="s">
        <v>18</v>
      </c>
      <c r="AJ37" s="45" t="s">
        <v>27</v>
      </c>
      <c r="AK37" s="44"/>
      <c r="AL37" s="489"/>
      <c r="AM37" s="60" t="str">
        <f t="shared" ref="AM37:AM40" si="30">IFS(AN37&gt;3,"NO CORRESPONDE FRANCO",AS37&gt;0,"NO CORRESPONDE FRANCO",AS37=0,"")</f>
        <v/>
      </c>
      <c r="AN37" s="60">
        <f t="shared" ref="AN37:AN40" si="31">COUNTIF($G37:$AK37,"LLT")</f>
        <v>3</v>
      </c>
      <c r="AO37" s="60">
        <f t="shared" ref="AO37:AO40" si="32">COUNTIF($G37:$AK37,"LM")</f>
        <v>0</v>
      </c>
      <c r="AP37" s="60">
        <f t="shared" ref="AP37:AP40" si="33">COUNTIF($G37:$AK37,"FaC")</f>
        <v>0</v>
      </c>
      <c r="AQ37" s="60">
        <f t="shared" ref="AQ37:AQ40" si="34">COUNTIF($G37:$AK37,"LxE")</f>
        <v>0</v>
      </c>
      <c r="AR37" s="60">
        <f t="shared" ref="AR37:AR40" si="35">COUNTIF($G37:$AK37,"LA")</f>
        <v>0</v>
      </c>
      <c r="AS37" s="60">
        <f t="shared" ref="AS37:AS40" si="36">SUM(AO37:AR37)</f>
        <v>0</v>
      </c>
      <c r="AT37" s="842"/>
    </row>
    <row r="38" ht="15.75" customHeight="1">
      <c r="A38" s="801"/>
      <c r="B38" s="890" t="s">
        <v>33</v>
      </c>
      <c r="C38" s="707" t="s">
        <v>1536</v>
      </c>
      <c r="D38" s="708">
        <v>4.7128781E7</v>
      </c>
      <c r="E38" s="891" t="s">
        <v>1537</v>
      </c>
      <c r="F38" s="835" t="s">
        <v>1538</v>
      </c>
      <c r="G38" s="710"/>
      <c r="H38" s="710"/>
      <c r="I38" s="710"/>
      <c r="J38" s="711" t="s">
        <v>27</v>
      </c>
      <c r="K38" s="711" t="s">
        <v>27</v>
      </c>
      <c r="L38" s="711" t="s">
        <v>27</v>
      </c>
      <c r="M38" s="710"/>
      <c r="N38" s="710"/>
      <c r="O38" s="712" t="s">
        <v>27</v>
      </c>
      <c r="P38" s="711" t="s">
        <v>27</v>
      </c>
      <c r="Q38" s="711" t="s">
        <v>27</v>
      </c>
      <c r="R38" s="711" t="s">
        <v>27</v>
      </c>
      <c r="S38" s="710"/>
      <c r="T38" s="710"/>
      <c r="U38" s="710"/>
      <c r="V38" s="892" t="s">
        <v>22</v>
      </c>
      <c r="W38" s="892" t="s">
        <v>22</v>
      </c>
      <c r="X38" s="892" t="s">
        <v>22</v>
      </c>
      <c r="Y38" s="892" t="s">
        <v>22</v>
      </c>
      <c r="Z38" s="892" t="s">
        <v>22</v>
      </c>
      <c r="AA38" s="892" t="s">
        <v>22</v>
      </c>
      <c r="AB38" s="892" t="s">
        <v>22</v>
      </c>
      <c r="AC38" s="811" t="s">
        <v>32</v>
      </c>
      <c r="AD38" s="711" t="s">
        <v>27</v>
      </c>
      <c r="AE38" s="710"/>
      <c r="AF38" s="710"/>
      <c r="AG38" s="710"/>
      <c r="AH38" s="711" t="s">
        <v>27</v>
      </c>
      <c r="AI38" s="711" t="s">
        <v>27</v>
      </c>
      <c r="AJ38" s="711" t="s">
        <v>27</v>
      </c>
      <c r="AK38" s="710"/>
      <c r="AL38" s="489"/>
      <c r="AM38" s="60" t="str">
        <f t="shared" si="30"/>
        <v>NO CORRESPONDE FRANCO</v>
      </c>
      <c r="AN38" s="60">
        <f t="shared" si="31"/>
        <v>0</v>
      </c>
      <c r="AO38" s="60">
        <f t="shared" si="32"/>
        <v>0</v>
      </c>
      <c r="AP38" s="60">
        <f t="shared" si="33"/>
        <v>0</v>
      </c>
      <c r="AQ38" s="60">
        <f t="shared" si="34"/>
        <v>0</v>
      </c>
      <c r="AR38" s="60">
        <f t="shared" si="35"/>
        <v>7</v>
      </c>
      <c r="AS38" s="60">
        <f t="shared" si="36"/>
        <v>7</v>
      </c>
      <c r="AT38" s="842"/>
    </row>
    <row r="39" ht="15.75" customHeight="1">
      <c r="A39" s="893" t="s">
        <v>1539</v>
      </c>
      <c r="B39" s="894" t="s">
        <v>33</v>
      </c>
      <c r="C39" s="895" t="s">
        <v>1540</v>
      </c>
      <c r="D39" s="838">
        <v>3.8346365E7</v>
      </c>
      <c r="E39" s="896" t="s">
        <v>1541</v>
      </c>
      <c r="F39" s="865" t="s">
        <v>1542</v>
      </c>
      <c r="G39" s="718"/>
      <c r="H39" s="718"/>
      <c r="I39" s="719" t="s">
        <v>27</v>
      </c>
      <c r="J39" s="720" t="s">
        <v>27</v>
      </c>
      <c r="K39" s="720" t="s">
        <v>18</v>
      </c>
      <c r="L39" s="718"/>
      <c r="M39" s="718"/>
      <c r="N39" s="718"/>
      <c r="O39" s="720" t="s">
        <v>27</v>
      </c>
      <c r="P39" s="720" t="s">
        <v>18</v>
      </c>
      <c r="Q39" s="720" t="s">
        <v>27</v>
      </c>
      <c r="R39" s="720" t="s">
        <v>18</v>
      </c>
      <c r="S39" s="718"/>
      <c r="T39" s="718"/>
      <c r="U39" s="719" t="s">
        <v>27</v>
      </c>
      <c r="V39" s="720" t="s">
        <v>27</v>
      </c>
      <c r="W39" s="720" t="s">
        <v>27</v>
      </c>
      <c r="X39" s="718"/>
      <c r="Y39" s="718"/>
      <c r="Z39" s="718"/>
      <c r="AA39" s="720" t="s">
        <v>18</v>
      </c>
      <c r="AB39" s="720" t="s">
        <v>18</v>
      </c>
      <c r="AC39" s="720" t="s">
        <v>18</v>
      </c>
      <c r="AD39" s="720" t="s">
        <v>27</v>
      </c>
      <c r="AE39" s="718"/>
      <c r="AF39" s="718"/>
      <c r="AG39" s="720" t="s">
        <v>27</v>
      </c>
      <c r="AH39" s="720" t="s">
        <v>27</v>
      </c>
      <c r="AI39" s="720" t="s">
        <v>27</v>
      </c>
      <c r="AJ39" s="718"/>
      <c r="AK39" s="718"/>
      <c r="AL39" s="489"/>
      <c r="AM39" s="60" t="str">
        <f t="shared" si="30"/>
        <v>NO CORRESPONDE FRANCO</v>
      </c>
      <c r="AN39" s="60">
        <f t="shared" si="31"/>
        <v>6</v>
      </c>
      <c r="AO39" s="60">
        <f t="shared" si="32"/>
        <v>0</v>
      </c>
      <c r="AP39" s="60">
        <f t="shared" si="33"/>
        <v>0</v>
      </c>
      <c r="AQ39" s="60">
        <f t="shared" si="34"/>
        <v>0</v>
      </c>
      <c r="AR39" s="60">
        <f t="shared" si="35"/>
        <v>0</v>
      </c>
      <c r="AS39" s="60">
        <f t="shared" si="36"/>
        <v>0</v>
      </c>
      <c r="AT39" s="842"/>
    </row>
    <row r="40" ht="15.75" customHeight="1">
      <c r="A40" s="801"/>
      <c r="B40" s="880" t="s">
        <v>33</v>
      </c>
      <c r="C40" s="883" t="s">
        <v>1543</v>
      </c>
      <c r="D40" s="861">
        <v>4.4259552E7</v>
      </c>
      <c r="E40" s="882" t="s">
        <v>1544</v>
      </c>
      <c r="F40" s="897" t="s">
        <v>1545</v>
      </c>
      <c r="G40" s="44"/>
      <c r="H40" s="44"/>
      <c r="I40" s="103" t="s">
        <v>27</v>
      </c>
      <c r="J40" s="45" t="s">
        <v>27</v>
      </c>
      <c r="K40" s="45" t="s">
        <v>120</v>
      </c>
      <c r="L40" s="44"/>
      <c r="M40" s="44"/>
      <c r="N40" s="44"/>
      <c r="O40" s="106" t="s">
        <v>32</v>
      </c>
      <c r="P40" s="45" t="s">
        <v>27</v>
      </c>
      <c r="Q40" s="45" t="s">
        <v>27</v>
      </c>
      <c r="R40" s="45" t="s">
        <v>27</v>
      </c>
      <c r="S40" s="44"/>
      <c r="T40" s="44"/>
      <c r="U40" s="103" t="s">
        <v>27</v>
      </c>
      <c r="V40" s="45" t="s">
        <v>27</v>
      </c>
      <c r="W40" s="45" t="s">
        <v>27</v>
      </c>
      <c r="X40" s="44"/>
      <c r="Y40" s="44"/>
      <c r="Z40" s="44"/>
      <c r="AA40" s="106" t="s">
        <v>32</v>
      </c>
      <c r="AB40" s="106" t="s">
        <v>32</v>
      </c>
      <c r="AC40" s="45" t="s">
        <v>27</v>
      </c>
      <c r="AD40" s="45" t="s">
        <v>27</v>
      </c>
      <c r="AE40" s="44"/>
      <c r="AF40" s="44"/>
      <c r="AG40" s="45" t="s">
        <v>27</v>
      </c>
      <c r="AH40" s="45" t="s">
        <v>27</v>
      </c>
      <c r="AI40" s="45" t="s">
        <v>27</v>
      </c>
      <c r="AJ40" s="44"/>
      <c r="AK40" s="44"/>
      <c r="AL40" s="489"/>
      <c r="AM40" s="60" t="str">
        <f t="shared" si="30"/>
        <v/>
      </c>
      <c r="AN40" s="60">
        <f t="shared" si="31"/>
        <v>0</v>
      </c>
      <c r="AO40" s="60">
        <f t="shared" si="32"/>
        <v>0</v>
      </c>
      <c r="AP40" s="60">
        <f t="shared" si="33"/>
        <v>0</v>
      </c>
      <c r="AQ40" s="60">
        <f t="shared" si="34"/>
        <v>0</v>
      </c>
      <c r="AR40" s="60">
        <f t="shared" si="35"/>
        <v>0</v>
      </c>
      <c r="AS40" s="60">
        <f t="shared" si="36"/>
        <v>0</v>
      </c>
      <c r="AT40" s="842"/>
    </row>
    <row r="41" ht="15.75" customHeight="1">
      <c r="F41" s="24"/>
      <c r="G41" s="24"/>
      <c r="H41" s="24"/>
      <c r="I41" s="24"/>
      <c r="J41" s="24"/>
      <c r="K41" s="24"/>
      <c r="L41" s="24"/>
      <c r="M41" s="24"/>
      <c r="N41" s="24"/>
      <c r="O41" s="24"/>
      <c r="P41" s="24"/>
      <c r="Q41" s="24"/>
      <c r="R41" s="24"/>
      <c r="S41" s="24"/>
      <c r="T41" s="24"/>
      <c r="U41" s="24"/>
      <c r="V41" s="24"/>
      <c r="W41" s="24"/>
      <c r="X41" s="24"/>
      <c r="Y41" s="24"/>
      <c r="Z41" s="24"/>
      <c r="AA41" s="24"/>
      <c r="AB41" s="24"/>
      <c r="AC41" s="24"/>
      <c r="AD41" s="24"/>
      <c r="AE41" s="24"/>
      <c r="AF41" s="24"/>
      <c r="AG41" s="24"/>
      <c r="AH41" s="24"/>
      <c r="AI41" s="24"/>
      <c r="AJ41" s="24"/>
      <c r="AK41" s="24"/>
      <c r="AL41" s="489"/>
      <c r="AM41" s="26"/>
      <c r="AN41" s="842"/>
      <c r="AO41" s="842"/>
      <c r="AP41" s="842"/>
      <c r="AQ41" s="842"/>
      <c r="AR41" s="842"/>
      <c r="AS41" s="842"/>
      <c r="AT41" s="842"/>
    </row>
    <row r="42" ht="15.75" customHeight="1">
      <c r="B42" s="664" t="s">
        <v>1412</v>
      </c>
      <c r="C42" s="2"/>
      <c r="D42" s="2"/>
      <c r="E42" s="2"/>
      <c r="F42" s="3"/>
      <c r="G42" s="9">
        <v>1.0</v>
      </c>
      <c r="H42" s="9">
        <v>2.0</v>
      </c>
      <c r="I42" s="9">
        <v>3.0</v>
      </c>
      <c r="J42" s="9">
        <v>4.0</v>
      </c>
      <c r="K42" s="9">
        <v>5.0</v>
      </c>
      <c r="L42" s="9">
        <v>6.0</v>
      </c>
      <c r="M42" s="9">
        <v>7.0</v>
      </c>
      <c r="N42" s="9">
        <v>8.0</v>
      </c>
      <c r="O42" s="9">
        <v>9.0</v>
      </c>
      <c r="P42" s="9">
        <v>10.0</v>
      </c>
      <c r="Q42" s="9">
        <v>11.0</v>
      </c>
      <c r="R42" s="9">
        <v>12.0</v>
      </c>
      <c r="S42" s="9">
        <v>13.0</v>
      </c>
      <c r="T42" s="9">
        <v>14.0</v>
      </c>
      <c r="U42" s="9">
        <v>15.0</v>
      </c>
      <c r="V42" s="9">
        <v>16.0</v>
      </c>
      <c r="W42" s="9">
        <v>17.0</v>
      </c>
      <c r="X42" s="9">
        <v>18.0</v>
      </c>
      <c r="Y42" s="9">
        <v>19.0</v>
      </c>
      <c r="Z42" s="9">
        <v>20.0</v>
      </c>
      <c r="AA42" s="9">
        <v>21.0</v>
      </c>
      <c r="AB42" s="9">
        <v>22.0</v>
      </c>
      <c r="AC42" s="9">
        <v>23.0</v>
      </c>
      <c r="AD42" s="9">
        <v>24.0</v>
      </c>
      <c r="AE42" s="9">
        <v>25.0</v>
      </c>
      <c r="AF42" s="9">
        <v>26.0</v>
      </c>
      <c r="AG42" s="9">
        <v>27.0</v>
      </c>
      <c r="AH42" s="9">
        <v>28.0</v>
      </c>
      <c r="AI42" s="9">
        <v>29.0</v>
      </c>
      <c r="AJ42" s="9">
        <v>30.0</v>
      </c>
      <c r="AK42" s="9">
        <v>31.0</v>
      </c>
      <c r="AL42" s="489"/>
      <c r="AM42" s="26"/>
      <c r="AN42" s="842"/>
      <c r="AO42" s="842"/>
      <c r="AP42" s="842"/>
      <c r="AQ42" s="842"/>
      <c r="AR42" s="842"/>
      <c r="AS42" s="842"/>
      <c r="AT42" s="842"/>
    </row>
    <row r="43" ht="15.75" customHeight="1">
      <c r="B43" s="898" t="s">
        <v>4</v>
      </c>
      <c r="C43" s="899" t="s">
        <v>5</v>
      </c>
      <c r="D43" s="886" t="s">
        <v>6</v>
      </c>
      <c r="E43" s="900" t="s">
        <v>7</v>
      </c>
      <c r="F43" s="886" t="s">
        <v>8</v>
      </c>
      <c r="G43" s="9" t="s">
        <v>9</v>
      </c>
      <c r="H43" s="9" t="s">
        <v>10</v>
      </c>
      <c r="I43" s="9" t="s">
        <v>11</v>
      </c>
      <c r="J43" s="9" t="s">
        <v>12</v>
      </c>
      <c r="K43" s="9" t="s">
        <v>12</v>
      </c>
      <c r="L43" s="9" t="s">
        <v>13</v>
      </c>
      <c r="M43" s="9" t="s">
        <v>15</v>
      </c>
      <c r="N43" s="9" t="s">
        <v>9</v>
      </c>
      <c r="O43" s="9" t="s">
        <v>10</v>
      </c>
      <c r="P43" s="9" t="s">
        <v>11</v>
      </c>
      <c r="Q43" s="9" t="s">
        <v>12</v>
      </c>
      <c r="R43" s="9" t="s">
        <v>12</v>
      </c>
      <c r="S43" s="9" t="s">
        <v>13</v>
      </c>
      <c r="T43" s="9" t="s">
        <v>15</v>
      </c>
      <c r="U43" s="9" t="s">
        <v>9</v>
      </c>
      <c r="V43" s="9" t="s">
        <v>10</v>
      </c>
      <c r="W43" s="9" t="s">
        <v>11</v>
      </c>
      <c r="X43" s="9" t="s">
        <v>12</v>
      </c>
      <c r="Y43" s="9" t="s">
        <v>12</v>
      </c>
      <c r="Z43" s="9" t="s">
        <v>13</v>
      </c>
      <c r="AA43" s="9" t="s">
        <v>15</v>
      </c>
      <c r="AB43" s="9" t="s">
        <v>9</v>
      </c>
      <c r="AC43" s="9" t="s">
        <v>10</v>
      </c>
      <c r="AD43" s="9" t="s">
        <v>11</v>
      </c>
      <c r="AE43" s="9" t="s">
        <v>12</v>
      </c>
      <c r="AF43" s="9" t="s">
        <v>12</v>
      </c>
      <c r="AG43" s="9" t="s">
        <v>13</v>
      </c>
      <c r="AH43" s="13" t="s">
        <v>15</v>
      </c>
      <c r="AI43" s="9" t="s">
        <v>9</v>
      </c>
      <c r="AJ43" s="9" t="s">
        <v>10</v>
      </c>
      <c r="AK43" s="9" t="s">
        <v>11</v>
      </c>
      <c r="AL43" s="489"/>
      <c r="AM43" s="26"/>
      <c r="AN43" s="842"/>
      <c r="AO43" s="842"/>
      <c r="AP43" s="842"/>
      <c r="AQ43" s="842"/>
      <c r="AR43" s="842"/>
      <c r="AS43" s="842"/>
      <c r="AT43" s="842"/>
    </row>
    <row r="44" ht="15.75" customHeight="1">
      <c r="A44" s="847" t="s">
        <v>1413</v>
      </c>
      <c r="B44" s="901" t="s">
        <v>33</v>
      </c>
      <c r="C44" s="849" t="s">
        <v>1546</v>
      </c>
      <c r="D44" s="850">
        <v>3.5948823E7</v>
      </c>
      <c r="E44" s="902" t="s">
        <v>1547</v>
      </c>
      <c r="F44" s="853" t="s">
        <v>1548</v>
      </c>
      <c r="G44" s="72" t="s">
        <v>27</v>
      </c>
      <c r="H44" s="75"/>
      <c r="I44" s="75"/>
      <c r="J44" s="75"/>
      <c r="K44" s="72" t="s">
        <v>27</v>
      </c>
      <c r="L44" s="72" t="s">
        <v>27</v>
      </c>
      <c r="M44" s="72" t="s">
        <v>27</v>
      </c>
      <c r="N44" s="72" t="s">
        <v>27</v>
      </c>
      <c r="O44" s="75"/>
      <c r="P44" s="75"/>
      <c r="Q44" s="72" t="s">
        <v>27</v>
      </c>
      <c r="R44" s="72" t="s">
        <v>27</v>
      </c>
      <c r="S44" s="72" t="s">
        <v>27</v>
      </c>
      <c r="T44" s="75"/>
      <c r="U44" s="75"/>
      <c r="V44" s="75"/>
      <c r="W44" s="72" t="s">
        <v>27</v>
      </c>
      <c r="X44" s="72" t="s">
        <v>27</v>
      </c>
      <c r="Y44" s="892" t="s">
        <v>22</v>
      </c>
      <c r="Z44" s="892" t="s">
        <v>22</v>
      </c>
      <c r="AA44" s="892" t="s">
        <v>22</v>
      </c>
      <c r="AB44" s="892" t="s">
        <v>22</v>
      </c>
      <c r="AC44" s="892" t="s">
        <v>22</v>
      </c>
      <c r="AD44" s="892" t="s">
        <v>22</v>
      </c>
      <c r="AE44" s="892" t="s">
        <v>22</v>
      </c>
      <c r="AF44" s="372" t="s">
        <v>519</v>
      </c>
      <c r="AG44" s="372" t="s">
        <v>519</v>
      </c>
      <c r="AH44" s="372" t="s">
        <v>519</v>
      </c>
      <c r="AI44" s="372" t="s">
        <v>519</v>
      </c>
      <c r="AJ44" s="372" t="s">
        <v>519</v>
      </c>
      <c r="AK44" s="372" t="s">
        <v>519</v>
      </c>
      <c r="AL44" s="372" t="s">
        <v>1549</v>
      </c>
      <c r="AM44" s="60" t="str">
        <f t="shared" ref="AM44:AM46" si="37">IFS(AN44&gt;3,"NO CORRESPONDE FRANCO",AS44&gt;0,"NO CORRESPONDE FRANCO",AS44=0,"")</f>
        <v>NO CORRESPONDE FRANCO</v>
      </c>
      <c r="AN44" s="60">
        <f t="shared" ref="AN44:AN46" si="38">COUNTIF($G44:$AK44,"LLT")</f>
        <v>0</v>
      </c>
      <c r="AO44" s="60">
        <f t="shared" ref="AO44:AO46" si="39">COUNTIF($G44:$AK44,"LM")</f>
        <v>0</v>
      </c>
      <c r="AP44" s="60">
        <f t="shared" ref="AP44:AP46" si="40">COUNTIF($G44:$AK44,"FaC")</f>
        <v>0</v>
      </c>
      <c r="AQ44" s="60">
        <f t="shared" ref="AQ44:AQ46" si="41">COUNTIF($G44:$AK44,"LxE")</f>
        <v>0</v>
      </c>
      <c r="AR44" s="60">
        <f t="shared" ref="AR44:AR46" si="42">COUNTIF($G44:$AK44,"LA")</f>
        <v>7</v>
      </c>
      <c r="AS44" s="60">
        <f t="shared" ref="AS44:AS46" si="43">SUM(AO44:AR44)</f>
        <v>7</v>
      </c>
      <c r="AT44" s="672"/>
    </row>
    <row r="45" ht="15.75" customHeight="1">
      <c r="A45" s="801"/>
      <c r="B45" s="874" t="s">
        <v>33</v>
      </c>
      <c r="C45" s="903" t="s">
        <v>1550</v>
      </c>
      <c r="D45" s="876">
        <v>3.4438655E7</v>
      </c>
      <c r="E45" s="904" t="s">
        <v>1551</v>
      </c>
      <c r="F45" s="905" t="s">
        <v>1552</v>
      </c>
      <c r="G45" s="684" t="s">
        <v>27</v>
      </c>
      <c r="H45" s="685"/>
      <c r="I45" s="685"/>
      <c r="J45" s="685"/>
      <c r="K45" s="906" t="s">
        <v>19</v>
      </c>
      <c r="L45" s="684" t="s">
        <v>27</v>
      </c>
      <c r="M45" s="684" t="s">
        <v>27</v>
      </c>
      <c r="N45" s="684" t="s">
        <v>27</v>
      </c>
      <c r="O45" s="685"/>
      <c r="P45" s="685"/>
      <c r="Q45" s="684" t="s">
        <v>27</v>
      </c>
      <c r="R45" s="684" t="s">
        <v>27</v>
      </c>
      <c r="S45" s="684" t="s">
        <v>27</v>
      </c>
      <c r="T45" s="685"/>
      <c r="U45" s="685"/>
      <c r="V45" s="685"/>
      <c r="W45" s="811" t="s">
        <v>32</v>
      </c>
      <c r="X45" s="684" t="s">
        <v>27</v>
      </c>
      <c r="Y45" s="684" t="s">
        <v>27</v>
      </c>
      <c r="Z45" s="684" t="s">
        <v>27</v>
      </c>
      <c r="AA45" s="685"/>
      <c r="AB45" s="685"/>
      <c r="AC45" s="684" t="s">
        <v>27</v>
      </c>
      <c r="AD45" s="684" t="s">
        <v>27</v>
      </c>
      <c r="AE45" s="684" t="s">
        <v>27</v>
      </c>
      <c r="AF45" s="685"/>
      <c r="AG45" s="685"/>
      <c r="AH45" s="685"/>
      <c r="AI45" s="684" t="s">
        <v>27</v>
      </c>
      <c r="AJ45" s="684" t="s">
        <v>27</v>
      </c>
      <c r="AK45" s="684" t="s">
        <v>27</v>
      </c>
      <c r="AL45" s="489"/>
      <c r="AM45" s="60" t="str">
        <f t="shared" si="37"/>
        <v>NO CORRESPONDE FRANCO</v>
      </c>
      <c r="AN45" s="60">
        <f t="shared" si="38"/>
        <v>0</v>
      </c>
      <c r="AO45" s="60">
        <f t="shared" si="39"/>
        <v>1</v>
      </c>
      <c r="AP45" s="60">
        <f t="shared" si="40"/>
        <v>0</v>
      </c>
      <c r="AQ45" s="60">
        <f t="shared" si="41"/>
        <v>0</v>
      </c>
      <c r="AR45" s="60">
        <f t="shared" si="42"/>
        <v>0</v>
      </c>
      <c r="AS45" s="60">
        <f t="shared" si="43"/>
        <v>1</v>
      </c>
      <c r="AT45" s="842"/>
    </row>
    <row r="46" ht="15.75" customHeight="1">
      <c r="A46" s="907" t="s">
        <v>1423</v>
      </c>
      <c r="B46" s="880" t="s">
        <v>33</v>
      </c>
      <c r="C46" s="862" t="s">
        <v>1553</v>
      </c>
      <c r="D46" s="863">
        <v>4.5926523E7</v>
      </c>
      <c r="E46" s="864" t="s">
        <v>1554</v>
      </c>
      <c r="F46" s="865" t="s">
        <v>1555</v>
      </c>
      <c r="G46" s="692" t="s">
        <v>27</v>
      </c>
      <c r="H46" s="692" t="s">
        <v>27</v>
      </c>
      <c r="I46" s="693"/>
      <c r="J46" s="693"/>
      <c r="K46" s="693"/>
      <c r="L46" s="692" t="s">
        <v>27</v>
      </c>
      <c r="M46" s="692" t="s">
        <v>27</v>
      </c>
      <c r="N46" s="692" t="s">
        <v>27</v>
      </c>
      <c r="O46" s="693"/>
      <c r="P46" s="693"/>
      <c r="Q46" s="692" t="s">
        <v>27</v>
      </c>
      <c r="R46" s="692" t="s">
        <v>27</v>
      </c>
      <c r="S46" s="692" t="s">
        <v>27</v>
      </c>
      <c r="T46" s="692" t="s">
        <v>27</v>
      </c>
      <c r="U46" s="693"/>
      <c r="V46" s="693"/>
      <c r="W46" s="693"/>
      <c r="X46" s="692" t="s">
        <v>27</v>
      </c>
      <c r="Y46" s="692" t="s">
        <v>27</v>
      </c>
      <c r="Z46" s="692" t="s">
        <v>27</v>
      </c>
      <c r="AA46" s="693"/>
      <c r="AB46" s="693"/>
      <c r="AC46" s="811" t="s">
        <v>32</v>
      </c>
      <c r="AD46" s="692" t="s">
        <v>27</v>
      </c>
      <c r="AE46" s="692" t="s">
        <v>27</v>
      </c>
      <c r="AF46" s="692" t="s">
        <v>27</v>
      </c>
      <c r="AG46" s="693"/>
      <c r="AH46" s="693"/>
      <c r="AI46" s="693"/>
      <c r="AJ46" s="692" t="s">
        <v>27</v>
      </c>
      <c r="AK46" s="692" t="s">
        <v>27</v>
      </c>
      <c r="AL46" s="489"/>
      <c r="AM46" s="60" t="str">
        <f t="shared" si="37"/>
        <v/>
      </c>
      <c r="AN46" s="60">
        <f t="shared" si="38"/>
        <v>0</v>
      </c>
      <c r="AO46" s="60">
        <f t="shared" si="39"/>
        <v>0</v>
      </c>
      <c r="AP46" s="60">
        <f t="shared" si="40"/>
        <v>0</v>
      </c>
      <c r="AQ46" s="60">
        <f t="shared" si="41"/>
        <v>0</v>
      </c>
      <c r="AR46" s="60">
        <f t="shared" si="42"/>
        <v>0</v>
      </c>
      <c r="AS46" s="60">
        <f t="shared" si="43"/>
        <v>0</v>
      </c>
      <c r="AT46" s="842"/>
    </row>
    <row r="47" ht="21.75" customHeight="1">
      <c r="F47" s="24"/>
      <c r="G47" s="24">
        <f t="shared" ref="G47:AK47" si="44">COUNTIF(G30:G46,"P") + COUNTIF(G30:G46, "LLT")</f>
        <v>6</v>
      </c>
      <c r="H47" s="24">
        <f t="shared" si="44"/>
        <v>3</v>
      </c>
      <c r="I47" s="24">
        <f t="shared" si="44"/>
        <v>5</v>
      </c>
      <c r="J47" s="24">
        <f t="shared" si="44"/>
        <v>6</v>
      </c>
      <c r="K47" s="24">
        <f t="shared" si="44"/>
        <v>5</v>
      </c>
      <c r="L47" s="24">
        <f t="shared" si="44"/>
        <v>5</v>
      </c>
      <c r="M47" s="24">
        <f t="shared" si="44"/>
        <v>4</v>
      </c>
      <c r="N47" s="24">
        <f t="shared" si="44"/>
        <v>5</v>
      </c>
      <c r="O47" s="24">
        <f t="shared" si="44"/>
        <v>4</v>
      </c>
      <c r="P47" s="24">
        <f t="shared" si="44"/>
        <v>7</v>
      </c>
      <c r="Q47" s="24">
        <f t="shared" si="44"/>
        <v>7</v>
      </c>
      <c r="R47" s="24">
        <f t="shared" si="44"/>
        <v>7</v>
      </c>
      <c r="S47" s="24">
        <f t="shared" si="44"/>
        <v>6</v>
      </c>
      <c r="T47" s="24">
        <f t="shared" si="44"/>
        <v>4</v>
      </c>
      <c r="U47" s="24">
        <f t="shared" si="44"/>
        <v>4</v>
      </c>
      <c r="V47" s="24">
        <f t="shared" si="44"/>
        <v>4</v>
      </c>
      <c r="W47" s="24">
        <f t="shared" si="44"/>
        <v>4</v>
      </c>
      <c r="X47" s="24">
        <f t="shared" si="44"/>
        <v>4</v>
      </c>
      <c r="Y47" s="24">
        <f t="shared" si="44"/>
        <v>3</v>
      </c>
      <c r="Z47" s="24">
        <f t="shared" si="44"/>
        <v>5</v>
      </c>
      <c r="AA47" s="24">
        <f t="shared" si="44"/>
        <v>5</v>
      </c>
      <c r="AB47" s="24">
        <f t="shared" si="44"/>
        <v>4</v>
      </c>
      <c r="AC47" s="24">
        <f t="shared" si="44"/>
        <v>4</v>
      </c>
      <c r="AD47" s="24">
        <f t="shared" si="44"/>
        <v>6</v>
      </c>
      <c r="AE47" s="24">
        <f t="shared" si="44"/>
        <v>5</v>
      </c>
      <c r="AF47" s="24">
        <f t="shared" si="44"/>
        <v>4</v>
      </c>
      <c r="AG47" s="24">
        <f t="shared" si="44"/>
        <v>5</v>
      </c>
      <c r="AH47" s="24">
        <f t="shared" si="44"/>
        <v>6</v>
      </c>
      <c r="AI47" s="24">
        <f t="shared" si="44"/>
        <v>5</v>
      </c>
      <c r="AJ47" s="24">
        <f t="shared" si="44"/>
        <v>4</v>
      </c>
      <c r="AK47" s="24">
        <f t="shared" si="44"/>
        <v>3</v>
      </c>
      <c r="AL47" s="499"/>
      <c r="AM47" s="26"/>
      <c r="AN47" s="24"/>
      <c r="AO47" s="24"/>
      <c r="AP47" s="24"/>
      <c r="AQ47" s="24"/>
      <c r="AR47" s="24"/>
      <c r="AS47" s="24"/>
      <c r="AT47" s="24"/>
    </row>
    <row r="48" ht="15.75" customHeight="1">
      <c r="F48" s="24"/>
      <c r="G48" s="24"/>
      <c r="H48" s="24"/>
      <c r="I48" s="24"/>
      <c r="J48" s="24"/>
      <c r="K48" s="24"/>
      <c r="L48" s="24"/>
      <c r="M48" s="24"/>
      <c r="N48" s="24"/>
      <c r="O48" s="24"/>
      <c r="P48" s="24"/>
      <c r="Q48" s="24"/>
      <c r="R48" s="24"/>
      <c r="S48" s="24"/>
      <c r="T48" s="24"/>
      <c r="U48" s="24"/>
      <c r="V48" s="24"/>
      <c r="W48" s="24"/>
      <c r="X48" s="24"/>
      <c r="Y48" s="24"/>
      <c r="Z48" s="24"/>
      <c r="AA48" s="24"/>
      <c r="AB48" s="24"/>
      <c r="AC48" s="24"/>
      <c r="AD48" s="24"/>
      <c r="AE48" s="24"/>
      <c r="AF48" s="24"/>
      <c r="AG48" s="24"/>
      <c r="AH48" s="24"/>
      <c r="AI48" s="24"/>
      <c r="AJ48" s="24"/>
      <c r="AK48" s="24"/>
      <c r="AL48" s="499"/>
      <c r="AM48" s="26"/>
      <c r="AN48" s="24"/>
      <c r="AO48" s="24"/>
      <c r="AP48" s="24"/>
      <c r="AQ48" s="24"/>
      <c r="AR48" s="24"/>
      <c r="AS48" s="24"/>
      <c r="AT48" s="24"/>
    </row>
    <row r="49" ht="15.75" customHeight="1">
      <c r="B49" s="908" t="s">
        <v>1428</v>
      </c>
      <c r="C49" s="6"/>
      <c r="D49" s="6"/>
      <c r="E49" s="6"/>
      <c r="F49" s="6"/>
      <c r="G49" s="6"/>
      <c r="H49" s="6"/>
      <c r="I49" s="6"/>
      <c r="J49" s="6"/>
      <c r="K49" s="6"/>
      <c r="L49" s="6"/>
      <c r="M49" s="6"/>
      <c r="N49" s="6"/>
      <c r="O49" s="6"/>
      <c r="P49" s="6"/>
      <c r="Q49" s="6"/>
      <c r="R49" s="6"/>
      <c r="S49" s="6"/>
      <c r="T49" s="6"/>
      <c r="U49" s="6"/>
      <c r="V49" s="6"/>
      <c r="W49" s="6"/>
      <c r="X49" s="6"/>
      <c r="Y49" s="6"/>
      <c r="Z49" s="6"/>
      <c r="AA49" s="6"/>
      <c r="AB49" s="6"/>
      <c r="AC49" s="6"/>
      <c r="AD49" s="6"/>
      <c r="AE49" s="6"/>
      <c r="AF49" s="6"/>
      <c r="AG49" s="6"/>
      <c r="AH49" s="6"/>
      <c r="AI49" s="6"/>
      <c r="AJ49" s="6"/>
      <c r="AK49" s="37"/>
      <c r="AL49" s="499"/>
      <c r="AM49" s="26"/>
      <c r="AN49" s="24"/>
      <c r="AO49" s="24"/>
      <c r="AP49" s="24"/>
      <c r="AQ49" s="24"/>
      <c r="AR49" s="24"/>
      <c r="AS49" s="24"/>
      <c r="AT49" s="24"/>
    </row>
    <row r="50" ht="15.75" customHeight="1">
      <c r="B50" s="791" t="s">
        <v>1429</v>
      </c>
      <c r="C50" s="650"/>
      <c r="D50" s="650"/>
      <c r="E50" s="650"/>
      <c r="F50" s="651"/>
      <c r="G50" s="9">
        <v>1.0</v>
      </c>
      <c r="H50" s="9">
        <v>2.0</v>
      </c>
      <c r="I50" s="9">
        <v>3.0</v>
      </c>
      <c r="J50" s="9">
        <v>4.0</v>
      </c>
      <c r="K50" s="9">
        <v>5.0</v>
      </c>
      <c r="L50" s="9">
        <v>6.0</v>
      </c>
      <c r="M50" s="9">
        <v>7.0</v>
      </c>
      <c r="N50" s="9">
        <v>8.0</v>
      </c>
      <c r="O50" s="9">
        <v>9.0</v>
      </c>
      <c r="P50" s="9">
        <v>10.0</v>
      </c>
      <c r="Q50" s="9">
        <v>11.0</v>
      </c>
      <c r="R50" s="9">
        <v>12.0</v>
      </c>
      <c r="S50" s="9">
        <v>13.0</v>
      </c>
      <c r="T50" s="9">
        <v>14.0</v>
      </c>
      <c r="U50" s="9">
        <v>15.0</v>
      </c>
      <c r="V50" s="9">
        <v>16.0</v>
      </c>
      <c r="W50" s="9">
        <v>17.0</v>
      </c>
      <c r="X50" s="9">
        <v>18.0</v>
      </c>
      <c r="Y50" s="9">
        <v>19.0</v>
      </c>
      <c r="Z50" s="9">
        <v>20.0</v>
      </c>
      <c r="AA50" s="9">
        <v>21.0</v>
      </c>
      <c r="AB50" s="9">
        <v>22.0</v>
      </c>
      <c r="AC50" s="9">
        <v>23.0</v>
      </c>
      <c r="AD50" s="9">
        <v>24.0</v>
      </c>
      <c r="AE50" s="9">
        <v>25.0</v>
      </c>
      <c r="AF50" s="9">
        <v>26.0</v>
      </c>
      <c r="AG50" s="9">
        <v>27.0</v>
      </c>
      <c r="AH50" s="9">
        <v>28.0</v>
      </c>
      <c r="AI50" s="9">
        <v>29.0</v>
      </c>
      <c r="AJ50" s="9">
        <v>30.0</v>
      </c>
      <c r="AK50" s="9">
        <v>31.0</v>
      </c>
      <c r="AL50" s="499"/>
      <c r="AM50" s="26"/>
      <c r="AN50" s="24"/>
      <c r="AO50" s="24"/>
      <c r="AP50" s="24"/>
      <c r="AQ50" s="24"/>
      <c r="AR50" s="24"/>
      <c r="AS50" s="24"/>
      <c r="AT50" s="24"/>
    </row>
    <row r="51" ht="15.75" customHeight="1">
      <c r="B51" s="868" t="s">
        <v>4</v>
      </c>
      <c r="C51" s="869" t="s">
        <v>5</v>
      </c>
      <c r="D51" s="870" t="s">
        <v>6</v>
      </c>
      <c r="E51" s="909" t="s">
        <v>7</v>
      </c>
      <c r="F51" s="870" t="s">
        <v>8</v>
      </c>
      <c r="G51" s="9" t="s">
        <v>9</v>
      </c>
      <c r="H51" s="9" t="s">
        <v>10</v>
      </c>
      <c r="I51" s="9" t="s">
        <v>11</v>
      </c>
      <c r="J51" s="9" t="s">
        <v>12</v>
      </c>
      <c r="K51" s="9" t="s">
        <v>12</v>
      </c>
      <c r="L51" s="9" t="s">
        <v>13</v>
      </c>
      <c r="M51" s="9" t="s">
        <v>15</v>
      </c>
      <c r="N51" s="9" t="s">
        <v>9</v>
      </c>
      <c r="O51" s="9" t="s">
        <v>10</v>
      </c>
      <c r="P51" s="9" t="s">
        <v>11</v>
      </c>
      <c r="Q51" s="9" t="s">
        <v>12</v>
      </c>
      <c r="R51" s="9" t="s">
        <v>12</v>
      </c>
      <c r="S51" s="9" t="s">
        <v>13</v>
      </c>
      <c r="T51" s="9" t="s">
        <v>15</v>
      </c>
      <c r="U51" s="9" t="s">
        <v>9</v>
      </c>
      <c r="V51" s="9" t="s">
        <v>10</v>
      </c>
      <c r="W51" s="9" t="s">
        <v>11</v>
      </c>
      <c r="X51" s="9" t="s">
        <v>12</v>
      </c>
      <c r="Y51" s="9" t="s">
        <v>12</v>
      </c>
      <c r="Z51" s="9" t="s">
        <v>13</v>
      </c>
      <c r="AA51" s="9" t="s">
        <v>15</v>
      </c>
      <c r="AB51" s="9" t="s">
        <v>9</v>
      </c>
      <c r="AC51" s="9" t="s">
        <v>10</v>
      </c>
      <c r="AD51" s="9" t="s">
        <v>11</v>
      </c>
      <c r="AE51" s="9" t="s">
        <v>12</v>
      </c>
      <c r="AF51" s="9" t="s">
        <v>12</v>
      </c>
      <c r="AG51" s="9" t="s">
        <v>13</v>
      </c>
      <c r="AH51" s="13" t="s">
        <v>15</v>
      </c>
      <c r="AI51" s="9" t="s">
        <v>9</v>
      </c>
      <c r="AJ51" s="9" t="s">
        <v>10</v>
      </c>
      <c r="AK51" s="9" t="s">
        <v>11</v>
      </c>
      <c r="AL51" s="499"/>
      <c r="AM51" s="26"/>
      <c r="AN51" s="24"/>
      <c r="AO51" s="24"/>
      <c r="AP51" s="24"/>
      <c r="AQ51" s="24"/>
      <c r="AR51" s="24"/>
      <c r="AS51" s="24"/>
      <c r="AT51" s="24"/>
    </row>
    <row r="52" ht="15.75" customHeight="1">
      <c r="A52" s="797" t="s">
        <v>1430</v>
      </c>
      <c r="B52" s="910" t="s">
        <v>33</v>
      </c>
      <c r="C52" s="911" t="s">
        <v>1556</v>
      </c>
      <c r="D52" s="912">
        <v>4.507018E7</v>
      </c>
      <c r="E52" s="851" t="s">
        <v>1557</v>
      </c>
      <c r="F52" s="850" t="s">
        <v>1558</v>
      </c>
      <c r="G52" s="72" t="s">
        <v>27</v>
      </c>
      <c r="H52" s="72" t="s">
        <v>27</v>
      </c>
      <c r="I52" s="273" t="s">
        <v>27</v>
      </c>
      <c r="J52" s="75"/>
      <c r="K52" s="75"/>
      <c r="L52" s="75"/>
      <c r="M52" s="72" t="s">
        <v>27</v>
      </c>
      <c r="N52" s="72" t="s">
        <v>27</v>
      </c>
      <c r="O52" s="72" t="s">
        <v>18</v>
      </c>
      <c r="P52" s="72" t="s">
        <v>27</v>
      </c>
      <c r="Q52" s="75"/>
      <c r="R52" s="75"/>
      <c r="S52" s="72" t="s">
        <v>27</v>
      </c>
      <c r="T52" s="72" t="s">
        <v>27</v>
      </c>
      <c r="U52" s="106" t="s">
        <v>32</v>
      </c>
      <c r="V52" s="75"/>
      <c r="W52" s="75"/>
      <c r="X52" s="75"/>
      <c r="Y52" s="72" t="s">
        <v>27</v>
      </c>
      <c r="Z52" s="72" t="s">
        <v>27</v>
      </c>
      <c r="AA52" s="72" t="s">
        <v>27</v>
      </c>
      <c r="AB52" s="72" t="s">
        <v>27</v>
      </c>
      <c r="AC52" s="75"/>
      <c r="AD52" s="75"/>
      <c r="AE52" s="72" t="s">
        <v>27</v>
      </c>
      <c r="AF52" s="72" t="s">
        <v>27</v>
      </c>
      <c r="AG52" s="72" t="s">
        <v>27</v>
      </c>
      <c r="AH52" s="75"/>
      <c r="AI52" s="75"/>
      <c r="AJ52" s="75"/>
      <c r="AK52" s="72" t="s">
        <v>27</v>
      </c>
      <c r="AL52" s="499"/>
      <c r="AM52" s="60" t="str">
        <f t="shared" ref="AM52:AM56" si="45">IFS(AN52&gt;3,"NO CORRESPONDE FRANCO",AS52&gt;0,"NO CORRESPONDE FRANCO",AS52=0,"")</f>
        <v/>
      </c>
      <c r="AN52" s="60">
        <f t="shared" ref="AN52:AN56" si="46">COUNTIF($G52:$AK52,"LLT")</f>
        <v>1</v>
      </c>
      <c r="AO52" s="60">
        <f t="shared" ref="AO52:AO56" si="47">COUNTIF($G52:$AK52,"LM")</f>
        <v>0</v>
      </c>
      <c r="AP52" s="60">
        <f t="shared" ref="AP52:AP56" si="48">COUNTIF($G52:$AK52,"FaC")</f>
        <v>0</v>
      </c>
      <c r="AQ52" s="60">
        <f t="shared" ref="AQ52:AQ56" si="49">COUNTIF($G52:$AK52,"LxE")</f>
        <v>0</v>
      </c>
      <c r="AR52" s="60">
        <f t="shared" ref="AR52:AR56" si="50">COUNTIF($G52:$AK52,"LA")</f>
        <v>0</v>
      </c>
      <c r="AS52" s="60">
        <f t="shared" ref="AS52:AS56" si="51">SUM(AO52:AR52)</f>
        <v>0</v>
      </c>
      <c r="AT52" s="24"/>
    </row>
    <row r="53" ht="15.75" customHeight="1">
      <c r="A53" s="820"/>
      <c r="B53" s="910" t="s">
        <v>1559</v>
      </c>
      <c r="C53" s="911" t="s">
        <v>1560</v>
      </c>
      <c r="D53" s="912">
        <v>3.798946E7</v>
      </c>
      <c r="E53" s="851" t="s">
        <v>1561</v>
      </c>
      <c r="F53" s="850" t="s">
        <v>1562</v>
      </c>
      <c r="G53" s="72" t="s">
        <v>27</v>
      </c>
      <c r="H53" s="72" t="s">
        <v>18</v>
      </c>
      <c r="I53" s="72" t="s">
        <v>27</v>
      </c>
      <c r="J53" s="75"/>
      <c r="K53" s="75"/>
      <c r="L53" s="75"/>
      <c r="M53" s="72" t="s">
        <v>27</v>
      </c>
      <c r="N53" s="72" t="s">
        <v>27</v>
      </c>
      <c r="O53" s="72" t="s">
        <v>27</v>
      </c>
      <c r="P53" s="72" t="s">
        <v>27</v>
      </c>
      <c r="Q53" s="75"/>
      <c r="R53" s="75"/>
      <c r="S53" s="72" t="s">
        <v>27</v>
      </c>
      <c r="T53" s="72" t="s">
        <v>27</v>
      </c>
      <c r="U53" s="72" t="s">
        <v>27</v>
      </c>
      <c r="V53" s="75"/>
      <c r="W53" s="75"/>
      <c r="X53" s="75"/>
      <c r="Y53" s="72" t="s">
        <v>27</v>
      </c>
      <c r="Z53" s="72" t="s">
        <v>27</v>
      </c>
      <c r="AA53" s="72" t="s">
        <v>18</v>
      </c>
      <c r="AB53" s="72" t="s">
        <v>27</v>
      </c>
      <c r="AC53" s="75"/>
      <c r="AD53" s="75"/>
      <c r="AE53" s="72" t="s">
        <v>27</v>
      </c>
      <c r="AF53" s="72" t="s">
        <v>27</v>
      </c>
      <c r="AG53" s="72" t="s">
        <v>27</v>
      </c>
      <c r="AH53" s="75"/>
      <c r="AI53" s="75"/>
      <c r="AJ53" s="138" t="s">
        <v>19</v>
      </c>
      <c r="AK53" s="138" t="s">
        <v>19</v>
      </c>
      <c r="AL53" s="499"/>
      <c r="AM53" s="60" t="str">
        <f t="shared" si="45"/>
        <v>NO CORRESPONDE FRANCO</v>
      </c>
      <c r="AN53" s="60">
        <f t="shared" si="46"/>
        <v>2</v>
      </c>
      <c r="AO53" s="60">
        <f t="shared" si="47"/>
        <v>2</v>
      </c>
      <c r="AP53" s="60">
        <f t="shared" si="48"/>
        <v>0</v>
      </c>
      <c r="AQ53" s="60">
        <f t="shared" si="49"/>
        <v>0</v>
      </c>
      <c r="AR53" s="60">
        <f t="shared" si="50"/>
        <v>0</v>
      </c>
      <c r="AS53" s="60">
        <f t="shared" si="51"/>
        <v>2</v>
      </c>
      <c r="AT53" s="672"/>
    </row>
    <row r="54" ht="15.75" customHeight="1">
      <c r="A54" s="801"/>
      <c r="B54" s="890" t="s">
        <v>33</v>
      </c>
      <c r="C54" s="707" t="s">
        <v>1563</v>
      </c>
      <c r="D54" s="708">
        <v>4.4161458E7</v>
      </c>
      <c r="E54" s="709" t="s">
        <v>1564</v>
      </c>
      <c r="F54" s="708" t="s">
        <v>1565</v>
      </c>
      <c r="G54" s="72" t="s">
        <v>27</v>
      </c>
      <c r="H54" s="105" t="s">
        <v>18</v>
      </c>
      <c r="I54" s="72" t="s">
        <v>27</v>
      </c>
      <c r="J54" s="75"/>
      <c r="K54" s="75"/>
      <c r="L54" s="75"/>
      <c r="M54" s="96" t="s">
        <v>22</v>
      </c>
      <c r="N54" s="96" t="s">
        <v>22</v>
      </c>
      <c r="O54" s="96" t="s">
        <v>22</v>
      </c>
      <c r="P54" s="96" t="s">
        <v>22</v>
      </c>
      <c r="Q54" s="96" t="s">
        <v>22</v>
      </c>
      <c r="R54" s="96" t="s">
        <v>22</v>
      </c>
      <c r="S54" s="96" t="s">
        <v>22</v>
      </c>
      <c r="T54" s="106" t="s">
        <v>32</v>
      </c>
      <c r="U54" s="106" t="s">
        <v>32</v>
      </c>
      <c r="V54" s="75"/>
      <c r="W54" s="75"/>
      <c r="X54" s="75"/>
      <c r="Y54" s="72" t="s">
        <v>27</v>
      </c>
      <c r="Z54" s="72" t="s">
        <v>27</v>
      </c>
      <c r="AA54" s="72" t="s">
        <v>18</v>
      </c>
      <c r="AB54" s="72" t="s">
        <v>27</v>
      </c>
      <c r="AC54" s="75"/>
      <c r="AD54" s="75"/>
      <c r="AE54" s="72" t="s">
        <v>18</v>
      </c>
      <c r="AF54" s="72" t="s">
        <v>27</v>
      </c>
      <c r="AG54" s="72" t="s">
        <v>27</v>
      </c>
      <c r="AH54" s="75"/>
      <c r="AI54" s="75"/>
      <c r="AJ54" s="75"/>
      <c r="AK54" s="72" t="s">
        <v>27</v>
      </c>
      <c r="AL54" s="499"/>
      <c r="AM54" s="60" t="str">
        <f t="shared" si="45"/>
        <v>NO CORRESPONDE FRANCO</v>
      </c>
      <c r="AN54" s="60">
        <f t="shared" si="46"/>
        <v>3</v>
      </c>
      <c r="AO54" s="60">
        <f t="shared" si="47"/>
        <v>0</v>
      </c>
      <c r="AP54" s="60">
        <f t="shared" si="48"/>
        <v>0</v>
      </c>
      <c r="AQ54" s="60">
        <f t="shared" si="49"/>
        <v>0</v>
      </c>
      <c r="AR54" s="60">
        <f t="shared" si="50"/>
        <v>7</v>
      </c>
      <c r="AS54" s="60">
        <f t="shared" si="51"/>
        <v>7</v>
      </c>
      <c r="AT54" s="24"/>
    </row>
    <row r="55" ht="15.75" customHeight="1">
      <c r="A55" s="879" t="s">
        <v>1437</v>
      </c>
      <c r="B55" s="880" t="s">
        <v>33</v>
      </c>
      <c r="C55" s="862" t="s">
        <v>1566</v>
      </c>
      <c r="D55" s="913">
        <v>3.150014E7</v>
      </c>
      <c r="E55" s="882" t="s">
        <v>1567</v>
      </c>
      <c r="F55" s="914" t="s">
        <v>1568</v>
      </c>
      <c r="G55" s="72" t="s">
        <v>27</v>
      </c>
      <c r="H55" s="72" t="s">
        <v>27</v>
      </c>
      <c r="I55" s="72" t="s">
        <v>27</v>
      </c>
      <c r="J55" s="72" t="s">
        <v>27</v>
      </c>
      <c r="K55" s="75"/>
      <c r="L55" s="75"/>
      <c r="M55" s="75"/>
      <c r="N55" s="72" t="s">
        <v>27</v>
      </c>
      <c r="O55" s="72" t="s">
        <v>27</v>
      </c>
      <c r="P55" s="72" t="s">
        <v>27</v>
      </c>
      <c r="Q55" s="75"/>
      <c r="R55" s="75"/>
      <c r="S55" s="106" t="s">
        <v>32</v>
      </c>
      <c r="T55" s="72" t="s">
        <v>27</v>
      </c>
      <c r="U55" s="72" t="s">
        <v>27</v>
      </c>
      <c r="V55" s="72" t="s">
        <v>27</v>
      </c>
      <c r="W55" s="75"/>
      <c r="X55" s="75"/>
      <c r="Y55" s="75"/>
      <c r="Z55" s="72" t="s">
        <v>27</v>
      </c>
      <c r="AA55" s="72" t="s">
        <v>27</v>
      </c>
      <c r="AB55" s="72" t="s">
        <v>27</v>
      </c>
      <c r="AC55" s="75"/>
      <c r="AD55" s="75"/>
      <c r="AE55" s="72" t="s">
        <v>27</v>
      </c>
      <c r="AF55" s="72" t="s">
        <v>27</v>
      </c>
      <c r="AG55" s="72" t="s">
        <v>27</v>
      </c>
      <c r="AH55" s="72" t="s">
        <v>27</v>
      </c>
      <c r="AI55" s="75"/>
      <c r="AJ55" s="75"/>
      <c r="AK55" s="75"/>
      <c r="AL55" s="499"/>
      <c r="AM55" s="60" t="str">
        <f t="shared" si="45"/>
        <v/>
      </c>
      <c r="AN55" s="60">
        <f t="shared" si="46"/>
        <v>0</v>
      </c>
      <c r="AO55" s="60">
        <f t="shared" si="47"/>
        <v>0</v>
      </c>
      <c r="AP55" s="60">
        <f t="shared" si="48"/>
        <v>0</v>
      </c>
      <c r="AQ55" s="60">
        <f t="shared" si="49"/>
        <v>0</v>
      </c>
      <c r="AR55" s="60">
        <f t="shared" si="50"/>
        <v>0</v>
      </c>
      <c r="AS55" s="60">
        <f t="shared" si="51"/>
        <v>0</v>
      </c>
      <c r="AT55" s="24"/>
    </row>
    <row r="56" ht="15.75" customHeight="1">
      <c r="A56" s="801"/>
      <c r="B56" s="880" t="s">
        <v>33</v>
      </c>
      <c r="C56" s="862" t="s">
        <v>1569</v>
      </c>
      <c r="D56" s="861">
        <v>3.0237443E7</v>
      </c>
      <c r="E56" s="882" t="s">
        <v>1570</v>
      </c>
      <c r="F56" s="914" t="s">
        <v>1571</v>
      </c>
      <c r="G56" s="72" t="s">
        <v>27</v>
      </c>
      <c r="H56" s="72" t="s">
        <v>27</v>
      </c>
      <c r="I56" s="72" t="s">
        <v>27</v>
      </c>
      <c r="J56" s="72" t="s">
        <v>27</v>
      </c>
      <c r="K56" s="75"/>
      <c r="L56" s="75"/>
      <c r="M56" s="75"/>
      <c r="N56" s="72" t="s">
        <v>27</v>
      </c>
      <c r="O56" s="72" t="s">
        <v>27</v>
      </c>
      <c r="P56" s="72" t="s">
        <v>27</v>
      </c>
      <c r="Q56" s="75"/>
      <c r="R56" s="72" t="s">
        <v>27</v>
      </c>
      <c r="S56" s="72" t="s">
        <v>27</v>
      </c>
      <c r="T56" s="72" t="s">
        <v>27</v>
      </c>
      <c r="U56" s="128" t="s">
        <v>79</v>
      </c>
      <c r="V56" s="72" t="s">
        <v>27</v>
      </c>
      <c r="W56" s="75"/>
      <c r="X56" s="75"/>
      <c r="Y56" s="75"/>
      <c r="Z56" s="72" t="s">
        <v>27</v>
      </c>
      <c r="AA56" s="72" t="s">
        <v>27</v>
      </c>
      <c r="AB56" s="72" t="s">
        <v>27</v>
      </c>
      <c r="AC56" s="75"/>
      <c r="AD56" s="75"/>
      <c r="AE56" s="72" t="s">
        <v>27</v>
      </c>
      <c r="AF56" s="72" t="s">
        <v>27</v>
      </c>
      <c r="AG56" s="72" t="s">
        <v>27</v>
      </c>
      <c r="AH56" s="72" t="s">
        <v>27</v>
      </c>
      <c r="AI56" s="75"/>
      <c r="AJ56" s="75"/>
      <c r="AK56" s="75"/>
      <c r="AL56" s="499"/>
      <c r="AM56" s="60" t="str">
        <f t="shared" si="45"/>
        <v/>
      </c>
      <c r="AN56" s="60">
        <f t="shared" si="46"/>
        <v>0</v>
      </c>
      <c r="AO56" s="60">
        <f t="shared" si="47"/>
        <v>0</v>
      </c>
      <c r="AP56" s="60">
        <f t="shared" si="48"/>
        <v>0</v>
      </c>
      <c r="AQ56" s="60">
        <f t="shared" si="49"/>
        <v>0</v>
      </c>
      <c r="AR56" s="60">
        <f t="shared" si="50"/>
        <v>0</v>
      </c>
      <c r="AS56" s="60">
        <f t="shared" si="51"/>
        <v>0</v>
      </c>
      <c r="AT56" s="672"/>
    </row>
    <row r="57" ht="15.75" customHeight="1">
      <c r="F57" s="24"/>
      <c r="G57" s="24"/>
      <c r="H57" s="24"/>
      <c r="I57" s="24"/>
      <c r="J57" s="24"/>
      <c r="K57" s="24"/>
      <c r="L57" s="24"/>
      <c r="M57" s="24"/>
      <c r="N57" s="24"/>
      <c r="O57" s="24"/>
      <c r="P57" s="24"/>
      <c r="Q57" s="24"/>
      <c r="R57" s="24"/>
      <c r="S57" s="24"/>
      <c r="T57" s="24"/>
      <c r="U57" s="24">
        <v>5.0</v>
      </c>
      <c r="V57" s="24"/>
      <c r="W57" s="24"/>
      <c r="X57" s="24"/>
      <c r="Y57" s="24"/>
      <c r="Z57" s="24"/>
      <c r="AA57" s="24"/>
      <c r="AB57" s="24"/>
      <c r="AC57" s="24"/>
      <c r="AD57" s="24"/>
      <c r="AE57" s="24"/>
      <c r="AF57" s="24"/>
      <c r="AG57" s="24"/>
      <c r="AH57" s="24"/>
      <c r="AI57" s="24"/>
      <c r="AJ57" s="24"/>
      <c r="AK57" s="24"/>
      <c r="AL57" s="499"/>
      <c r="AM57" s="26"/>
      <c r="AN57" s="24"/>
      <c r="AO57" s="24"/>
      <c r="AP57" s="24"/>
      <c r="AQ57" s="24"/>
      <c r="AR57" s="24"/>
      <c r="AS57" s="24"/>
      <c r="AT57" s="24"/>
    </row>
    <row r="58" ht="15.75" customHeight="1">
      <c r="B58" s="664" t="s">
        <v>1444</v>
      </c>
      <c r="C58" s="2"/>
      <c r="D58" s="2"/>
      <c r="E58" s="2"/>
      <c r="F58" s="3"/>
      <c r="G58" s="9">
        <v>1.0</v>
      </c>
      <c r="H58" s="9">
        <v>2.0</v>
      </c>
      <c r="I58" s="9">
        <v>3.0</v>
      </c>
      <c r="J58" s="9">
        <v>4.0</v>
      </c>
      <c r="K58" s="9">
        <v>5.0</v>
      </c>
      <c r="L58" s="9">
        <v>6.0</v>
      </c>
      <c r="M58" s="9">
        <v>7.0</v>
      </c>
      <c r="N58" s="9">
        <v>8.0</v>
      </c>
      <c r="O58" s="9">
        <v>9.0</v>
      </c>
      <c r="P58" s="9">
        <v>10.0</v>
      </c>
      <c r="Q58" s="9">
        <v>11.0</v>
      </c>
      <c r="R58" s="9">
        <v>12.0</v>
      </c>
      <c r="S58" s="9">
        <v>13.0</v>
      </c>
      <c r="T58" s="9">
        <v>14.0</v>
      </c>
      <c r="U58" s="9">
        <v>15.0</v>
      </c>
      <c r="V58" s="9">
        <v>16.0</v>
      </c>
      <c r="W58" s="9">
        <v>17.0</v>
      </c>
      <c r="X58" s="9">
        <v>18.0</v>
      </c>
      <c r="Y58" s="9">
        <v>19.0</v>
      </c>
      <c r="Z58" s="9">
        <v>20.0</v>
      </c>
      <c r="AA58" s="9">
        <v>21.0</v>
      </c>
      <c r="AB58" s="9">
        <v>22.0</v>
      </c>
      <c r="AC58" s="9">
        <v>23.0</v>
      </c>
      <c r="AD58" s="9">
        <v>24.0</v>
      </c>
      <c r="AE58" s="9">
        <v>25.0</v>
      </c>
      <c r="AF58" s="9">
        <v>26.0</v>
      </c>
      <c r="AG58" s="9">
        <v>27.0</v>
      </c>
      <c r="AH58" s="9">
        <v>28.0</v>
      </c>
      <c r="AI58" s="9">
        <v>29.0</v>
      </c>
      <c r="AJ58" s="9">
        <v>30.0</v>
      </c>
      <c r="AK58" s="9">
        <v>31.0</v>
      </c>
      <c r="AL58" s="499"/>
      <c r="AM58" s="26"/>
      <c r="AN58" s="24"/>
      <c r="AO58" s="24"/>
      <c r="AP58" s="24"/>
      <c r="AQ58" s="24"/>
      <c r="AR58" s="24"/>
      <c r="AS58" s="24"/>
      <c r="AT58" s="24"/>
    </row>
    <row r="59" ht="15.75" customHeight="1">
      <c r="B59" s="898" t="s">
        <v>4</v>
      </c>
      <c r="C59" s="899" t="s">
        <v>5</v>
      </c>
      <c r="D59" s="886" t="s">
        <v>6</v>
      </c>
      <c r="E59" s="900" t="s">
        <v>7</v>
      </c>
      <c r="F59" s="886" t="s">
        <v>8</v>
      </c>
      <c r="G59" s="9" t="s">
        <v>9</v>
      </c>
      <c r="H59" s="9" t="s">
        <v>10</v>
      </c>
      <c r="I59" s="9" t="s">
        <v>11</v>
      </c>
      <c r="J59" s="9" t="s">
        <v>12</v>
      </c>
      <c r="K59" s="9" t="s">
        <v>12</v>
      </c>
      <c r="L59" s="9" t="s">
        <v>13</v>
      </c>
      <c r="M59" s="9" t="s">
        <v>15</v>
      </c>
      <c r="N59" s="9" t="s">
        <v>9</v>
      </c>
      <c r="O59" s="9" t="s">
        <v>10</v>
      </c>
      <c r="P59" s="9" t="s">
        <v>11</v>
      </c>
      <c r="Q59" s="9" t="s">
        <v>12</v>
      </c>
      <c r="R59" s="9" t="s">
        <v>12</v>
      </c>
      <c r="S59" s="9" t="s">
        <v>13</v>
      </c>
      <c r="T59" s="9" t="s">
        <v>15</v>
      </c>
      <c r="U59" s="9" t="s">
        <v>9</v>
      </c>
      <c r="V59" s="9" t="s">
        <v>10</v>
      </c>
      <c r="W59" s="9" t="s">
        <v>11</v>
      </c>
      <c r="X59" s="9" t="s">
        <v>12</v>
      </c>
      <c r="Y59" s="9" t="s">
        <v>12</v>
      </c>
      <c r="Z59" s="9" t="s">
        <v>13</v>
      </c>
      <c r="AA59" s="9" t="s">
        <v>15</v>
      </c>
      <c r="AB59" s="9" t="s">
        <v>9</v>
      </c>
      <c r="AC59" s="9" t="s">
        <v>10</v>
      </c>
      <c r="AD59" s="9" t="s">
        <v>11</v>
      </c>
      <c r="AE59" s="9" t="s">
        <v>12</v>
      </c>
      <c r="AF59" s="9" t="s">
        <v>12</v>
      </c>
      <c r="AG59" s="9" t="s">
        <v>13</v>
      </c>
      <c r="AH59" s="13" t="s">
        <v>15</v>
      </c>
      <c r="AI59" s="9" t="s">
        <v>9</v>
      </c>
      <c r="AJ59" s="9" t="s">
        <v>10</v>
      </c>
      <c r="AK59" s="9" t="s">
        <v>11</v>
      </c>
      <c r="AM59" s="26"/>
      <c r="AN59" s="24"/>
      <c r="AO59" s="24"/>
      <c r="AP59" s="24"/>
      <c r="AQ59" s="24"/>
      <c r="AR59" s="24"/>
      <c r="AS59" s="24"/>
      <c r="AT59" s="24"/>
    </row>
    <row r="60" ht="15.75" customHeight="1">
      <c r="A60" s="797" t="s">
        <v>1445</v>
      </c>
      <c r="B60" s="910" t="s">
        <v>33</v>
      </c>
      <c r="C60" s="849" t="s">
        <v>1572</v>
      </c>
      <c r="D60" s="912">
        <v>9.4465774E7</v>
      </c>
      <c r="E60" s="851" t="s">
        <v>1573</v>
      </c>
      <c r="F60" s="915" t="s">
        <v>1574</v>
      </c>
      <c r="G60" s="44"/>
      <c r="H60" s="44"/>
      <c r="I60" s="44"/>
      <c r="J60" s="45" t="s">
        <v>27</v>
      </c>
      <c r="K60" s="105" t="s">
        <v>27</v>
      </c>
      <c r="L60" s="45" t="s">
        <v>27</v>
      </c>
      <c r="M60" s="44"/>
      <c r="N60" s="44"/>
      <c r="O60" s="103" t="s">
        <v>18</v>
      </c>
      <c r="P60" s="45" t="s">
        <v>27</v>
      </c>
      <c r="Q60" s="45" t="s">
        <v>18</v>
      </c>
      <c r="R60" s="128" t="s">
        <v>79</v>
      </c>
      <c r="S60" s="44"/>
      <c r="T60" s="44"/>
      <c r="U60" s="45" t="s">
        <v>27</v>
      </c>
      <c r="V60" s="45" t="s">
        <v>27</v>
      </c>
      <c r="W60" s="106" t="s">
        <v>32</v>
      </c>
      <c r="X60" s="70"/>
      <c r="Y60" s="44"/>
      <c r="Z60" s="44"/>
      <c r="AA60" s="103" t="s">
        <v>27</v>
      </c>
      <c r="AB60" s="45" t="s">
        <v>27</v>
      </c>
      <c r="AC60" s="45" t="s">
        <v>18</v>
      </c>
      <c r="AD60" s="45" t="s">
        <v>27</v>
      </c>
      <c r="AE60" s="44"/>
      <c r="AF60" s="44"/>
      <c r="AG60" s="44"/>
      <c r="AH60" s="45" t="s">
        <v>27</v>
      </c>
      <c r="AI60" s="45" t="s">
        <v>27</v>
      </c>
      <c r="AJ60" s="45" t="s">
        <v>18</v>
      </c>
      <c r="AK60" s="44"/>
      <c r="AL60" s="257"/>
      <c r="AM60" s="60" t="str">
        <f t="shared" ref="AM60:AM63" si="52">IFS(AN60&gt;3,"NO CORRESPONDE FRANCO",AS60&gt;0,"NO CORRESPONDE FRANCO",AS60=0,"")</f>
        <v>NO CORRESPONDE FRANCO</v>
      </c>
      <c r="AN60" s="60">
        <f t="shared" ref="AN60:AN63" si="53">COUNTIF($G60:$AK60,"LLT")</f>
        <v>4</v>
      </c>
      <c r="AO60" s="60">
        <f t="shared" ref="AO60:AO63" si="54">COUNTIF($G60:$AK60,"LM")</f>
        <v>0</v>
      </c>
      <c r="AP60" s="60">
        <f t="shared" ref="AP60:AP63" si="55">COUNTIF($G60:$AK60,"FaC")</f>
        <v>0</v>
      </c>
      <c r="AQ60" s="60">
        <f t="shared" ref="AQ60:AQ63" si="56">COUNTIF($G60:$AK60,"LxE")</f>
        <v>0</v>
      </c>
      <c r="AR60" s="60">
        <f t="shared" ref="AR60:AR63" si="57">COUNTIF($G60:$AK60,"LA")</f>
        <v>0</v>
      </c>
      <c r="AS60" s="60">
        <f t="shared" ref="AS60:AS63" si="58">SUM(AO60:AR60)</f>
        <v>0</v>
      </c>
      <c r="AT60" s="842"/>
    </row>
    <row r="61" ht="15.75" customHeight="1">
      <c r="A61" s="801"/>
      <c r="B61" s="874" t="s">
        <v>33</v>
      </c>
      <c r="C61" s="875" t="s">
        <v>1575</v>
      </c>
      <c r="D61" s="876">
        <v>3.8358265E7</v>
      </c>
      <c r="E61" s="916" t="s">
        <v>1576</v>
      </c>
      <c r="F61" s="905" t="s">
        <v>1577</v>
      </c>
      <c r="G61" s="44"/>
      <c r="H61" s="44"/>
      <c r="I61" s="44"/>
      <c r="J61" s="45" t="s">
        <v>27</v>
      </c>
      <c r="K61" s="72" t="s">
        <v>27</v>
      </c>
      <c r="L61" s="45" t="s">
        <v>27</v>
      </c>
      <c r="M61" s="44"/>
      <c r="N61" s="44"/>
      <c r="O61" s="103" t="s">
        <v>27</v>
      </c>
      <c r="P61" s="45" t="s">
        <v>27</v>
      </c>
      <c r="Q61" s="72" t="s">
        <v>27</v>
      </c>
      <c r="R61" s="45" t="s">
        <v>18</v>
      </c>
      <c r="S61" s="44"/>
      <c r="T61" s="44"/>
      <c r="U61" s="44"/>
      <c r="V61" s="45" t="s">
        <v>27</v>
      </c>
      <c r="W61" s="45" t="s">
        <v>27</v>
      </c>
      <c r="X61" s="45" t="s">
        <v>27</v>
      </c>
      <c r="Y61" s="44"/>
      <c r="Z61" s="44"/>
      <c r="AA61" s="103" t="s">
        <v>27</v>
      </c>
      <c r="AB61" s="45" t="s">
        <v>27</v>
      </c>
      <c r="AC61" s="91" t="s">
        <v>19</v>
      </c>
      <c r="AD61" s="91" t="s">
        <v>19</v>
      </c>
      <c r="AE61" s="91" t="s">
        <v>19</v>
      </c>
      <c r="AF61" s="44"/>
      <c r="AG61" s="44"/>
      <c r="AH61" s="45" t="s">
        <v>27</v>
      </c>
      <c r="AI61" s="138" t="s">
        <v>19</v>
      </c>
      <c r="AJ61" s="45" t="s">
        <v>18</v>
      </c>
      <c r="AK61" s="44"/>
      <c r="AL61" s="917" t="s">
        <v>1578</v>
      </c>
      <c r="AM61" s="60" t="str">
        <f t="shared" si="52"/>
        <v>NO CORRESPONDE FRANCO</v>
      </c>
      <c r="AN61" s="60">
        <f t="shared" si="53"/>
        <v>2</v>
      </c>
      <c r="AO61" s="60">
        <f t="shared" si="54"/>
        <v>4</v>
      </c>
      <c r="AP61" s="60">
        <f t="shared" si="55"/>
        <v>0</v>
      </c>
      <c r="AQ61" s="60">
        <f t="shared" si="56"/>
        <v>0</v>
      </c>
      <c r="AR61" s="60">
        <f t="shared" si="57"/>
        <v>0</v>
      </c>
      <c r="AS61" s="60">
        <f t="shared" si="58"/>
        <v>4</v>
      </c>
      <c r="AT61" s="918"/>
    </row>
    <row r="62" ht="15.75" customHeight="1">
      <c r="A62" s="837" t="s">
        <v>1450</v>
      </c>
      <c r="B62" s="894" t="s">
        <v>33</v>
      </c>
      <c r="C62" s="839" t="s">
        <v>1579</v>
      </c>
      <c r="D62" s="919">
        <v>3.0461376E7</v>
      </c>
      <c r="E62" s="840" t="s">
        <v>1580</v>
      </c>
      <c r="F62" s="838" t="s">
        <v>1581</v>
      </c>
      <c r="G62" s="44"/>
      <c r="H62" s="44"/>
      <c r="I62" s="103" t="s">
        <v>27</v>
      </c>
      <c r="J62" s="45" t="s">
        <v>27</v>
      </c>
      <c r="K62" s="105" t="s">
        <v>18</v>
      </c>
      <c r="L62" s="44"/>
      <c r="M62" s="44"/>
      <c r="N62" s="44"/>
      <c r="O62" s="45" t="s">
        <v>18</v>
      </c>
      <c r="P62" s="45" t="s">
        <v>27</v>
      </c>
      <c r="Q62" s="72" t="s">
        <v>27</v>
      </c>
      <c r="R62" s="45" t="s">
        <v>27</v>
      </c>
      <c r="S62" s="44"/>
      <c r="T62" s="44"/>
      <c r="U62" s="106" t="s">
        <v>32</v>
      </c>
      <c r="V62" s="45" t="s">
        <v>27</v>
      </c>
      <c r="W62" s="106" t="s">
        <v>32</v>
      </c>
      <c r="X62" s="44"/>
      <c r="Y62" s="44"/>
      <c r="Z62" s="44"/>
      <c r="AA62" s="45" t="s">
        <v>27</v>
      </c>
      <c r="AB62" s="45" t="s">
        <v>27</v>
      </c>
      <c r="AC62" s="45" t="s">
        <v>27</v>
      </c>
      <c r="AD62" s="45" t="s">
        <v>27</v>
      </c>
      <c r="AE62" s="44"/>
      <c r="AF62" s="44"/>
      <c r="AG62" s="45" t="s">
        <v>27</v>
      </c>
      <c r="AH62" s="45" t="s">
        <v>27</v>
      </c>
      <c r="AI62" s="45" t="s">
        <v>27</v>
      </c>
      <c r="AJ62" s="44"/>
      <c r="AK62" s="44"/>
      <c r="AL62" s="920" t="s">
        <v>1582</v>
      </c>
      <c r="AM62" s="60" t="str">
        <f t="shared" si="52"/>
        <v/>
      </c>
      <c r="AN62" s="60">
        <f t="shared" si="53"/>
        <v>2</v>
      </c>
      <c r="AO62" s="60">
        <f t="shared" si="54"/>
        <v>0</v>
      </c>
      <c r="AP62" s="60">
        <f t="shared" si="55"/>
        <v>0</v>
      </c>
      <c r="AQ62" s="60">
        <f t="shared" si="56"/>
        <v>0</v>
      </c>
      <c r="AR62" s="60">
        <f t="shared" si="57"/>
        <v>0</v>
      </c>
      <c r="AS62" s="60">
        <f t="shared" si="58"/>
        <v>0</v>
      </c>
      <c r="AT62" s="921"/>
    </row>
    <row r="63" ht="15.75" customHeight="1">
      <c r="A63" s="801"/>
      <c r="B63" s="880" t="s">
        <v>33</v>
      </c>
      <c r="C63" s="922" t="s">
        <v>1583</v>
      </c>
      <c r="D63" s="923">
        <v>4.3987705E7</v>
      </c>
      <c r="E63" s="755" t="s">
        <v>1584</v>
      </c>
      <c r="F63" s="756" t="s">
        <v>1585</v>
      </c>
      <c r="G63" s="44"/>
      <c r="H63" s="44"/>
      <c r="I63" s="103" t="s">
        <v>27</v>
      </c>
      <c r="J63" s="45" t="s">
        <v>27</v>
      </c>
      <c r="K63" s="72" t="s">
        <v>27</v>
      </c>
      <c r="L63" s="44"/>
      <c r="M63" s="44"/>
      <c r="N63" s="44"/>
      <c r="O63" s="45" t="s">
        <v>27</v>
      </c>
      <c r="P63" s="45" t="s">
        <v>27</v>
      </c>
      <c r="Q63" s="72" t="s">
        <v>27</v>
      </c>
      <c r="R63" s="45" t="s">
        <v>27</v>
      </c>
      <c r="S63" s="44"/>
      <c r="T63" s="44"/>
      <c r="U63" s="103" t="s">
        <v>27</v>
      </c>
      <c r="V63" s="45" t="s">
        <v>27</v>
      </c>
      <c r="W63" s="45" t="s">
        <v>27</v>
      </c>
      <c r="X63" s="44"/>
      <c r="Y63" s="44"/>
      <c r="Z63" s="44"/>
      <c r="AA63" s="45" t="s">
        <v>27</v>
      </c>
      <c r="AB63" s="45" t="s">
        <v>27</v>
      </c>
      <c r="AC63" s="45" t="s">
        <v>27</v>
      </c>
      <c r="AD63" s="45" t="s">
        <v>18</v>
      </c>
      <c r="AE63" s="44"/>
      <c r="AF63" s="44"/>
      <c r="AG63" s="45" t="s">
        <v>27</v>
      </c>
      <c r="AH63" s="45" t="s">
        <v>27</v>
      </c>
      <c r="AI63" s="45" t="s">
        <v>27</v>
      </c>
      <c r="AJ63" s="44"/>
      <c r="AK63" s="44"/>
      <c r="AL63" s="257"/>
      <c r="AM63" s="60" t="str">
        <f t="shared" si="52"/>
        <v/>
      </c>
      <c r="AN63" s="60">
        <f t="shared" si="53"/>
        <v>1</v>
      </c>
      <c r="AO63" s="60">
        <f t="shared" si="54"/>
        <v>0</v>
      </c>
      <c r="AP63" s="60">
        <f t="shared" si="55"/>
        <v>0</v>
      </c>
      <c r="AQ63" s="60">
        <f t="shared" si="56"/>
        <v>0</v>
      </c>
      <c r="AR63" s="60">
        <f t="shared" si="57"/>
        <v>0</v>
      </c>
      <c r="AS63" s="60">
        <f t="shared" si="58"/>
        <v>0</v>
      </c>
      <c r="AT63" s="842"/>
    </row>
    <row r="64" ht="15.75" customHeight="1">
      <c r="F64" s="24"/>
      <c r="G64" s="24"/>
      <c r="H64" s="24"/>
      <c r="I64" s="24"/>
      <c r="J64" s="24"/>
      <c r="K64" s="24"/>
      <c r="L64" s="24"/>
      <c r="M64" s="24"/>
      <c r="N64" s="24"/>
      <c r="O64" s="24"/>
      <c r="P64" s="24"/>
      <c r="Q64" s="24"/>
      <c r="R64" s="24"/>
      <c r="S64" s="24"/>
      <c r="T64" s="24"/>
      <c r="U64" s="50">
        <v>4.0</v>
      </c>
      <c r="V64" s="24"/>
      <c r="W64" s="24"/>
      <c r="X64" s="24"/>
      <c r="Y64" s="24"/>
      <c r="Z64" s="24"/>
      <c r="AA64" s="24"/>
      <c r="AB64" s="24"/>
      <c r="AC64" s="24"/>
      <c r="AD64" s="24"/>
      <c r="AE64" s="24"/>
      <c r="AF64" s="24"/>
      <c r="AG64" s="24"/>
      <c r="AH64" s="24"/>
      <c r="AI64" s="24"/>
      <c r="AJ64" s="24"/>
      <c r="AK64" s="24"/>
      <c r="AM64" s="26"/>
      <c r="AN64" s="24"/>
      <c r="AO64" s="24"/>
      <c r="AP64" s="24"/>
      <c r="AQ64" s="24"/>
      <c r="AR64" s="24"/>
      <c r="AS64" s="24"/>
      <c r="AT64" s="24"/>
    </row>
    <row r="65" ht="15.75" customHeight="1">
      <c r="B65" s="664" t="s">
        <v>1457</v>
      </c>
      <c r="C65" s="2"/>
      <c r="D65" s="2"/>
      <c r="E65" s="2"/>
      <c r="F65" s="3"/>
      <c r="G65" s="9">
        <v>1.0</v>
      </c>
      <c r="H65" s="9">
        <v>2.0</v>
      </c>
      <c r="I65" s="9">
        <v>3.0</v>
      </c>
      <c r="J65" s="9">
        <v>4.0</v>
      </c>
      <c r="K65" s="9">
        <v>5.0</v>
      </c>
      <c r="L65" s="9">
        <v>6.0</v>
      </c>
      <c r="M65" s="9">
        <v>7.0</v>
      </c>
      <c r="N65" s="9">
        <v>8.0</v>
      </c>
      <c r="O65" s="9">
        <v>9.0</v>
      </c>
      <c r="P65" s="9">
        <v>10.0</v>
      </c>
      <c r="Q65" s="9">
        <v>11.0</v>
      </c>
      <c r="R65" s="9">
        <v>12.0</v>
      </c>
      <c r="S65" s="9">
        <v>13.0</v>
      </c>
      <c r="T65" s="9">
        <v>14.0</v>
      </c>
      <c r="U65" s="9">
        <v>15.0</v>
      </c>
      <c r="V65" s="9">
        <v>16.0</v>
      </c>
      <c r="W65" s="9">
        <v>17.0</v>
      </c>
      <c r="X65" s="9">
        <v>18.0</v>
      </c>
      <c r="Y65" s="9">
        <v>19.0</v>
      </c>
      <c r="Z65" s="9">
        <v>20.0</v>
      </c>
      <c r="AA65" s="9">
        <v>21.0</v>
      </c>
      <c r="AB65" s="9">
        <v>22.0</v>
      </c>
      <c r="AC65" s="9">
        <v>23.0</v>
      </c>
      <c r="AD65" s="9">
        <v>24.0</v>
      </c>
      <c r="AE65" s="9">
        <v>25.0</v>
      </c>
      <c r="AF65" s="9">
        <v>26.0</v>
      </c>
      <c r="AG65" s="9">
        <v>27.0</v>
      </c>
      <c r="AH65" s="9">
        <v>28.0</v>
      </c>
      <c r="AI65" s="9">
        <v>29.0</v>
      </c>
      <c r="AJ65" s="9">
        <v>30.0</v>
      </c>
      <c r="AK65" s="9">
        <v>31.0</v>
      </c>
      <c r="AM65" s="26"/>
      <c r="AN65" s="24"/>
      <c r="AO65" s="24"/>
      <c r="AP65" s="24"/>
      <c r="AQ65" s="24"/>
      <c r="AR65" s="24"/>
      <c r="AS65" s="24"/>
      <c r="AT65" s="24"/>
    </row>
    <row r="66" ht="15.75" customHeight="1">
      <c r="B66" s="898" t="s">
        <v>4</v>
      </c>
      <c r="C66" s="899" t="s">
        <v>5</v>
      </c>
      <c r="D66" s="886" t="s">
        <v>6</v>
      </c>
      <c r="E66" s="900" t="s">
        <v>7</v>
      </c>
      <c r="F66" s="886" t="s">
        <v>8</v>
      </c>
      <c r="G66" s="9" t="s">
        <v>9</v>
      </c>
      <c r="H66" s="9" t="s">
        <v>10</v>
      </c>
      <c r="I66" s="9" t="s">
        <v>11</v>
      </c>
      <c r="J66" s="9" t="s">
        <v>12</v>
      </c>
      <c r="K66" s="9" t="s">
        <v>12</v>
      </c>
      <c r="L66" s="9" t="s">
        <v>13</v>
      </c>
      <c r="M66" s="9" t="s">
        <v>15</v>
      </c>
      <c r="N66" s="9" t="s">
        <v>9</v>
      </c>
      <c r="O66" s="9" t="s">
        <v>10</v>
      </c>
      <c r="P66" s="9" t="s">
        <v>11</v>
      </c>
      <c r="Q66" s="9" t="s">
        <v>12</v>
      </c>
      <c r="R66" s="9" t="s">
        <v>12</v>
      </c>
      <c r="S66" s="9" t="s">
        <v>13</v>
      </c>
      <c r="T66" s="9" t="s">
        <v>15</v>
      </c>
      <c r="U66" s="9" t="s">
        <v>9</v>
      </c>
      <c r="V66" s="9" t="s">
        <v>10</v>
      </c>
      <c r="W66" s="9" t="s">
        <v>11</v>
      </c>
      <c r="X66" s="9" t="s">
        <v>12</v>
      </c>
      <c r="Y66" s="9" t="s">
        <v>12</v>
      </c>
      <c r="Z66" s="9" t="s">
        <v>13</v>
      </c>
      <c r="AA66" s="9" t="s">
        <v>15</v>
      </c>
      <c r="AB66" s="9" t="s">
        <v>9</v>
      </c>
      <c r="AC66" s="9" t="s">
        <v>10</v>
      </c>
      <c r="AD66" s="9" t="s">
        <v>11</v>
      </c>
      <c r="AE66" s="9" t="s">
        <v>12</v>
      </c>
      <c r="AF66" s="9" t="s">
        <v>12</v>
      </c>
      <c r="AG66" s="9" t="s">
        <v>13</v>
      </c>
      <c r="AH66" s="13" t="s">
        <v>15</v>
      </c>
      <c r="AI66" s="9" t="s">
        <v>9</v>
      </c>
      <c r="AJ66" s="9" t="s">
        <v>10</v>
      </c>
      <c r="AK66" s="9" t="s">
        <v>11</v>
      </c>
      <c r="AM66" s="26"/>
      <c r="AN66" s="24"/>
      <c r="AO66" s="24"/>
      <c r="AP66" s="24"/>
      <c r="AQ66" s="24"/>
      <c r="AR66" s="24"/>
      <c r="AS66" s="24"/>
      <c r="AT66" s="24"/>
    </row>
    <row r="67" ht="15.75" customHeight="1">
      <c r="A67" s="924" t="s">
        <v>1586</v>
      </c>
      <c r="B67" s="925" t="s">
        <v>33</v>
      </c>
      <c r="C67" s="849" t="s">
        <v>1587</v>
      </c>
      <c r="D67" s="850">
        <v>3.8176948E7</v>
      </c>
      <c r="E67" s="851" t="s">
        <v>1588</v>
      </c>
      <c r="F67" s="853" t="s">
        <v>1589</v>
      </c>
      <c r="G67" s="72" t="s">
        <v>27</v>
      </c>
      <c r="H67" s="75"/>
      <c r="I67" s="75"/>
      <c r="J67" s="75"/>
      <c r="K67" s="72" t="s">
        <v>27</v>
      </c>
      <c r="L67" s="72" t="s">
        <v>27</v>
      </c>
      <c r="M67" s="72" t="s">
        <v>27</v>
      </c>
      <c r="N67" s="72" t="s">
        <v>27</v>
      </c>
      <c r="O67" s="75"/>
      <c r="P67" s="75"/>
      <c r="Q67" s="72" t="s">
        <v>27</v>
      </c>
      <c r="R67" s="72" t="s">
        <v>27</v>
      </c>
      <c r="S67" s="72" t="s">
        <v>27</v>
      </c>
      <c r="T67" s="75"/>
      <c r="U67" s="75"/>
      <c r="V67" s="75"/>
      <c r="W67" s="105" t="s">
        <v>27</v>
      </c>
      <c r="X67" s="72" t="s">
        <v>27</v>
      </c>
      <c r="Y67" s="72" t="s">
        <v>27</v>
      </c>
      <c r="Z67" s="72" t="s">
        <v>27</v>
      </c>
      <c r="AA67" s="75"/>
      <c r="AB67" s="75"/>
      <c r="AC67" s="106" t="s">
        <v>32</v>
      </c>
      <c r="AD67" s="72" t="s">
        <v>27</v>
      </c>
      <c r="AE67" s="72" t="s">
        <v>27</v>
      </c>
      <c r="AF67" s="75"/>
      <c r="AG67" s="75"/>
      <c r="AH67" s="75"/>
      <c r="AI67" s="72" t="s">
        <v>27</v>
      </c>
      <c r="AJ67" s="72" t="s">
        <v>18</v>
      </c>
      <c r="AK67" s="72" t="s">
        <v>27</v>
      </c>
      <c r="AM67" s="60" t="str">
        <f t="shared" ref="AM67:AM70" si="59">IFS(AN67&gt;3,"NO CORRESPONDE FRANCO",AS67&gt;0,"NO CORRESPONDE FRANCO",AS67=0,"")</f>
        <v/>
      </c>
      <c r="AN67" s="60">
        <f t="shared" ref="AN67:AN70" si="60">COUNTIF($G67:$AK67,"LLT")</f>
        <v>1</v>
      </c>
      <c r="AO67" s="60">
        <f t="shared" ref="AO67:AO70" si="61">COUNTIF($G67:$AK67,"LM")</f>
        <v>0</v>
      </c>
      <c r="AP67" s="60">
        <f t="shared" ref="AP67:AP70" si="62">COUNTIF($G67:$AK67,"FaC")</f>
        <v>0</v>
      </c>
      <c r="AQ67" s="60">
        <f t="shared" ref="AQ67:AQ70" si="63">COUNTIF($G67:$AK67,"LxE")</f>
        <v>0</v>
      </c>
      <c r="AR67" s="60">
        <f t="shared" ref="AR67:AR70" si="64">COUNTIF($G67:$AK67,"LA")</f>
        <v>0</v>
      </c>
      <c r="AS67" s="60">
        <f t="shared" ref="AS67:AS70" si="65">SUM(AO67:AR67)</f>
        <v>0</v>
      </c>
      <c r="AT67" s="24"/>
    </row>
    <row r="68" ht="15.75" customHeight="1">
      <c r="A68" s="926"/>
      <c r="B68" s="927" t="s">
        <v>33</v>
      </c>
      <c r="C68" s="855" t="s">
        <v>1590</v>
      </c>
      <c r="D68" s="856">
        <v>4.6586272E7</v>
      </c>
      <c r="E68" s="928" t="s">
        <v>1591</v>
      </c>
      <c r="F68" s="857" t="s">
        <v>1592</v>
      </c>
      <c r="G68" s="72" t="s">
        <v>18</v>
      </c>
      <c r="H68" s="75"/>
      <c r="I68" s="75"/>
      <c r="J68" s="75"/>
      <c r="K68" s="105" t="s">
        <v>18</v>
      </c>
      <c r="L68" s="124" t="s">
        <v>22</v>
      </c>
      <c r="M68" s="403" t="s">
        <v>22</v>
      </c>
      <c r="N68" s="124" t="s">
        <v>22</v>
      </c>
      <c r="O68" s="124" t="s">
        <v>22</v>
      </c>
      <c r="P68" s="124" t="s">
        <v>22</v>
      </c>
      <c r="Q68" s="124" t="s">
        <v>22</v>
      </c>
      <c r="R68" s="138" t="s">
        <v>19</v>
      </c>
      <c r="S68" s="138" t="s">
        <v>19</v>
      </c>
      <c r="T68" s="75"/>
      <c r="U68" s="75"/>
      <c r="V68" s="75"/>
      <c r="W68" s="72" t="s">
        <v>27</v>
      </c>
      <c r="X68" s="72" t="s">
        <v>18</v>
      </c>
      <c r="Y68" s="72" t="s">
        <v>27</v>
      </c>
      <c r="Z68" s="72" t="s">
        <v>18</v>
      </c>
      <c r="AA68" s="75"/>
      <c r="AB68" s="75"/>
      <c r="AC68" s="72" t="s">
        <v>18</v>
      </c>
      <c r="AD68" s="72" t="s">
        <v>27</v>
      </c>
      <c r="AE68" s="72" t="s">
        <v>27</v>
      </c>
      <c r="AF68" s="75"/>
      <c r="AG68" s="75"/>
      <c r="AH68" s="75"/>
      <c r="AI68" s="72" t="s">
        <v>27</v>
      </c>
      <c r="AJ68" s="72" t="s">
        <v>27</v>
      </c>
      <c r="AK68" s="72" t="s">
        <v>27</v>
      </c>
      <c r="AM68" s="60" t="str">
        <f t="shared" si="59"/>
        <v>NO CORRESPONDE FRANCO</v>
      </c>
      <c r="AN68" s="60">
        <f t="shared" si="60"/>
        <v>5</v>
      </c>
      <c r="AO68" s="60">
        <f t="shared" si="61"/>
        <v>2</v>
      </c>
      <c r="AP68" s="60">
        <f t="shared" si="62"/>
        <v>0</v>
      </c>
      <c r="AQ68" s="60">
        <f t="shared" si="63"/>
        <v>0</v>
      </c>
      <c r="AR68" s="60">
        <f t="shared" si="64"/>
        <v>6</v>
      </c>
      <c r="AS68" s="60">
        <f t="shared" si="65"/>
        <v>8</v>
      </c>
      <c r="AT68" s="672"/>
    </row>
    <row r="69" ht="15.75" customHeight="1">
      <c r="A69" s="929" t="s">
        <v>1460</v>
      </c>
      <c r="B69" s="930" t="s">
        <v>33</v>
      </c>
      <c r="C69" s="839" t="s">
        <v>1593</v>
      </c>
      <c r="D69" s="931">
        <v>3.6552867E7</v>
      </c>
      <c r="E69" s="859" t="s">
        <v>1594</v>
      </c>
      <c r="F69" s="860" t="s">
        <v>1595</v>
      </c>
      <c r="G69" s="72" t="s">
        <v>27</v>
      </c>
      <c r="H69" s="138" t="s">
        <v>19</v>
      </c>
      <c r="I69" s="75"/>
      <c r="J69" s="75"/>
      <c r="K69" s="75"/>
      <c r="L69" s="72" t="s">
        <v>27</v>
      </c>
      <c r="M69" s="72" t="s">
        <v>27</v>
      </c>
      <c r="N69" s="72" t="s">
        <v>27</v>
      </c>
      <c r="O69" s="75"/>
      <c r="P69" s="138" t="s">
        <v>19</v>
      </c>
      <c r="Q69" s="138" t="s">
        <v>19</v>
      </c>
      <c r="R69" s="138" t="s">
        <v>19</v>
      </c>
      <c r="S69" s="72" t="s">
        <v>27</v>
      </c>
      <c r="T69" s="138" t="s">
        <v>19</v>
      </c>
      <c r="U69" s="75"/>
      <c r="V69" s="75"/>
      <c r="W69" s="75"/>
      <c r="X69" s="124" t="s">
        <v>22</v>
      </c>
      <c r="Y69" s="124" t="s">
        <v>22</v>
      </c>
      <c r="Z69" s="124" t="s">
        <v>22</v>
      </c>
      <c r="AA69" s="124" t="s">
        <v>22</v>
      </c>
      <c r="AB69" s="124" t="s">
        <v>22</v>
      </c>
      <c r="AC69" s="124" t="s">
        <v>22</v>
      </c>
      <c r="AD69" s="124" t="s">
        <v>22</v>
      </c>
      <c r="AE69" s="72" t="s">
        <v>27</v>
      </c>
      <c r="AF69" s="72" t="s">
        <v>27</v>
      </c>
      <c r="AG69" s="75"/>
      <c r="AH69" s="75"/>
      <c r="AI69" s="75"/>
      <c r="AJ69" s="72" t="s">
        <v>27</v>
      </c>
      <c r="AK69" s="72" t="s">
        <v>27</v>
      </c>
      <c r="AM69" s="60" t="str">
        <f t="shared" si="59"/>
        <v>NO CORRESPONDE FRANCO</v>
      </c>
      <c r="AN69" s="60">
        <f t="shared" si="60"/>
        <v>0</v>
      </c>
      <c r="AO69" s="60">
        <f t="shared" si="61"/>
        <v>5</v>
      </c>
      <c r="AP69" s="60">
        <f t="shared" si="62"/>
        <v>0</v>
      </c>
      <c r="AQ69" s="60">
        <f t="shared" si="63"/>
        <v>0</v>
      </c>
      <c r="AR69" s="60">
        <f t="shared" si="64"/>
        <v>7</v>
      </c>
      <c r="AS69" s="60">
        <f t="shared" si="65"/>
        <v>12</v>
      </c>
      <c r="AT69" s="24"/>
    </row>
    <row r="70" ht="15.75" customHeight="1">
      <c r="A70" s="926"/>
      <c r="B70" s="933" t="s">
        <v>33</v>
      </c>
      <c r="C70" s="815" t="s">
        <v>1597</v>
      </c>
      <c r="D70" s="934">
        <v>4.5924948E7</v>
      </c>
      <c r="E70" s="844" t="s">
        <v>1598</v>
      </c>
      <c r="F70" s="845" t="s">
        <v>1599</v>
      </c>
      <c r="G70" s="72" t="s">
        <v>27</v>
      </c>
      <c r="H70" s="72" t="s">
        <v>27</v>
      </c>
      <c r="I70" s="75"/>
      <c r="J70" s="75"/>
      <c r="K70" s="75"/>
      <c r="L70" s="72" t="s">
        <v>27</v>
      </c>
      <c r="M70" s="72" t="s">
        <v>27</v>
      </c>
      <c r="N70" s="72" t="s">
        <v>27</v>
      </c>
      <c r="O70" s="75"/>
      <c r="P70" s="75"/>
      <c r="Q70" s="72" t="s">
        <v>18</v>
      </c>
      <c r="R70" s="72" t="s">
        <v>18</v>
      </c>
      <c r="S70" s="72" t="s">
        <v>27</v>
      </c>
      <c r="T70" s="106" t="s">
        <v>32</v>
      </c>
      <c r="U70" s="75"/>
      <c r="V70" s="75"/>
      <c r="W70" s="75"/>
      <c r="X70" s="138" t="s">
        <v>19</v>
      </c>
      <c r="Y70" s="72" t="s">
        <v>27</v>
      </c>
      <c r="Z70" s="72" t="s">
        <v>18</v>
      </c>
      <c r="AA70" s="75"/>
      <c r="AB70" s="75"/>
      <c r="AC70" s="72" t="s">
        <v>18</v>
      </c>
      <c r="AD70" s="72" t="s">
        <v>27</v>
      </c>
      <c r="AE70" s="72" t="s">
        <v>27</v>
      </c>
      <c r="AF70" s="105" t="s">
        <v>18</v>
      </c>
      <c r="AG70" s="75"/>
      <c r="AH70" s="75"/>
      <c r="AI70" s="75"/>
      <c r="AJ70" s="72" t="s">
        <v>27</v>
      </c>
      <c r="AK70" s="72" t="s">
        <v>27</v>
      </c>
      <c r="AM70" s="60" t="str">
        <f t="shared" si="59"/>
        <v>NO CORRESPONDE FRANCO</v>
      </c>
      <c r="AN70" s="60">
        <f t="shared" si="60"/>
        <v>5</v>
      </c>
      <c r="AO70" s="60">
        <f t="shared" si="61"/>
        <v>1</v>
      </c>
      <c r="AP70" s="60">
        <f t="shared" si="62"/>
        <v>0</v>
      </c>
      <c r="AQ70" s="60">
        <f t="shared" si="63"/>
        <v>0</v>
      </c>
      <c r="AR70" s="60">
        <f t="shared" si="64"/>
        <v>0</v>
      </c>
      <c r="AS70" s="60">
        <f t="shared" si="65"/>
        <v>1</v>
      </c>
      <c r="AT70" s="672"/>
    </row>
    <row r="71" ht="15.75" customHeight="1">
      <c r="F71" s="24"/>
      <c r="G71" s="24">
        <f t="shared" ref="G71:AK71" si="66">COUNTIF(G52:G70,"P") + COUNTIF(G52:G70, "LLT")</f>
        <v>9</v>
      </c>
      <c r="H71" s="24">
        <f t="shared" si="66"/>
        <v>6</v>
      </c>
      <c r="I71" s="24">
        <f t="shared" si="66"/>
        <v>7</v>
      </c>
      <c r="J71" s="24">
        <f t="shared" si="66"/>
        <v>6</v>
      </c>
      <c r="K71" s="24">
        <f t="shared" si="66"/>
        <v>6</v>
      </c>
      <c r="L71" s="24">
        <f t="shared" si="66"/>
        <v>5</v>
      </c>
      <c r="M71" s="24">
        <f t="shared" si="66"/>
        <v>5</v>
      </c>
      <c r="N71" s="24">
        <f t="shared" si="66"/>
        <v>7</v>
      </c>
      <c r="O71" s="24">
        <f t="shared" si="66"/>
        <v>8</v>
      </c>
      <c r="P71" s="24">
        <f t="shared" si="66"/>
        <v>8</v>
      </c>
      <c r="Q71" s="24">
        <f t="shared" si="66"/>
        <v>6</v>
      </c>
      <c r="R71" s="24">
        <f t="shared" si="66"/>
        <v>6</v>
      </c>
      <c r="S71" s="24">
        <f t="shared" si="66"/>
        <v>6</v>
      </c>
      <c r="T71" s="24">
        <f t="shared" si="66"/>
        <v>4</v>
      </c>
      <c r="U71" s="24">
        <f t="shared" si="66"/>
        <v>4</v>
      </c>
      <c r="V71" s="24">
        <f t="shared" si="66"/>
        <v>6</v>
      </c>
      <c r="W71" s="24">
        <f t="shared" si="66"/>
        <v>4</v>
      </c>
      <c r="X71" s="24">
        <f t="shared" si="66"/>
        <v>3</v>
      </c>
      <c r="Y71" s="24">
        <f t="shared" si="66"/>
        <v>6</v>
      </c>
      <c r="Z71" s="24">
        <f t="shared" si="66"/>
        <v>8</v>
      </c>
      <c r="AA71" s="24">
        <f t="shared" si="66"/>
        <v>9</v>
      </c>
      <c r="AB71" s="24">
        <f t="shared" si="66"/>
        <v>9</v>
      </c>
      <c r="AC71" s="24">
        <f t="shared" si="66"/>
        <v>5</v>
      </c>
      <c r="AD71" s="24">
        <f t="shared" si="66"/>
        <v>6</v>
      </c>
      <c r="AE71" s="24">
        <f t="shared" si="66"/>
        <v>9</v>
      </c>
      <c r="AF71" s="24">
        <f t="shared" si="66"/>
        <v>7</v>
      </c>
      <c r="AG71" s="24">
        <f t="shared" si="66"/>
        <v>7</v>
      </c>
      <c r="AH71" s="24">
        <f t="shared" si="66"/>
        <v>6</v>
      </c>
      <c r="AI71" s="24">
        <f t="shared" si="66"/>
        <v>5</v>
      </c>
      <c r="AJ71" s="24">
        <f t="shared" si="66"/>
        <v>6</v>
      </c>
      <c r="AK71" s="24">
        <f t="shared" si="66"/>
        <v>6</v>
      </c>
      <c r="AM71" s="26"/>
      <c r="AN71" s="24"/>
      <c r="AO71" s="24"/>
      <c r="AP71" s="24"/>
      <c r="AQ71" s="24"/>
      <c r="AR71" s="24"/>
      <c r="AS71" s="24"/>
      <c r="AT71" s="24"/>
    </row>
    <row r="72" ht="15.75" customHeight="1">
      <c r="F72" s="24"/>
      <c r="G72" s="24">
        <f t="shared" ref="G72:AK72" si="67">COUNTIF(G4:G70,"P") + COUNTIF(G4:G70, "LLT")</f>
        <v>24</v>
      </c>
      <c r="H72" s="24">
        <f t="shared" si="67"/>
        <v>16</v>
      </c>
      <c r="I72" s="24">
        <f t="shared" si="67"/>
        <v>19</v>
      </c>
      <c r="J72" s="24">
        <f t="shared" si="67"/>
        <v>16</v>
      </c>
      <c r="K72" s="24">
        <f t="shared" si="67"/>
        <v>17</v>
      </c>
      <c r="L72" s="24">
        <f t="shared" si="67"/>
        <v>17</v>
      </c>
      <c r="M72" s="24">
        <f t="shared" si="67"/>
        <v>16</v>
      </c>
      <c r="N72" s="24">
        <f t="shared" si="67"/>
        <v>20</v>
      </c>
      <c r="O72" s="24">
        <f t="shared" si="67"/>
        <v>18</v>
      </c>
      <c r="P72" s="24">
        <f t="shared" si="67"/>
        <v>22</v>
      </c>
      <c r="Q72" s="24">
        <f t="shared" si="67"/>
        <v>23</v>
      </c>
      <c r="R72" s="24">
        <f t="shared" si="67"/>
        <v>22</v>
      </c>
      <c r="S72" s="24">
        <f t="shared" si="67"/>
        <v>21</v>
      </c>
      <c r="T72" s="24">
        <f t="shared" si="67"/>
        <v>14</v>
      </c>
      <c r="U72" s="24">
        <f t="shared" si="67"/>
        <v>13</v>
      </c>
      <c r="V72" s="24">
        <f t="shared" si="67"/>
        <v>14</v>
      </c>
      <c r="W72" s="24">
        <f t="shared" si="67"/>
        <v>14</v>
      </c>
      <c r="X72" s="24">
        <f t="shared" si="67"/>
        <v>13</v>
      </c>
      <c r="Y72" s="24">
        <f t="shared" si="67"/>
        <v>16</v>
      </c>
      <c r="Z72" s="24">
        <f t="shared" si="67"/>
        <v>23</v>
      </c>
      <c r="AA72" s="24">
        <f t="shared" si="67"/>
        <v>22</v>
      </c>
      <c r="AB72" s="24">
        <f t="shared" si="67"/>
        <v>20</v>
      </c>
      <c r="AC72" s="24">
        <f t="shared" si="67"/>
        <v>16</v>
      </c>
      <c r="AD72" s="24">
        <f t="shared" si="67"/>
        <v>19</v>
      </c>
      <c r="AE72" s="24">
        <f t="shared" si="67"/>
        <v>23</v>
      </c>
      <c r="AF72" s="24">
        <f t="shared" si="67"/>
        <v>20</v>
      </c>
      <c r="AG72" s="24">
        <f t="shared" si="67"/>
        <v>18</v>
      </c>
      <c r="AH72" s="24">
        <f t="shared" si="67"/>
        <v>17</v>
      </c>
      <c r="AI72" s="24">
        <f t="shared" si="67"/>
        <v>16</v>
      </c>
      <c r="AJ72" s="24">
        <f t="shared" si="67"/>
        <v>15</v>
      </c>
      <c r="AK72" s="24">
        <f t="shared" si="67"/>
        <v>18</v>
      </c>
      <c r="AM72" s="26"/>
      <c r="AN72" s="24"/>
      <c r="AO72" s="24"/>
      <c r="AP72" s="24"/>
      <c r="AQ72" s="24"/>
      <c r="AR72" s="24"/>
      <c r="AS72" s="24"/>
      <c r="AT72" s="24"/>
    </row>
    <row r="73" ht="15.75" customHeight="1">
      <c r="F73" s="24"/>
      <c r="G73" s="24">
        <f t="shared" ref="G73:AK73" si="68">COUNTIF(G5:G262,"P") + COUNTIF(G5:G262, "LLT") + COUNTIF(G5:G262, "FA") + COUNTIF(G5:G262, "A") + COUNTIF(G5:G262, "LM") + COUNTIF(G5:G262, "LA") + COUNTIF(G5:G262, "FAC") + COUNTIF(G5:G262, "LXF") + COUNTIF(G5:G262, "LXE") + COUNTIF(G5:G262, "LXM")</f>
        <v>27</v>
      </c>
      <c r="H73" s="24">
        <f t="shared" si="68"/>
        <v>21</v>
      </c>
      <c r="I73" s="24">
        <f t="shared" si="68"/>
        <v>21</v>
      </c>
      <c r="J73" s="24">
        <f t="shared" si="68"/>
        <v>18</v>
      </c>
      <c r="K73" s="24">
        <f t="shared" si="68"/>
        <v>20</v>
      </c>
      <c r="L73" s="24">
        <f t="shared" si="68"/>
        <v>20</v>
      </c>
      <c r="M73" s="24">
        <f t="shared" si="68"/>
        <v>21</v>
      </c>
      <c r="N73" s="24">
        <f t="shared" si="68"/>
        <v>26</v>
      </c>
      <c r="O73" s="24">
        <f t="shared" si="68"/>
        <v>26</v>
      </c>
      <c r="P73" s="24">
        <f t="shared" si="68"/>
        <v>28</v>
      </c>
      <c r="Q73" s="24">
        <f t="shared" si="68"/>
        <v>28</v>
      </c>
      <c r="R73" s="24">
        <f t="shared" si="68"/>
        <v>27</v>
      </c>
      <c r="S73" s="24">
        <f t="shared" si="68"/>
        <v>25</v>
      </c>
      <c r="T73" s="24">
        <f t="shared" si="68"/>
        <v>19</v>
      </c>
      <c r="U73" s="24">
        <f t="shared" si="68"/>
        <v>19</v>
      </c>
      <c r="V73" s="24">
        <f t="shared" si="68"/>
        <v>20</v>
      </c>
      <c r="W73" s="24">
        <f t="shared" si="68"/>
        <v>21</v>
      </c>
      <c r="X73" s="24">
        <f t="shared" si="68"/>
        <v>20</v>
      </c>
      <c r="Y73" s="24">
        <f t="shared" si="68"/>
        <v>23</v>
      </c>
      <c r="Z73" s="24">
        <f t="shared" si="68"/>
        <v>28</v>
      </c>
      <c r="AA73" s="24">
        <f t="shared" si="68"/>
        <v>27</v>
      </c>
      <c r="AB73" s="24">
        <f t="shared" si="68"/>
        <v>27</v>
      </c>
      <c r="AC73" s="24">
        <f t="shared" si="68"/>
        <v>26</v>
      </c>
      <c r="AD73" s="24">
        <f t="shared" si="68"/>
        <v>26</v>
      </c>
      <c r="AE73" s="24">
        <f t="shared" si="68"/>
        <v>27</v>
      </c>
      <c r="AF73" s="24">
        <f t="shared" si="68"/>
        <v>22</v>
      </c>
      <c r="AG73" s="24">
        <f t="shared" si="68"/>
        <v>20</v>
      </c>
      <c r="AH73" s="24">
        <f t="shared" si="68"/>
        <v>20</v>
      </c>
      <c r="AI73" s="24">
        <f t="shared" si="68"/>
        <v>20</v>
      </c>
      <c r="AJ73" s="24">
        <f t="shared" si="68"/>
        <v>20</v>
      </c>
      <c r="AK73" s="24">
        <f t="shared" si="68"/>
        <v>20</v>
      </c>
      <c r="AM73" s="26"/>
      <c r="AN73" s="24"/>
      <c r="AO73" s="24"/>
      <c r="AP73" s="24"/>
      <c r="AQ73" s="24"/>
      <c r="AR73" s="24"/>
      <c r="AS73" s="24"/>
      <c r="AT73" s="24"/>
    </row>
    <row r="74" ht="15.75" customHeight="1">
      <c r="F74" s="24"/>
      <c r="G74" s="50"/>
      <c r="H74" s="24"/>
      <c r="I74" s="24"/>
      <c r="J74" s="24"/>
      <c r="K74" s="24"/>
      <c r="L74" s="24"/>
      <c r="M74" s="24"/>
      <c r="N74" s="24"/>
      <c r="O74" s="24"/>
      <c r="P74" s="24"/>
      <c r="Q74" s="24"/>
      <c r="R74" s="24"/>
      <c r="S74" s="24"/>
      <c r="T74" s="24"/>
      <c r="U74" s="24"/>
      <c r="V74" s="24"/>
      <c r="W74" s="24"/>
      <c r="X74" s="24"/>
      <c r="Y74" s="24"/>
      <c r="Z74" s="24"/>
      <c r="AA74" s="24"/>
      <c r="AB74" s="24"/>
      <c r="AC74" s="24"/>
      <c r="AD74" s="50"/>
      <c r="AE74" s="24"/>
      <c r="AF74" s="24"/>
      <c r="AG74" s="24"/>
      <c r="AH74" s="24"/>
      <c r="AI74" s="24"/>
      <c r="AJ74" s="24"/>
      <c r="AK74" s="24"/>
      <c r="AM74" s="26"/>
      <c r="AN74" s="24"/>
      <c r="AO74" s="24"/>
      <c r="AP74" s="24"/>
      <c r="AQ74" s="24"/>
      <c r="AR74" s="24"/>
      <c r="AS74" s="24"/>
      <c r="AT74" s="24"/>
    </row>
    <row r="75" ht="15.75" customHeight="1">
      <c r="F75" s="24"/>
      <c r="G75" s="24"/>
      <c r="H75" s="24"/>
      <c r="I75" s="24"/>
      <c r="J75" s="24"/>
      <c r="K75" s="24"/>
      <c r="L75" s="24"/>
      <c r="M75" s="24"/>
      <c r="N75" s="24"/>
      <c r="O75" s="24"/>
      <c r="P75" s="24"/>
      <c r="Q75" s="24"/>
      <c r="R75" s="24"/>
      <c r="S75" s="24"/>
      <c r="T75" s="24"/>
      <c r="U75" s="24"/>
      <c r="V75" s="24"/>
      <c r="W75" s="24"/>
      <c r="X75" s="24"/>
      <c r="Y75" s="24"/>
      <c r="Z75" s="24"/>
      <c r="AA75" s="24"/>
      <c r="AB75" s="24"/>
      <c r="AC75" s="24"/>
      <c r="AD75" s="24"/>
      <c r="AE75" s="24"/>
      <c r="AF75" s="24"/>
      <c r="AG75" s="24"/>
      <c r="AH75" s="24"/>
      <c r="AI75" s="24"/>
      <c r="AJ75" s="24"/>
      <c r="AK75" s="24"/>
      <c r="AM75" s="26"/>
      <c r="AN75" s="24"/>
      <c r="AO75" s="24"/>
      <c r="AP75" s="24"/>
      <c r="AQ75" s="24"/>
      <c r="AR75" s="24"/>
      <c r="AS75" s="24"/>
      <c r="AT75" s="24"/>
    </row>
    <row r="76" ht="15.75" customHeight="1">
      <c r="F76" s="24"/>
      <c r="G76" s="24"/>
      <c r="H76" s="24"/>
      <c r="I76" s="24"/>
      <c r="J76" s="24"/>
      <c r="K76" s="24"/>
      <c r="L76" s="24"/>
      <c r="M76" s="24"/>
      <c r="N76" s="24"/>
      <c r="O76" s="24"/>
      <c r="P76" s="24"/>
      <c r="Q76" s="24"/>
      <c r="R76" s="24"/>
      <c r="S76" s="24"/>
      <c r="T76" s="24"/>
      <c r="U76" s="24"/>
      <c r="V76" s="24"/>
      <c r="W76" s="24"/>
      <c r="X76" s="24"/>
      <c r="Y76" s="24"/>
      <c r="Z76" s="24"/>
      <c r="AA76" s="24"/>
      <c r="AB76" s="24"/>
      <c r="AC76" s="24"/>
      <c r="AD76" s="24"/>
      <c r="AE76" s="24"/>
      <c r="AF76" s="24"/>
      <c r="AG76" s="24"/>
      <c r="AH76" s="24"/>
      <c r="AI76" s="24"/>
      <c r="AJ76" s="24"/>
      <c r="AK76" s="24"/>
      <c r="AM76" s="26"/>
      <c r="AN76" s="24"/>
      <c r="AO76" s="24"/>
      <c r="AP76" s="24"/>
      <c r="AQ76" s="24"/>
      <c r="AR76" s="24"/>
      <c r="AS76" s="24"/>
      <c r="AT76" s="24"/>
    </row>
    <row r="77" ht="15.75" customHeight="1">
      <c r="F77" s="24"/>
      <c r="G77" s="24"/>
      <c r="H77" s="24"/>
      <c r="I77" s="24"/>
      <c r="J77" s="24"/>
      <c r="K77" s="24"/>
      <c r="L77" s="24"/>
      <c r="M77" s="24"/>
      <c r="N77" s="24"/>
      <c r="O77" s="24"/>
      <c r="P77" s="24"/>
      <c r="Q77" s="24"/>
      <c r="R77" s="24"/>
      <c r="S77" s="24"/>
      <c r="T77" s="24"/>
      <c r="U77" s="24"/>
      <c r="V77" s="24"/>
      <c r="W77" s="24"/>
      <c r="X77" s="24"/>
      <c r="Y77" s="24"/>
      <c r="Z77" s="24"/>
      <c r="AA77" s="24"/>
      <c r="AB77" s="24"/>
      <c r="AC77" s="24"/>
      <c r="AD77" s="24"/>
      <c r="AE77" s="24"/>
      <c r="AF77" s="24"/>
      <c r="AG77" s="24"/>
      <c r="AH77" s="24"/>
      <c r="AI77" s="24"/>
      <c r="AJ77" s="24"/>
      <c r="AK77" s="24"/>
      <c r="AM77" s="26"/>
      <c r="AN77" s="24"/>
      <c r="AO77" s="24"/>
      <c r="AP77" s="24"/>
      <c r="AQ77" s="24"/>
      <c r="AR77" s="24"/>
      <c r="AS77" s="24"/>
      <c r="AT77" s="24"/>
    </row>
    <row r="78" ht="15.75" customHeight="1">
      <c r="F78" s="24"/>
      <c r="G78" s="24"/>
      <c r="H78" s="24"/>
      <c r="I78" s="24"/>
      <c r="J78" s="24"/>
      <c r="K78" s="24"/>
      <c r="L78" s="24"/>
      <c r="M78" s="24"/>
      <c r="N78" s="24"/>
      <c r="O78" s="24"/>
      <c r="P78" s="24"/>
      <c r="Q78" s="24"/>
      <c r="R78" s="24"/>
      <c r="S78" s="24"/>
      <c r="T78" s="24"/>
      <c r="U78" s="24"/>
      <c r="V78" s="24"/>
      <c r="W78" s="24"/>
      <c r="X78" s="24"/>
      <c r="Y78" s="24"/>
      <c r="Z78" s="24"/>
      <c r="AA78" s="24"/>
      <c r="AB78" s="24"/>
      <c r="AC78" s="24"/>
      <c r="AD78" s="24"/>
      <c r="AE78" s="24"/>
      <c r="AF78" s="24"/>
      <c r="AG78" s="24"/>
      <c r="AH78" s="24"/>
      <c r="AI78" s="24"/>
      <c r="AJ78" s="24"/>
      <c r="AK78" s="24"/>
      <c r="AM78" s="26"/>
      <c r="AN78" s="24"/>
      <c r="AO78" s="24"/>
      <c r="AP78" s="24"/>
      <c r="AQ78" s="24"/>
      <c r="AR78" s="24"/>
      <c r="AS78" s="24"/>
      <c r="AT78" s="24"/>
    </row>
    <row r="79" ht="15.75" customHeight="1">
      <c r="F79" s="24"/>
      <c r="G79" s="24"/>
      <c r="H79" s="24"/>
      <c r="I79" s="24"/>
      <c r="J79" s="24"/>
      <c r="K79" s="24"/>
      <c r="L79" s="24"/>
      <c r="M79" s="24"/>
      <c r="N79" s="24"/>
      <c r="O79" s="24"/>
      <c r="P79" s="24"/>
      <c r="Q79" s="24"/>
      <c r="R79" s="24"/>
      <c r="S79" s="24"/>
      <c r="T79" s="24"/>
      <c r="U79" s="24"/>
      <c r="V79" s="24"/>
      <c r="W79" s="24"/>
      <c r="X79" s="24"/>
      <c r="Y79" s="24"/>
      <c r="Z79" s="24"/>
      <c r="AA79" s="24"/>
      <c r="AB79" s="24"/>
      <c r="AC79" s="24"/>
      <c r="AD79" s="24"/>
      <c r="AE79" s="24"/>
      <c r="AF79" s="24"/>
      <c r="AG79" s="24"/>
      <c r="AH79" s="24"/>
      <c r="AI79" s="24"/>
      <c r="AJ79" s="24"/>
      <c r="AK79" s="24"/>
      <c r="AM79" s="26"/>
      <c r="AN79" s="24"/>
      <c r="AO79" s="24"/>
      <c r="AP79" s="24"/>
      <c r="AQ79" s="24"/>
      <c r="AR79" s="24"/>
      <c r="AS79" s="24"/>
      <c r="AT79" s="24"/>
    </row>
    <row r="80" ht="15.75" customHeight="1">
      <c r="F80" s="24"/>
      <c r="G80" s="24"/>
      <c r="H80" s="24"/>
      <c r="I80" s="24"/>
      <c r="J80" s="24"/>
      <c r="K80" s="24"/>
      <c r="L80" s="24"/>
      <c r="M80" s="24"/>
      <c r="N80" s="24"/>
      <c r="O80" s="24"/>
      <c r="P80" s="24"/>
      <c r="Q80" s="24"/>
      <c r="R80" s="24"/>
      <c r="S80" s="24"/>
      <c r="T80" s="24"/>
      <c r="U80" s="24"/>
      <c r="V80" s="24"/>
      <c r="W80" s="24"/>
      <c r="X80" s="24"/>
      <c r="Y80" s="24"/>
      <c r="Z80" s="24"/>
      <c r="AA80" s="24"/>
      <c r="AB80" s="24"/>
      <c r="AC80" s="24"/>
      <c r="AD80" s="24"/>
      <c r="AE80" s="24"/>
      <c r="AF80" s="24"/>
      <c r="AG80" s="24"/>
      <c r="AH80" s="24"/>
      <c r="AI80" s="24"/>
      <c r="AJ80" s="24"/>
      <c r="AK80" s="24"/>
      <c r="AM80" s="26"/>
      <c r="AN80" s="24"/>
      <c r="AO80" s="24"/>
      <c r="AP80" s="24"/>
      <c r="AQ80" s="24"/>
      <c r="AR80" s="24"/>
      <c r="AS80" s="24"/>
      <c r="AT80" s="24"/>
    </row>
    <row r="81" ht="15.75" customHeight="1">
      <c r="F81" s="24"/>
      <c r="G81" s="24"/>
      <c r="H81" s="24"/>
      <c r="I81" s="24"/>
      <c r="J81" s="24"/>
      <c r="K81" s="24"/>
      <c r="L81" s="24"/>
      <c r="M81" s="24"/>
      <c r="N81" s="24"/>
      <c r="O81" s="24"/>
      <c r="P81" s="24"/>
      <c r="Q81" s="24"/>
      <c r="R81" s="24"/>
      <c r="S81" s="24"/>
      <c r="T81" s="24"/>
      <c r="U81" s="24"/>
      <c r="V81" s="24"/>
      <c r="W81" s="24"/>
      <c r="X81" s="24"/>
      <c r="Y81" s="24"/>
      <c r="Z81" s="24"/>
      <c r="AA81" s="24"/>
      <c r="AB81" s="24"/>
      <c r="AC81" s="24"/>
      <c r="AD81" s="24"/>
      <c r="AE81" s="24"/>
      <c r="AF81" s="24"/>
      <c r="AG81" s="24"/>
      <c r="AH81" s="24"/>
      <c r="AI81" s="24"/>
      <c r="AJ81" s="24"/>
      <c r="AK81" s="24"/>
      <c r="AM81" s="26"/>
      <c r="AN81" s="24"/>
      <c r="AO81" s="24"/>
      <c r="AP81" s="24"/>
      <c r="AQ81" s="24"/>
      <c r="AR81" s="24"/>
      <c r="AS81" s="24"/>
      <c r="AT81" s="24"/>
    </row>
    <row r="82" ht="15.75" customHeight="1">
      <c r="F82" s="24"/>
      <c r="G82" s="24"/>
      <c r="H82" s="24"/>
      <c r="I82" s="24"/>
      <c r="J82" s="24"/>
      <c r="K82" s="24"/>
      <c r="L82" s="24"/>
      <c r="M82" s="24"/>
      <c r="N82" s="24"/>
      <c r="O82" s="24"/>
      <c r="P82" s="24"/>
      <c r="Q82" s="24"/>
      <c r="R82" s="24"/>
      <c r="S82" s="24"/>
      <c r="T82" s="24"/>
      <c r="U82" s="24"/>
      <c r="V82" s="24"/>
      <c r="W82" s="24"/>
      <c r="X82" s="24"/>
      <c r="Y82" s="24"/>
      <c r="Z82" s="24"/>
      <c r="AA82" s="24"/>
      <c r="AB82" s="24"/>
      <c r="AC82" s="24"/>
      <c r="AD82" s="24"/>
      <c r="AE82" s="24"/>
      <c r="AF82" s="24"/>
      <c r="AG82" s="24"/>
      <c r="AH82" s="24"/>
      <c r="AI82" s="24"/>
      <c r="AJ82" s="24"/>
      <c r="AK82" s="24"/>
      <c r="AM82" s="26"/>
      <c r="AN82" s="24"/>
      <c r="AO82" s="24"/>
      <c r="AP82" s="24"/>
      <c r="AQ82" s="24"/>
      <c r="AR82" s="24"/>
      <c r="AS82" s="24"/>
      <c r="AT82" s="24"/>
    </row>
    <row r="83" ht="15.75" customHeight="1">
      <c r="F83" s="24"/>
      <c r="G83" s="24"/>
      <c r="H83" s="24"/>
      <c r="I83" s="24"/>
      <c r="J83" s="24"/>
      <c r="K83" s="24"/>
      <c r="L83" s="24"/>
      <c r="M83" s="24"/>
      <c r="N83" s="24"/>
      <c r="O83" s="24"/>
      <c r="P83" s="24"/>
      <c r="Q83" s="24"/>
      <c r="R83" s="24"/>
      <c r="S83" s="24"/>
      <c r="T83" s="24"/>
      <c r="U83" s="24"/>
      <c r="V83" s="24"/>
      <c r="W83" s="24"/>
      <c r="X83" s="24"/>
      <c r="Y83" s="24"/>
      <c r="Z83" s="24"/>
      <c r="AA83" s="24"/>
      <c r="AB83" s="24"/>
      <c r="AC83" s="24"/>
      <c r="AD83" s="24"/>
      <c r="AE83" s="24"/>
      <c r="AF83" s="24"/>
      <c r="AG83" s="24"/>
      <c r="AH83" s="24"/>
      <c r="AI83" s="24"/>
      <c r="AJ83" s="24"/>
      <c r="AK83" s="24"/>
      <c r="AM83" s="26"/>
      <c r="AN83" s="24"/>
      <c r="AO83" s="24"/>
      <c r="AP83" s="24"/>
      <c r="AQ83" s="24"/>
      <c r="AR83" s="24"/>
      <c r="AS83" s="24"/>
      <c r="AT83" s="24"/>
    </row>
    <row r="84" ht="15.75" customHeight="1">
      <c r="F84" s="24"/>
      <c r="G84" s="24"/>
      <c r="H84" s="24"/>
      <c r="I84" s="24"/>
      <c r="J84" s="24"/>
      <c r="K84" s="24"/>
      <c r="L84" s="24"/>
      <c r="M84" s="24"/>
      <c r="N84" s="24"/>
      <c r="O84" s="24"/>
      <c r="P84" s="24"/>
      <c r="Q84" s="24"/>
      <c r="R84" s="24"/>
      <c r="S84" s="24"/>
      <c r="T84" s="24"/>
      <c r="U84" s="24"/>
      <c r="V84" s="24"/>
      <c r="W84" s="24"/>
      <c r="X84" s="24"/>
      <c r="Y84" s="24"/>
      <c r="Z84" s="24"/>
      <c r="AA84" s="24"/>
      <c r="AB84" s="24"/>
      <c r="AC84" s="24"/>
      <c r="AD84" s="24"/>
      <c r="AE84" s="24"/>
      <c r="AF84" s="24"/>
      <c r="AG84" s="24"/>
      <c r="AH84" s="24"/>
      <c r="AI84" s="24"/>
      <c r="AJ84" s="24"/>
      <c r="AK84" s="24"/>
      <c r="AM84" s="26"/>
      <c r="AN84" s="24"/>
      <c r="AO84" s="24"/>
      <c r="AP84" s="24"/>
      <c r="AQ84" s="24"/>
      <c r="AR84" s="24"/>
      <c r="AS84" s="24"/>
      <c r="AT84" s="24"/>
    </row>
    <row r="85" ht="15.75" customHeight="1">
      <c r="F85" s="24"/>
      <c r="G85" s="24"/>
      <c r="H85" s="24"/>
      <c r="I85" s="24"/>
      <c r="J85" s="24"/>
      <c r="K85" s="24"/>
      <c r="L85" s="24"/>
      <c r="M85" s="24"/>
      <c r="N85" s="24"/>
      <c r="O85" s="24"/>
      <c r="P85" s="24"/>
      <c r="Q85" s="24"/>
      <c r="R85" s="24"/>
      <c r="S85" s="24"/>
      <c r="T85" s="24"/>
      <c r="U85" s="24"/>
      <c r="V85" s="24"/>
      <c r="W85" s="24"/>
      <c r="X85" s="24"/>
      <c r="Y85" s="24"/>
      <c r="Z85" s="24"/>
      <c r="AA85" s="24"/>
      <c r="AB85" s="24"/>
      <c r="AC85" s="24"/>
      <c r="AD85" s="24"/>
      <c r="AE85" s="24"/>
      <c r="AF85" s="24"/>
      <c r="AG85" s="24"/>
      <c r="AH85" s="24"/>
      <c r="AI85" s="24"/>
      <c r="AJ85" s="24"/>
      <c r="AK85" s="24"/>
      <c r="AM85" s="26"/>
      <c r="AN85" s="24"/>
      <c r="AO85" s="24"/>
      <c r="AP85" s="24"/>
      <c r="AQ85" s="24"/>
      <c r="AR85" s="24"/>
      <c r="AS85" s="24"/>
      <c r="AT85" s="24"/>
    </row>
    <row r="86" ht="15.75" customHeight="1">
      <c r="F86" s="24"/>
      <c r="G86" s="24"/>
      <c r="H86" s="24"/>
      <c r="I86" s="24"/>
      <c r="J86" s="24"/>
      <c r="K86" s="24"/>
      <c r="L86" s="24"/>
      <c r="M86" s="24"/>
      <c r="N86" s="24"/>
      <c r="O86" s="24"/>
      <c r="P86" s="24"/>
      <c r="Q86" s="24"/>
      <c r="R86" s="24"/>
      <c r="S86" s="24"/>
      <c r="T86" s="24"/>
      <c r="U86" s="24"/>
      <c r="V86" s="24"/>
      <c r="W86" s="24"/>
      <c r="X86" s="24"/>
      <c r="Y86" s="24"/>
      <c r="Z86" s="24"/>
      <c r="AA86" s="24"/>
      <c r="AB86" s="24"/>
      <c r="AC86" s="24"/>
      <c r="AD86" s="24"/>
      <c r="AE86" s="24"/>
      <c r="AF86" s="24"/>
      <c r="AG86" s="24"/>
      <c r="AH86" s="24"/>
      <c r="AI86" s="24"/>
      <c r="AJ86" s="24"/>
      <c r="AK86" s="24"/>
      <c r="AM86" s="26"/>
      <c r="AN86" s="24"/>
      <c r="AO86" s="24"/>
      <c r="AP86" s="24"/>
      <c r="AQ86" s="24"/>
      <c r="AR86" s="24"/>
      <c r="AS86" s="24"/>
      <c r="AT86" s="24"/>
    </row>
    <row r="87" ht="15.75" customHeight="1">
      <c r="F87" s="24"/>
      <c r="G87" s="24"/>
      <c r="H87" s="24"/>
      <c r="I87" s="24"/>
      <c r="J87" s="24"/>
      <c r="K87" s="24"/>
      <c r="L87" s="24"/>
      <c r="M87" s="24"/>
      <c r="N87" s="24"/>
      <c r="O87" s="24"/>
      <c r="P87" s="24"/>
      <c r="Q87" s="24"/>
      <c r="R87" s="24"/>
      <c r="S87" s="24"/>
      <c r="T87" s="24"/>
      <c r="U87" s="24"/>
      <c r="V87" s="24"/>
      <c r="W87" s="24"/>
      <c r="X87" s="24"/>
      <c r="Y87" s="24"/>
      <c r="Z87" s="24"/>
      <c r="AA87" s="24"/>
      <c r="AB87" s="24"/>
      <c r="AC87" s="24"/>
      <c r="AD87" s="24"/>
      <c r="AE87" s="24"/>
      <c r="AF87" s="24"/>
      <c r="AG87" s="24"/>
      <c r="AH87" s="24"/>
      <c r="AI87" s="24"/>
      <c r="AJ87" s="24"/>
      <c r="AK87" s="24"/>
      <c r="AM87" s="26"/>
      <c r="AN87" s="24"/>
      <c r="AO87" s="24"/>
      <c r="AP87" s="24"/>
      <c r="AQ87" s="24"/>
      <c r="AR87" s="24"/>
      <c r="AS87" s="24"/>
      <c r="AT87" s="24"/>
    </row>
    <row r="88" ht="15.75" customHeight="1">
      <c r="F88" s="24"/>
      <c r="G88" s="24"/>
      <c r="H88" s="24"/>
      <c r="I88" s="24"/>
      <c r="J88" s="24"/>
      <c r="K88" s="24"/>
      <c r="L88" s="24"/>
      <c r="M88" s="24"/>
      <c r="N88" s="24"/>
      <c r="O88" s="24"/>
      <c r="P88" s="24"/>
      <c r="Q88" s="24"/>
      <c r="R88" s="24"/>
      <c r="S88" s="24"/>
      <c r="T88" s="24"/>
      <c r="U88" s="24"/>
      <c r="V88" s="24"/>
      <c r="W88" s="24"/>
      <c r="X88" s="24"/>
      <c r="Y88" s="24"/>
      <c r="Z88" s="24"/>
      <c r="AA88" s="24"/>
      <c r="AB88" s="24"/>
      <c r="AC88" s="24"/>
      <c r="AD88" s="24"/>
      <c r="AE88" s="24"/>
      <c r="AF88" s="24"/>
      <c r="AG88" s="24"/>
      <c r="AH88" s="24"/>
      <c r="AI88" s="24"/>
      <c r="AJ88" s="24"/>
      <c r="AK88" s="24"/>
      <c r="AM88" s="26"/>
      <c r="AN88" s="24"/>
      <c r="AO88" s="24"/>
      <c r="AP88" s="24"/>
      <c r="AQ88" s="24"/>
      <c r="AR88" s="24"/>
      <c r="AS88" s="24"/>
      <c r="AT88" s="24"/>
    </row>
    <row r="89" ht="15.75" customHeight="1">
      <c r="F89" s="24"/>
      <c r="G89" s="24"/>
      <c r="H89" s="24"/>
      <c r="I89" s="24"/>
      <c r="J89" s="24"/>
      <c r="K89" s="24"/>
      <c r="L89" s="24"/>
      <c r="M89" s="24"/>
      <c r="N89" s="24"/>
      <c r="O89" s="24"/>
      <c r="P89" s="24"/>
      <c r="Q89" s="24"/>
      <c r="R89" s="24"/>
      <c r="S89" s="24"/>
      <c r="T89" s="24"/>
      <c r="U89" s="24"/>
      <c r="V89" s="24"/>
      <c r="W89" s="24"/>
      <c r="X89" s="24"/>
      <c r="Y89" s="24"/>
      <c r="Z89" s="24"/>
      <c r="AA89" s="24"/>
      <c r="AB89" s="24"/>
      <c r="AC89" s="24"/>
      <c r="AD89" s="24"/>
      <c r="AE89" s="24"/>
      <c r="AF89" s="24"/>
      <c r="AG89" s="24"/>
      <c r="AH89" s="24"/>
      <c r="AI89" s="24"/>
      <c r="AJ89" s="24"/>
      <c r="AK89" s="24"/>
      <c r="AM89" s="26"/>
      <c r="AN89" s="24"/>
      <c r="AO89" s="24"/>
      <c r="AP89" s="24"/>
      <c r="AQ89" s="24"/>
      <c r="AR89" s="24"/>
      <c r="AS89" s="24"/>
      <c r="AT89" s="24"/>
    </row>
    <row r="90" ht="15.75" customHeight="1">
      <c r="F90" s="24"/>
      <c r="G90" s="24"/>
      <c r="H90" s="24"/>
      <c r="I90" s="24"/>
      <c r="J90" s="24"/>
      <c r="K90" s="24"/>
      <c r="L90" s="24"/>
      <c r="M90" s="24"/>
      <c r="N90" s="24"/>
      <c r="O90" s="24"/>
      <c r="P90" s="24"/>
      <c r="Q90" s="24"/>
      <c r="R90" s="24"/>
      <c r="S90" s="24"/>
      <c r="T90" s="24"/>
      <c r="U90" s="24"/>
      <c r="V90" s="24"/>
      <c r="W90" s="24"/>
      <c r="X90" s="24"/>
      <c r="Y90" s="24"/>
      <c r="Z90" s="24"/>
      <c r="AA90" s="24"/>
      <c r="AB90" s="24"/>
      <c r="AC90" s="24"/>
      <c r="AD90" s="24"/>
      <c r="AE90" s="24"/>
      <c r="AF90" s="24"/>
      <c r="AG90" s="24"/>
      <c r="AH90" s="24"/>
      <c r="AI90" s="24"/>
      <c r="AJ90" s="24"/>
      <c r="AK90" s="24"/>
      <c r="AM90" s="26"/>
      <c r="AN90" s="24"/>
      <c r="AO90" s="24"/>
      <c r="AP90" s="24"/>
      <c r="AQ90" s="24"/>
      <c r="AR90" s="24"/>
      <c r="AS90" s="24"/>
      <c r="AT90" s="24"/>
    </row>
    <row r="91" ht="15.75" customHeight="1">
      <c r="F91" s="24"/>
      <c r="G91" s="24"/>
      <c r="H91" s="24"/>
      <c r="I91" s="24"/>
      <c r="J91" s="24"/>
      <c r="K91" s="24"/>
      <c r="L91" s="24"/>
      <c r="M91" s="24"/>
      <c r="N91" s="24"/>
      <c r="O91" s="24"/>
      <c r="P91" s="24"/>
      <c r="Q91" s="24"/>
      <c r="R91" s="24"/>
      <c r="S91" s="24"/>
      <c r="T91" s="24"/>
      <c r="U91" s="24"/>
      <c r="V91" s="24"/>
      <c r="W91" s="24"/>
      <c r="X91" s="24"/>
      <c r="Y91" s="24"/>
      <c r="Z91" s="24"/>
      <c r="AA91" s="24"/>
      <c r="AB91" s="24"/>
      <c r="AC91" s="24"/>
      <c r="AD91" s="24"/>
      <c r="AE91" s="24"/>
      <c r="AF91" s="24"/>
      <c r="AG91" s="24"/>
      <c r="AH91" s="24"/>
      <c r="AI91" s="24"/>
      <c r="AJ91" s="24"/>
      <c r="AK91" s="24"/>
      <c r="AM91" s="26"/>
      <c r="AN91" s="24"/>
      <c r="AO91" s="24"/>
      <c r="AP91" s="24"/>
      <c r="AQ91" s="24"/>
      <c r="AR91" s="24"/>
      <c r="AS91" s="24"/>
      <c r="AT91" s="24"/>
    </row>
    <row r="92" ht="15.75" customHeight="1">
      <c r="F92" s="24"/>
      <c r="G92" s="24"/>
      <c r="H92" s="24"/>
      <c r="I92" s="24"/>
      <c r="J92" s="24"/>
      <c r="K92" s="24"/>
      <c r="L92" s="24"/>
      <c r="M92" s="24"/>
      <c r="N92" s="24"/>
      <c r="O92" s="24"/>
      <c r="P92" s="24"/>
      <c r="Q92" s="24"/>
      <c r="R92" s="24"/>
      <c r="S92" s="24"/>
      <c r="T92" s="24"/>
      <c r="U92" s="24"/>
      <c r="V92" s="24"/>
      <c r="W92" s="24"/>
      <c r="X92" s="24"/>
      <c r="Y92" s="24"/>
      <c r="Z92" s="24"/>
      <c r="AA92" s="24"/>
      <c r="AB92" s="24"/>
      <c r="AC92" s="24"/>
      <c r="AD92" s="24"/>
      <c r="AE92" s="24"/>
      <c r="AF92" s="24"/>
      <c r="AG92" s="24"/>
      <c r="AH92" s="24"/>
      <c r="AI92" s="24"/>
      <c r="AJ92" s="24"/>
      <c r="AK92" s="24"/>
      <c r="AM92" s="26"/>
      <c r="AN92" s="24"/>
      <c r="AO92" s="24"/>
      <c r="AP92" s="24"/>
      <c r="AQ92" s="24"/>
      <c r="AR92" s="24"/>
      <c r="AS92" s="24"/>
      <c r="AT92" s="24"/>
    </row>
    <row r="93" ht="15.75" customHeight="1">
      <c r="F93" s="24"/>
      <c r="G93" s="24"/>
      <c r="H93" s="24"/>
      <c r="I93" s="24"/>
      <c r="J93" s="24"/>
      <c r="K93" s="24"/>
      <c r="L93" s="24"/>
      <c r="M93" s="24"/>
      <c r="N93" s="24"/>
      <c r="O93" s="24"/>
      <c r="P93" s="24"/>
      <c r="Q93" s="24"/>
      <c r="R93" s="24"/>
      <c r="S93" s="24"/>
      <c r="T93" s="24"/>
      <c r="U93" s="24"/>
      <c r="V93" s="24"/>
      <c r="W93" s="24"/>
      <c r="X93" s="24"/>
      <c r="Y93" s="24"/>
      <c r="Z93" s="24"/>
      <c r="AA93" s="24"/>
      <c r="AB93" s="24"/>
      <c r="AC93" s="24"/>
      <c r="AD93" s="24"/>
      <c r="AE93" s="24"/>
      <c r="AF93" s="24"/>
      <c r="AG93" s="24"/>
      <c r="AH93" s="24"/>
      <c r="AI93" s="24"/>
      <c r="AJ93" s="24"/>
      <c r="AK93" s="24"/>
      <c r="AM93" s="26"/>
      <c r="AN93" s="24"/>
      <c r="AO93" s="24"/>
      <c r="AP93" s="24"/>
      <c r="AQ93" s="24"/>
      <c r="AR93" s="24"/>
      <c r="AS93" s="24"/>
      <c r="AT93" s="24"/>
    </row>
    <row r="94" ht="15.75" customHeight="1">
      <c r="F94" s="24"/>
      <c r="G94" s="24"/>
      <c r="H94" s="24"/>
      <c r="I94" s="24"/>
      <c r="J94" s="24"/>
      <c r="K94" s="24"/>
      <c r="L94" s="24"/>
      <c r="M94" s="24"/>
      <c r="N94" s="24"/>
      <c r="O94" s="24"/>
      <c r="P94" s="24"/>
      <c r="Q94" s="24"/>
      <c r="R94" s="24"/>
      <c r="S94" s="24"/>
      <c r="T94" s="24"/>
      <c r="U94" s="24"/>
      <c r="V94" s="24"/>
      <c r="W94" s="24"/>
      <c r="X94" s="24"/>
      <c r="Y94" s="24"/>
      <c r="Z94" s="24"/>
      <c r="AA94" s="24"/>
      <c r="AB94" s="24"/>
      <c r="AC94" s="24"/>
      <c r="AD94" s="24"/>
      <c r="AE94" s="24"/>
      <c r="AF94" s="24"/>
      <c r="AG94" s="24"/>
      <c r="AH94" s="24"/>
      <c r="AI94" s="24"/>
      <c r="AJ94" s="24"/>
      <c r="AK94" s="24"/>
      <c r="AM94" s="26"/>
      <c r="AN94" s="24"/>
      <c r="AO94" s="24"/>
      <c r="AP94" s="24"/>
      <c r="AQ94" s="24"/>
      <c r="AR94" s="24"/>
      <c r="AS94" s="24"/>
      <c r="AT94" s="24"/>
    </row>
    <row r="95" ht="15.75" customHeight="1">
      <c r="F95" s="24"/>
      <c r="G95" s="24"/>
      <c r="H95" s="24"/>
      <c r="I95" s="24"/>
      <c r="J95" s="24"/>
      <c r="K95" s="24"/>
      <c r="L95" s="24"/>
      <c r="M95" s="24"/>
      <c r="N95" s="24"/>
      <c r="O95" s="24"/>
      <c r="P95" s="24"/>
      <c r="Q95" s="24"/>
      <c r="R95" s="24"/>
      <c r="S95" s="24"/>
      <c r="T95" s="24"/>
      <c r="U95" s="24"/>
      <c r="V95" s="24"/>
      <c r="W95" s="24"/>
      <c r="X95" s="24"/>
      <c r="Y95" s="24"/>
      <c r="Z95" s="24"/>
      <c r="AA95" s="24"/>
      <c r="AB95" s="24"/>
      <c r="AC95" s="24"/>
      <c r="AD95" s="24"/>
      <c r="AE95" s="24"/>
      <c r="AF95" s="24"/>
      <c r="AG95" s="24"/>
      <c r="AH95" s="24"/>
      <c r="AI95" s="24"/>
      <c r="AJ95" s="24"/>
      <c r="AK95" s="24"/>
      <c r="AM95" s="26"/>
      <c r="AN95" s="24"/>
      <c r="AO95" s="24"/>
      <c r="AP95" s="24"/>
      <c r="AQ95" s="24"/>
      <c r="AR95" s="24"/>
      <c r="AS95" s="24"/>
      <c r="AT95" s="24"/>
    </row>
    <row r="96" ht="15.75" customHeight="1">
      <c r="F96" s="24"/>
      <c r="G96" s="24"/>
      <c r="H96" s="24"/>
      <c r="I96" s="24"/>
      <c r="J96" s="24"/>
      <c r="K96" s="24"/>
      <c r="L96" s="24"/>
      <c r="M96" s="24"/>
      <c r="N96" s="24"/>
      <c r="O96" s="24"/>
      <c r="P96" s="24"/>
      <c r="Q96" s="24"/>
      <c r="R96" s="24"/>
      <c r="S96" s="24"/>
      <c r="T96" s="24"/>
      <c r="U96" s="24"/>
      <c r="V96" s="24"/>
      <c r="W96" s="24"/>
      <c r="X96" s="24"/>
      <c r="Y96" s="24"/>
      <c r="Z96" s="24"/>
      <c r="AA96" s="24"/>
      <c r="AB96" s="24"/>
      <c r="AC96" s="24"/>
      <c r="AD96" s="24"/>
      <c r="AE96" s="24"/>
      <c r="AF96" s="24"/>
      <c r="AG96" s="24"/>
      <c r="AH96" s="24"/>
      <c r="AI96" s="24"/>
      <c r="AJ96" s="24"/>
      <c r="AK96" s="24"/>
      <c r="AM96" s="26"/>
      <c r="AN96" s="24"/>
      <c r="AO96" s="24"/>
      <c r="AP96" s="24"/>
      <c r="AQ96" s="24"/>
      <c r="AR96" s="24"/>
      <c r="AS96" s="24"/>
      <c r="AT96" s="24"/>
    </row>
    <row r="97" ht="15.75" customHeight="1">
      <c r="F97" s="24"/>
      <c r="G97" s="24"/>
      <c r="H97" s="24"/>
      <c r="I97" s="24"/>
      <c r="J97" s="24"/>
      <c r="K97" s="24"/>
      <c r="L97" s="24"/>
      <c r="M97" s="24"/>
      <c r="N97" s="24"/>
      <c r="O97" s="24"/>
      <c r="P97" s="24"/>
      <c r="Q97" s="24"/>
      <c r="R97" s="24"/>
      <c r="S97" s="24"/>
      <c r="T97" s="24"/>
      <c r="U97" s="24"/>
      <c r="V97" s="24"/>
      <c r="W97" s="24"/>
      <c r="X97" s="24"/>
      <c r="Y97" s="24"/>
      <c r="Z97" s="24"/>
      <c r="AA97" s="24"/>
      <c r="AB97" s="24"/>
      <c r="AC97" s="24"/>
      <c r="AD97" s="24"/>
      <c r="AE97" s="24"/>
      <c r="AF97" s="24"/>
      <c r="AG97" s="24"/>
      <c r="AH97" s="24"/>
      <c r="AI97" s="24"/>
      <c r="AJ97" s="24"/>
      <c r="AK97" s="24"/>
      <c r="AM97" s="26"/>
      <c r="AN97" s="24"/>
      <c r="AO97" s="24"/>
      <c r="AP97" s="24"/>
      <c r="AQ97" s="24"/>
      <c r="AR97" s="24"/>
      <c r="AS97" s="24"/>
      <c r="AT97" s="24"/>
    </row>
    <row r="98" ht="15.75" customHeight="1">
      <c r="F98" s="24"/>
      <c r="G98" s="24"/>
      <c r="H98" s="24"/>
      <c r="I98" s="24"/>
      <c r="J98" s="24"/>
      <c r="K98" s="24"/>
      <c r="L98" s="24"/>
      <c r="M98" s="24"/>
      <c r="N98" s="24"/>
      <c r="O98" s="24"/>
      <c r="P98" s="24"/>
      <c r="Q98" s="24"/>
      <c r="R98" s="24"/>
      <c r="S98" s="24"/>
      <c r="T98" s="24"/>
      <c r="U98" s="24"/>
      <c r="V98" s="24"/>
      <c r="W98" s="24"/>
      <c r="X98" s="24"/>
      <c r="Y98" s="24"/>
      <c r="Z98" s="24"/>
      <c r="AA98" s="24"/>
      <c r="AB98" s="24"/>
      <c r="AC98" s="24"/>
      <c r="AD98" s="24"/>
      <c r="AE98" s="24"/>
      <c r="AF98" s="24"/>
      <c r="AG98" s="24"/>
      <c r="AH98" s="24"/>
      <c r="AI98" s="24"/>
      <c r="AJ98" s="24"/>
      <c r="AK98" s="24"/>
      <c r="AM98" s="26"/>
      <c r="AN98" s="24"/>
      <c r="AO98" s="24"/>
      <c r="AP98" s="24"/>
      <c r="AQ98" s="24"/>
      <c r="AR98" s="24"/>
      <c r="AS98" s="24"/>
      <c r="AT98" s="24"/>
    </row>
    <row r="99" ht="15.75" customHeight="1">
      <c r="F99" s="24"/>
      <c r="G99" s="24"/>
      <c r="H99" s="24"/>
      <c r="I99" s="24"/>
      <c r="J99" s="24"/>
      <c r="K99" s="24"/>
      <c r="L99" s="24"/>
      <c r="M99" s="24"/>
      <c r="N99" s="24"/>
      <c r="O99" s="24"/>
      <c r="P99" s="24"/>
      <c r="Q99" s="24"/>
      <c r="R99" s="24"/>
      <c r="S99" s="24"/>
      <c r="T99" s="24"/>
      <c r="U99" s="24"/>
      <c r="V99" s="24"/>
      <c r="W99" s="24"/>
      <c r="X99" s="24"/>
      <c r="Y99" s="24"/>
      <c r="Z99" s="24"/>
      <c r="AA99" s="24"/>
      <c r="AB99" s="24"/>
      <c r="AC99" s="24"/>
      <c r="AD99" s="24"/>
      <c r="AE99" s="24"/>
      <c r="AF99" s="24"/>
      <c r="AG99" s="24"/>
      <c r="AH99" s="24"/>
      <c r="AI99" s="24"/>
      <c r="AJ99" s="24"/>
      <c r="AK99" s="24"/>
      <c r="AM99" s="26"/>
      <c r="AN99" s="24"/>
      <c r="AO99" s="24"/>
      <c r="AP99" s="24"/>
      <c r="AQ99" s="24"/>
      <c r="AR99" s="24"/>
      <c r="AS99" s="24"/>
      <c r="AT99" s="24"/>
    </row>
    <row r="100" ht="15.75" customHeight="1">
      <c r="F100" s="24"/>
      <c r="G100" s="24"/>
      <c r="H100" s="24"/>
      <c r="I100" s="24"/>
      <c r="J100" s="24"/>
      <c r="K100" s="24"/>
      <c r="L100" s="24"/>
      <c r="M100" s="24"/>
      <c r="N100" s="24"/>
      <c r="O100" s="24"/>
      <c r="P100" s="24"/>
      <c r="Q100" s="24"/>
      <c r="R100" s="24"/>
      <c r="S100" s="24"/>
      <c r="T100" s="24"/>
      <c r="U100" s="24"/>
      <c r="V100" s="24"/>
      <c r="W100" s="24"/>
      <c r="X100" s="24"/>
      <c r="Y100" s="24"/>
      <c r="Z100" s="24"/>
      <c r="AA100" s="24"/>
      <c r="AB100" s="24"/>
      <c r="AC100" s="24"/>
      <c r="AD100" s="24"/>
      <c r="AE100" s="24"/>
      <c r="AF100" s="24"/>
      <c r="AG100" s="24"/>
      <c r="AH100" s="24"/>
      <c r="AI100" s="24"/>
      <c r="AJ100" s="24"/>
      <c r="AK100" s="24"/>
      <c r="AM100" s="26"/>
      <c r="AN100" s="24"/>
      <c r="AO100" s="24"/>
      <c r="AP100" s="24"/>
      <c r="AQ100" s="24"/>
      <c r="AR100" s="24"/>
      <c r="AS100" s="24"/>
      <c r="AT100" s="24"/>
    </row>
    <row r="101" ht="15.75" customHeight="1">
      <c r="F101" s="24"/>
      <c r="G101" s="24"/>
      <c r="H101" s="24"/>
      <c r="I101" s="24"/>
      <c r="J101" s="24"/>
      <c r="K101" s="24"/>
      <c r="L101" s="24"/>
      <c r="M101" s="24"/>
      <c r="N101" s="24"/>
      <c r="O101" s="24"/>
      <c r="P101" s="24"/>
      <c r="Q101" s="24"/>
      <c r="R101" s="24"/>
      <c r="S101" s="24"/>
      <c r="T101" s="24"/>
      <c r="U101" s="24"/>
      <c r="V101" s="24"/>
      <c r="W101" s="24"/>
      <c r="X101" s="24"/>
      <c r="Y101" s="24"/>
      <c r="Z101" s="24"/>
      <c r="AA101" s="24"/>
      <c r="AB101" s="24"/>
      <c r="AC101" s="24"/>
      <c r="AD101" s="24"/>
      <c r="AE101" s="24"/>
      <c r="AF101" s="24"/>
      <c r="AG101" s="24"/>
      <c r="AH101" s="24"/>
      <c r="AI101" s="24"/>
      <c r="AJ101" s="24"/>
      <c r="AK101" s="24"/>
      <c r="AM101" s="26"/>
      <c r="AN101" s="24"/>
      <c r="AO101" s="24"/>
      <c r="AP101" s="24"/>
      <c r="AQ101" s="24"/>
      <c r="AR101" s="24"/>
      <c r="AS101" s="24"/>
      <c r="AT101" s="24"/>
    </row>
    <row r="102" ht="15.75" customHeight="1">
      <c r="F102" s="24"/>
      <c r="G102" s="24"/>
      <c r="H102" s="24"/>
      <c r="I102" s="24"/>
      <c r="J102" s="24"/>
      <c r="K102" s="24"/>
      <c r="L102" s="24"/>
      <c r="M102" s="24"/>
      <c r="N102" s="24"/>
      <c r="O102" s="24"/>
      <c r="P102" s="24"/>
      <c r="Q102" s="24"/>
      <c r="R102" s="24"/>
      <c r="S102" s="24"/>
      <c r="T102" s="24"/>
      <c r="U102" s="24"/>
      <c r="V102" s="24"/>
      <c r="W102" s="24"/>
      <c r="X102" s="24"/>
      <c r="Y102" s="24"/>
      <c r="Z102" s="24"/>
      <c r="AA102" s="24"/>
      <c r="AB102" s="24"/>
      <c r="AC102" s="24"/>
      <c r="AD102" s="24"/>
      <c r="AE102" s="24"/>
      <c r="AF102" s="24"/>
      <c r="AG102" s="24"/>
      <c r="AH102" s="24"/>
      <c r="AI102" s="24"/>
      <c r="AJ102" s="24"/>
      <c r="AK102" s="24"/>
      <c r="AM102" s="26"/>
      <c r="AN102" s="24"/>
      <c r="AO102" s="24"/>
      <c r="AP102" s="24"/>
      <c r="AQ102" s="24"/>
      <c r="AR102" s="24"/>
      <c r="AS102" s="24"/>
      <c r="AT102" s="24"/>
    </row>
    <row r="103" ht="15.75" customHeight="1">
      <c r="F103" s="24"/>
      <c r="G103" s="24"/>
      <c r="H103" s="24"/>
      <c r="I103" s="24"/>
      <c r="J103" s="24"/>
      <c r="K103" s="24"/>
      <c r="L103" s="24"/>
      <c r="M103" s="24"/>
      <c r="N103" s="24"/>
      <c r="O103" s="24"/>
      <c r="P103" s="24"/>
      <c r="Q103" s="24"/>
      <c r="R103" s="24"/>
      <c r="S103" s="24"/>
      <c r="T103" s="24"/>
      <c r="U103" s="24"/>
      <c r="V103" s="24"/>
      <c r="W103" s="24"/>
      <c r="X103" s="24"/>
      <c r="Y103" s="24"/>
      <c r="Z103" s="24"/>
      <c r="AA103" s="24"/>
      <c r="AB103" s="24"/>
      <c r="AC103" s="24"/>
      <c r="AD103" s="24"/>
      <c r="AE103" s="24"/>
      <c r="AF103" s="24"/>
      <c r="AG103" s="24"/>
      <c r="AH103" s="24"/>
      <c r="AI103" s="24"/>
      <c r="AJ103" s="24"/>
      <c r="AK103" s="24"/>
      <c r="AM103" s="26"/>
      <c r="AN103" s="24"/>
      <c r="AO103" s="24"/>
      <c r="AP103" s="24"/>
      <c r="AQ103" s="24"/>
      <c r="AR103" s="24"/>
      <c r="AS103" s="24"/>
      <c r="AT103" s="24"/>
    </row>
    <row r="104" ht="15.75" customHeight="1">
      <c r="F104" s="24"/>
      <c r="G104" s="24"/>
      <c r="H104" s="24"/>
      <c r="I104" s="24"/>
      <c r="J104" s="24"/>
      <c r="K104" s="24"/>
      <c r="L104" s="24"/>
      <c r="M104" s="24"/>
      <c r="N104" s="24"/>
      <c r="O104" s="24"/>
      <c r="P104" s="24"/>
      <c r="Q104" s="24"/>
      <c r="R104" s="24"/>
      <c r="S104" s="24"/>
      <c r="T104" s="24"/>
      <c r="U104" s="24"/>
      <c r="V104" s="24"/>
      <c r="W104" s="24"/>
      <c r="X104" s="24"/>
      <c r="Y104" s="24"/>
      <c r="Z104" s="24"/>
      <c r="AA104" s="24"/>
      <c r="AB104" s="24"/>
      <c r="AC104" s="24"/>
      <c r="AD104" s="24"/>
      <c r="AE104" s="24"/>
      <c r="AF104" s="24"/>
      <c r="AG104" s="24"/>
      <c r="AH104" s="24"/>
      <c r="AI104" s="24"/>
      <c r="AJ104" s="24"/>
      <c r="AK104" s="24"/>
      <c r="AM104" s="26"/>
      <c r="AN104" s="24"/>
      <c r="AO104" s="24"/>
      <c r="AP104" s="24"/>
      <c r="AQ104" s="24"/>
      <c r="AR104" s="24"/>
      <c r="AS104" s="24"/>
      <c r="AT104" s="24"/>
    </row>
    <row r="105" ht="15.75" customHeight="1">
      <c r="F105" s="24"/>
      <c r="G105" s="24"/>
      <c r="H105" s="24"/>
      <c r="I105" s="24"/>
      <c r="J105" s="24"/>
      <c r="K105" s="24"/>
      <c r="L105" s="24"/>
      <c r="M105" s="24"/>
      <c r="N105" s="24"/>
      <c r="O105" s="24"/>
      <c r="P105" s="24"/>
      <c r="Q105" s="24"/>
      <c r="R105" s="24"/>
      <c r="S105" s="24"/>
      <c r="T105" s="24"/>
      <c r="U105" s="24"/>
      <c r="V105" s="24"/>
      <c r="W105" s="24"/>
      <c r="X105" s="24"/>
      <c r="Y105" s="24"/>
      <c r="Z105" s="24"/>
      <c r="AA105" s="24"/>
      <c r="AB105" s="24"/>
      <c r="AC105" s="24"/>
      <c r="AD105" s="24"/>
      <c r="AE105" s="24"/>
      <c r="AF105" s="24"/>
      <c r="AG105" s="24"/>
      <c r="AH105" s="24"/>
      <c r="AI105" s="24"/>
      <c r="AJ105" s="24"/>
      <c r="AK105" s="24"/>
      <c r="AM105" s="26"/>
      <c r="AN105" s="24"/>
      <c r="AO105" s="24"/>
      <c r="AP105" s="24"/>
      <c r="AQ105" s="24"/>
      <c r="AR105" s="24"/>
      <c r="AS105" s="24"/>
      <c r="AT105" s="24"/>
    </row>
    <row r="106" ht="15.75" customHeight="1">
      <c r="F106" s="24"/>
      <c r="G106" s="24"/>
      <c r="H106" s="24"/>
      <c r="I106" s="24"/>
      <c r="J106" s="24"/>
      <c r="K106" s="24"/>
      <c r="L106" s="24"/>
      <c r="M106" s="24"/>
      <c r="N106" s="24"/>
      <c r="O106" s="24"/>
      <c r="P106" s="24"/>
      <c r="Q106" s="24"/>
      <c r="R106" s="24"/>
      <c r="S106" s="24"/>
      <c r="T106" s="24"/>
      <c r="U106" s="24"/>
      <c r="V106" s="24"/>
      <c r="W106" s="24"/>
      <c r="X106" s="24"/>
      <c r="Y106" s="24"/>
      <c r="Z106" s="24"/>
      <c r="AA106" s="24"/>
      <c r="AB106" s="24"/>
      <c r="AC106" s="24"/>
      <c r="AD106" s="24"/>
      <c r="AE106" s="24"/>
      <c r="AF106" s="24"/>
      <c r="AG106" s="24"/>
      <c r="AH106" s="24"/>
      <c r="AI106" s="24"/>
      <c r="AJ106" s="24"/>
      <c r="AK106" s="24"/>
      <c r="AM106" s="26"/>
      <c r="AN106" s="24"/>
      <c r="AO106" s="24"/>
      <c r="AP106" s="24"/>
      <c r="AQ106" s="24"/>
      <c r="AR106" s="24"/>
      <c r="AS106" s="24"/>
      <c r="AT106" s="24"/>
    </row>
    <row r="107" ht="15.75" customHeight="1">
      <c r="F107" s="24"/>
      <c r="G107" s="24"/>
      <c r="H107" s="24"/>
      <c r="I107" s="24"/>
      <c r="J107" s="24"/>
      <c r="K107" s="24"/>
      <c r="L107" s="24"/>
      <c r="M107" s="24"/>
      <c r="N107" s="24"/>
      <c r="O107" s="24"/>
      <c r="P107" s="24"/>
      <c r="Q107" s="24"/>
      <c r="R107" s="24"/>
      <c r="S107" s="24"/>
      <c r="T107" s="24"/>
      <c r="U107" s="24"/>
      <c r="V107" s="24"/>
      <c r="W107" s="24"/>
      <c r="X107" s="24"/>
      <c r="Y107" s="24"/>
      <c r="Z107" s="24"/>
      <c r="AA107" s="24"/>
      <c r="AB107" s="24"/>
      <c r="AC107" s="24"/>
      <c r="AD107" s="24"/>
      <c r="AE107" s="24"/>
      <c r="AF107" s="24"/>
      <c r="AG107" s="24"/>
      <c r="AH107" s="24"/>
      <c r="AI107" s="24"/>
      <c r="AJ107" s="24"/>
      <c r="AK107" s="24"/>
      <c r="AM107" s="26"/>
      <c r="AN107" s="24"/>
      <c r="AO107" s="24"/>
      <c r="AP107" s="24"/>
      <c r="AQ107" s="24"/>
      <c r="AR107" s="24"/>
      <c r="AS107" s="24"/>
      <c r="AT107" s="24"/>
    </row>
    <row r="108" ht="15.75" customHeight="1">
      <c r="F108" s="24"/>
      <c r="G108" s="24"/>
      <c r="H108" s="24"/>
      <c r="I108" s="24"/>
      <c r="J108" s="24"/>
      <c r="K108" s="24"/>
      <c r="L108" s="24"/>
      <c r="M108" s="24"/>
      <c r="N108" s="24"/>
      <c r="O108" s="24"/>
      <c r="P108" s="24"/>
      <c r="Q108" s="24"/>
      <c r="R108" s="24"/>
      <c r="S108" s="24"/>
      <c r="T108" s="24"/>
      <c r="U108" s="24"/>
      <c r="V108" s="24"/>
      <c r="W108" s="24"/>
      <c r="X108" s="24"/>
      <c r="Y108" s="24"/>
      <c r="Z108" s="24"/>
      <c r="AA108" s="24"/>
      <c r="AB108" s="24"/>
      <c r="AC108" s="24"/>
      <c r="AD108" s="24"/>
      <c r="AE108" s="24"/>
      <c r="AF108" s="24"/>
      <c r="AG108" s="24"/>
      <c r="AH108" s="24"/>
      <c r="AI108" s="24"/>
      <c r="AJ108" s="24"/>
      <c r="AK108" s="24"/>
      <c r="AM108" s="26"/>
      <c r="AN108" s="24"/>
      <c r="AO108" s="24"/>
      <c r="AP108" s="24"/>
      <c r="AQ108" s="24"/>
      <c r="AR108" s="24"/>
      <c r="AS108" s="24"/>
      <c r="AT108" s="24"/>
    </row>
    <row r="109" ht="15.75" customHeight="1">
      <c r="F109" s="24"/>
      <c r="G109" s="24"/>
      <c r="H109" s="24"/>
      <c r="I109" s="24"/>
      <c r="J109" s="24"/>
      <c r="K109" s="24"/>
      <c r="L109" s="24"/>
      <c r="M109" s="24"/>
      <c r="N109" s="24"/>
      <c r="O109" s="24"/>
      <c r="P109" s="24"/>
      <c r="Q109" s="24"/>
      <c r="R109" s="24"/>
      <c r="S109" s="24"/>
      <c r="T109" s="24"/>
      <c r="U109" s="24"/>
      <c r="V109" s="24"/>
      <c r="W109" s="24"/>
      <c r="X109" s="24"/>
      <c r="Y109" s="24"/>
      <c r="Z109" s="24"/>
      <c r="AA109" s="24"/>
      <c r="AB109" s="24"/>
      <c r="AC109" s="24"/>
      <c r="AD109" s="24"/>
      <c r="AE109" s="24"/>
      <c r="AF109" s="24"/>
      <c r="AG109" s="24"/>
      <c r="AH109" s="24"/>
      <c r="AI109" s="24"/>
      <c r="AJ109" s="24"/>
      <c r="AK109" s="24"/>
      <c r="AM109" s="26"/>
      <c r="AN109" s="24"/>
      <c r="AO109" s="24"/>
      <c r="AP109" s="24"/>
      <c r="AQ109" s="24"/>
      <c r="AR109" s="24"/>
      <c r="AS109" s="24"/>
      <c r="AT109" s="24"/>
    </row>
    <row r="110" ht="15.75" customHeight="1">
      <c r="F110" s="24"/>
      <c r="G110" s="24"/>
      <c r="H110" s="24"/>
      <c r="I110" s="24"/>
      <c r="J110" s="24"/>
      <c r="K110" s="24"/>
      <c r="L110" s="24"/>
      <c r="M110" s="24"/>
      <c r="N110" s="24"/>
      <c r="O110" s="24"/>
      <c r="P110" s="24"/>
      <c r="Q110" s="24"/>
      <c r="R110" s="24"/>
      <c r="S110" s="24"/>
      <c r="T110" s="24"/>
      <c r="U110" s="24"/>
      <c r="V110" s="24"/>
      <c r="W110" s="24"/>
      <c r="X110" s="24"/>
      <c r="Y110" s="24"/>
      <c r="Z110" s="24"/>
      <c r="AA110" s="24"/>
      <c r="AB110" s="24"/>
      <c r="AC110" s="24"/>
      <c r="AD110" s="24"/>
      <c r="AE110" s="24"/>
      <c r="AF110" s="24"/>
      <c r="AG110" s="24"/>
      <c r="AH110" s="24"/>
      <c r="AI110" s="24"/>
      <c r="AJ110" s="24"/>
      <c r="AK110" s="24"/>
      <c r="AM110" s="26"/>
      <c r="AN110" s="24"/>
      <c r="AO110" s="24"/>
      <c r="AP110" s="24"/>
      <c r="AQ110" s="24"/>
      <c r="AR110" s="24"/>
      <c r="AS110" s="24"/>
      <c r="AT110" s="24"/>
    </row>
    <row r="111" ht="15.75" customHeight="1">
      <c r="F111" s="24"/>
      <c r="G111" s="24"/>
      <c r="H111" s="24"/>
      <c r="I111" s="24"/>
      <c r="J111" s="24"/>
      <c r="K111" s="24"/>
      <c r="L111" s="24"/>
      <c r="M111" s="24"/>
      <c r="N111" s="24"/>
      <c r="O111" s="24"/>
      <c r="P111" s="24"/>
      <c r="Q111" s="24"/>
      <c r="R111" s="24"/>
      <c r="S111" s="24"/>
      <c r="T111" s="24"/>
      <c r="U111" s="24"/>
      <c r="V111" s="24"/>
      <c r="W111" s="24"/>
      <c r="X111" s="24"/>
      <c r="Y111" s="24"/>
      <c r="Z111" s="24"/>
      <c r="AA111" s="24"/>
      <c r="AB111" s="24"/>
      <c r="AC111" s="24"/>
      <c r="AD111" s="24"/>
      <c r="AE111" s="24"/>
      <c r="AF111" s="24"/>
      <c r="AG111" s="24"/>
      <c r="AH111" s="24"/>
      <c r="AI111" s="24"/>
      <c r="AJ111" s="24"/>
      <c r="AK111" s="24"/>
      <c r="AM111" s="26"/>
      <c r="AN111" s="24"/>
      <c r="AO111" s="24"/>
      <c r="AP111" s="24"/>
      <c r="AQ111" s="24"/>
      <c r="AR111" s="24"/>
      <c r="AS111" s="24"/>
      <c r="AT111" s="24"/>
    </row>
    <row r="112" ht="15.75" customHeight="1">
      <c r="F112" s="24"/>
      <c r="G112" s="24"/>
      <c r="H112" s="24"/>
      <c r="I112" s="24"/>
      <c r="J112" s="24"/>
      <c r="K112" s="24"/>
      <c r="L112" s="24"/>
      <c r="M112" s="24"/>
      <c r="N112" s="24"/>
      <c r="O112" s="24"/>
      <c r="P112" s="24"/>
      <c r="Q112" s="24"/>
      <c r="R112" s="24"/>
      <c r="S112" s="24"/>
      <c r="T112" s="24"/>
      <c r="U112" s="24"/>
      <c r="V112" s="24"/>
      <c r="W112" s="24"/>
      <c r="X112" s="24"/>
      <c r="Y112" s="24"/>
      <c r="Z112" s="24"/>
      <c r="AA112" s="24"/>
      <c r="AB112" s="24"/>
      <c r="AC112" s="24"/>
      <c r="AD112" s="24"/>
      <c r="AE112" s="24"/>
      <c r="AF112" s="24"/>
      <c r="AG112" s="24"/>
      <c r="AH112" s="24"/>
      <c r="AI112" s="24"/>
      <c r="AJ112" s="24"/>
      <c r="AK112" s="24"/>
      <c r="AM112" s="26"/>
      <c r="AN112" s="24"/>
      <c r="AO112" s="24"/>
      <c r="AP112" s="24"/>
      <c r="AQ112" s="24"/>
      <c r="AR112" s="24"/>
      <c r="AS112" s="24"/>
      <c r="AT112" s="24"/>
    </row>
    <row r="113" ht="15.75" customHeight="1">
      <c r="F113" s="24"/>
      <c r="G113" s="24"/>
      <c r="H113" s="24"/>
      <c r="I113" s="24"/>
      <c r="J113" s="24"/>
      <c r="K113" s="24"/>
      <c r="L113" s="24"/>
      <c r="M113" s="24"/>
      <c r="N113" s="24"/>
      <c r="O113" s="24"/>
      <c r="P113" s="24"/>
      <c r="Q113" s="24"/>
      <c r="R113" s="24"/>
      <c r="S113" s="24"/>
      <c r="T113" s="24"/>
      <c r="U113" s="24"/>
      <c r="V113" s="24"/>
      <c r="W113" s="24"/>
      <c r="X113" s="24"/>
      <c r="Y113" s="24"/>
      <c r="Z113" s="24"/>
      <c r="AA113" s="24"/>
      <c r="AB113" s="24"/>
      <c r="AC113" s="24"/>
      <c r="AD113" s="24"/>
      <c r="AE113" s="24"/>
      <c r="AF113" s="24"/>
      <c r="AG113" s="24"/>
      <c r="AH113" s="24"/>
      <c r="AI113" s="24"/>
      <c r="AJ113" s="24"/>
      <c r="AK113" s="24"/>
      <c r="AM113" s="26"/>
      <c r="AN113" s="24"/>
      <c r="AO113" s="24"/>
      <c r="AP113" s="24"/>
      <c r="AQ113" s="24"/>
      <c r="AR113" s="24"/>
      <c r="AS113" s="24"/>
      <c r="AT113" s="24"/>
    </row>
    <row r="114" ht="15.75" customHeight="1">
      <c r="F114" s="24"/>
      <c r="G114" s="24"/>
      <c r="H114" s="24"/>
      <c r="I114" s="24"/>
      <c r="J114" s="24"/>
      <c r="K114" s="24"/>
      <c r="L114" s="24"/>
      <c r="M114" s="24"/>
      <c r="N114" s="24"/>
      <c r="O114" s="24"/>
      <c r="P114" s="24"/>
      <c r="Q114" s="24"/>
      <c r="R114" s="24"/>
      <c r="S114" s="24"/>
      <c r="T114" s="24"/>
      <c r="U114" s="24"/>
      <c r="V114" s="24"/>
      <c r="W114" s="24"/>
      <c r="X114" s="24"/>
      <c r="Y114" s="24"/>
      <c r="Z114" s="24"/>
      <c r="AA114" s="24"/>
      <c r="AB114" s="24"/>
      <c r="AC114" s="24"/>
      <c r="AD114" s="24"/>
      <c r="AE114" s="24"/>
      <c r="AF114" s="24"/>
      <c r="AG114" s="24"/>
      <c r="AH114" s="24"/>
      <c r="AI114" s="24"/>
      <c r="AJ114" s="24"/>
      <c r="AK114" s="24"/>
      <c r="AM114" s="26"/>
      <c r="AN114" s="24"/>
      <c r="AO114" s="24"/>
      <c r="AP114" s="24"/>
      <c r="AQ114" s="24"/>
      <c r="AR114" s="24"/>
      <c r="AS114" s="24"/>
      <c r="AT114" s="24"/>
    </row>
    <row r="115" ht="15.75" customHeight="1">
      <c r="F115" s="24"/>
      <c r="G115" s="24"/>
      <c r="H115" s="24"/>
      <c r="I115" s="24"/>
      <c r="J115" s="24"/>
      <c r="K115" s="24"/>
      <c r="L115" s="24"/>
      <c r="M115" s="24"/>
      <c r="N115" s="24"/>
      <c r="O115" s="24"/>
      <c r="P115" s="24"/>
      <c r="Q115" s="24"/>
      <c r="R115" s="24"/>
      <c r="S115" s="24"/>
      <c r="T115" s="24"/>
      <c r="U115" s="24"/>
      <c r="V115" s="24"/>
      <c r="W115" s="24"/>
      <c r="X115" s="24"/>
      <c r="Y115" s="24"/>
      <c r="Z115" s="24"/>
      <c r="AA115" s="24"/>
      <c r="AB115" s="24"/>
      <c r="AC115" s="24"/>
      <c r="AD115" s="24"/>
      <c r="AE115" s="24"/>
      <c r="AF115" s="24"/>
      <c r="AG115" s="24"/>
      <c r="AH115" s="24"/>
      <c r="AI115" s="24"/>
      <c r="AJ115" s="24"/>
      <c r="AK115" s="24"/>
      <c r="AM115" s="26"/>
      <c r="AN115" s="24"/>
      <c r="AO115" s="24"/>
      <c r="AP115" s="24"/>
      <c r="AQ115" s="24"/>
      <c r="AR115" s="24"/>
      <c r="AS115" s="24"/>
      <c r="AT115" s="24"/>
    </row>
    <row r="116" ht="15.75" customHeight="1">
      <c r="F116" s="24"/>
      <c r="G116" s="24"/>
      <c r="H116" s="24"/>
      <c r="I116" s="24"/>
      <c r="J116" s="24"/>
      <c r="K116" s="24"/>
      <c r="L116" s="24"/>
      <c r="M116" s="24"/>
      <c r="N116" s="24"/>
      <c r="O116" s="24"/>
      <c r="P116" s="24"/>
      <c r="Q116" s="24"/>
      <c r="R116" s="24"/>
      <c r="S116" s="24"/>
      <c r="T116" s="24"/>
      <c r="U116" s="24"/>
      <c r="V116" s="24"/>
      <c r="W116" s="24"/>
      <c r="X116" s="24"/>
      <c r="Y116" s="24"/>
      <c r="Z116" s="24"/>
      <c r="AA116" s="24"/>
      <c r="AB116" s="24"/>
      <c r="AC116" s="24"/>
      <c r="AD116" s="24"/>
      <c r="AE116" s="24"/>
      <c r="AF116" s="24"/>
      <c r="AG116" s="24"/>
      <c r="AH116" s="24"/>
      <c r="AI116" s="24"/>
      <c r="AJ116" s="24"/>
      <c r="AK116" s="24"/>
      <c r="AM116" s="26"/>
      <c r="AN116" s="24"/>
      <c r="AO116" s="24"/>
      <c r="AP116" s="24"/>
      <c r="AQ116" s="24"/>
      <c r="AR116" s="24"/>
      <c r="AS116" s="24"/>
      <c r="AT116" s="24"/>
    </row>
    <row r="117" ht="15.75" customHeight="1">
      <c r="F117" s="24"/>
      <c r="G117" s="24"/>
      <c r="H117" s="24"/>
      <c r="I117" s="24"/>
      <c r="J117" s="24"/>
      <c r="K117" s="24"/>
      <c r="L117" s="24"/>
      <c r="M117" s="24"/>
      <c r="N117" s="24"/>
      <c r="O117" s="24"/>
      <c r="P117" s="24"/>
      <c r="Q117" s="24"/>
      <c r="R117" s="24"/>
      <c r="S117" s="24"/>
      <c r="T117" s="24"/>
      <c r="U117" s="24"/>
      <c r="V117" s="24"/>
      <c r="W117" s="24"/>
      <c r="X117" s="24"/>
      <c r="Y117" s="24"/>
      <c r="Z117" s="24"/>
      <c r="AA117" s="24"/>
      <c r="AB117" s="24"/>
      <c r="AC117" s="24"/>
      <c r="AD117" s="24"/>
      <c r="AE117" s="24"/>
      <c r="AF117" s="24"/>
      <c r="AG117" s="24"/>
      <c r="AH117" s="24"/>
      <c r="AI117" s="24"/>
      <c r="AJ117" s="24"/>
      <c r="AK117" s="24"/>
      <c r="AM117" s="26"/>
      <c r="AN117" s="24"/>
      <c r="AO117" s="24"/>
      <c r="AP117" s="24"/>
      <c r="AQ117" s="24"/>
      <c r="AR117" s="24"/>
      <c r="AS117" s="24"/>
      <c r="AT117" s="24"/>
    </row>
    <row r="118" ht="15.75" customHeight="1">
      <c r="F118" s="24"/>
      <c r="G118" s="24"/>
      <c r="H118" s="24"/>
      <c r="I118" s="24"/>
      <c r="J118" s="24"/>
      <c r="K118" s="24"/>
      <c r="L118" s="24"/>
      <c r="M118" s="24"/>
      <c r="N118" s="24"/>
      <c r="O118" s="24"/>
      <c r="P118" s="24"/>
      <c r="Q118" s="24"/>
      <c r="R118" s="24"/>
      <c r="S118" s="24"/>
      <c r="T118" s="24"/>
      <c r="U118" s="24"/>
      <c r="V118" s="24"/>
      <c r="W118" s="24"/>
      <c r="X118" s="24"/>
      <c r="Y118" s="24"/>
      <c r="Z118" s="24"/>
      <c r="AA118" s="24"/>
      <c r="AB118" s="24"/>
      <c r="AC118" s="24"/>
      <c r="AD118" s="24"/>
      <c r="AE118" s="24"/>
      <c r="AF118" s="24"/>
      <c r="AG118" s="24"/>
      <c r="AH118" s="24"/>
      <c r="AI118" s="24"/>
      <c r="AJ118" s="24"/>
      <c r="AK118" s="24"/>
      <c r="AM118" s="26"/>
      <c r="AN118" s="24"/>
      <c r="AO118" s="24"/>
      <c r="AP118" s="24"/>
      <c r="AQ118" s="24"/>
      <c r="AR118" s="24"/>
      <c r="AS118" s="24"/>
      <c r="AT118" s="24"/>
    </row>
    <row r="119" ht="15.75" customHeight="1">
      <c r="F119" s="24"/>
      <c r="G119" s="24"/>
      <c r="H119" s="24"/>
      <c r="I119" s="24"/>
      <c r="J119" s="24"/>
      <c r="K119" s="24"/>
      <c r="L119" s="24"/>
      <c r="M119" s="24"/>
      <c r="N119" s="24"/>
      <c r="O119" s="24"/>
      <c r="P119" s="24"/>
      <c r="Q119" s="24"/>
      <c r="R119" s="24"/>
      <c r="S119" s="24"/>
      <c r="T119" s="24"/>
      <c r="U119" s="24"/>
      <c r="V119" s="24"/>
      <c r="W119" s="24"/>
      <c r="X119" s="24"/>
      <c r="Y119" s="24"/>
      <c r="Z119" s="24"/>
      <c r="AA119" s="24"/>
      <c r="AB119" s="24"/>
      <c r="AC119" s="24"/>
      <c r="AD119" s="24"/>
      <c r="AE119" s="24"/>
      <c r="AF119" s="24"/>
      <c r="AG119" s="24"/>
      <c r="AH119" s="24"/>
      <c r="AI119" s="24"/>
      <c r="AJ119" s="24"/>
      <c r="AK119" s="24"/>
      <c r="AM119" s="26"/>
      <c r="AN119" s="24"/>
      <c r="AO119" s="24"/>
      <c r="AP119" s="24"/>
      <c r="AQ119" s="24"/>
      <c r="AR119" s="24"/>
      <c r="AS119" s="24"/>
      <c r="AT119" s="24"/>
    </row>
    <row r="120" ht="15.75" customHeight="1">
      <c r="F120" s="24"/>
      <c r="G120" s="24"/>
      <c r="H120" s="24"/>
      <c r="I120" s="24"/>
      <c r="J120" s="24"/>
      <c r="K120" s="24"/>
      <c r="L120" s="24"/>
      <c r="M120" s="24"/>
      <c r="N120" s="24"/>
      <c r="O120" s="24"/>
      <c r="P120" s="24"/>
      <c r="Q120" s="24"/>
      <c r="R120" s="24"/>
      <c r="S120" s="24"/>
      <c r="T120" s="24"/>
      <c r="U120" s="24"/>
      <c r="V120" s="24"/>
      <c r="W120" s="24"/>
      <c r="X120" s="24"/>
      <c r="Y120" s="24"/>
      <c r="Z120" s="24"/>
      <c r="AA120" s="24"/>
      <c r="AB120" s="24"/>
      <c r="AC120" s="24"/>
      <c r="AD120" s="24"/>
      <c r="AE120" s="24"/>
      <c r="AF120" s="24"/>
      <c r="AG120" s="24"/>
      <c r="AH120" s="24"/>
      <c r="AI120" s="24"/>
      <c r="AJ120" s="24"/>
      <c r="AK120" s="24"/>
      <c r="AM120" s="26"/>
      <c r="AN120" s="24"/>
      <c r="AO120" s="24"/>
      <c r="AP120" s="24"/>
      <c r="AQ120" s="24"/>
      <c r="AR120" s="24"/>
      <c r="AS120" s="24"/>
      <c r="AT120" s="24"/>
    </row>
    <row r="121" ht="15.75" customHeight="1">
      <c r="F121" s="24"/>
      <c r="G121" s="24"/>
      <c r="H121" s="24"/>
      <c r="I121" s="24"/>
      <c r="J121" s="24"/>
      <c r="K121" s="24"/>
      <c r="L121" s="24"/>
      <c r="M121" s="24"/>
      <c r="N121" s="24"/>
      <c r="O121" s="24"/>
      <c r="P121" s="24"/>
      <c r="Q121" s="24"/>
      <c r="R121" s="24"/>
      <c r="S121" s="24"/>
      <c r="T121" s="24"/>
      <c r="U121" s="24"/>
      <c r="V121" s="24"/>
      <c r="W121" s="24"/>
      <c r="X121" s="24"/>
      <c r="Y121" s="24"/>
      <c r="Z121" s="24"/>
      <c r="AA121" s="24"/>
      <c r="AB121" s="24"/>
      <c r="AC121" s="24"/>
      <c r="AD121" s="24"/>
      <c r="AE121" s="24"/>
      <c r="AF121" s="24"/>
      <c r="AG121" s="24"/>
      <c r="AH121" s="24"/>
      <c r="AI121" s="24"/>
      <c r="AJ121" s="24"/>
      <c r="AK121" s="24"/>
      <c r="AM121" s="26"/>
      <c r="AN121" s="24"/>
      <c r="AO121" s="24"/>
      <c r="AP121" s="24"/>
      <c r="AQ121" s="24"/>
      <c r="AR121" s="24"/>
      <c r="AS121" s="24"/>
      <c r="AT121" s="24"/>
    </row>
    <row r="122" ht="15.75" customHeight="1">
      <c r="F122" s="24"/>
      <c r="G122" s="24"/>
      <c r="H122" s="24"/>
      <c r="I122" s="24"/>
      <c r="J122" s="24"/>
      <c r="K122" s="24"/>
      <c r="L122" s="24"/>
      <c r="M122" s="24"/>
      <c r="N122" s="24"/>
      <c r="O122" s="24"/>
      <c r="P122" s="24"/>
      <c r="Q122" s="24"/>
      <c r="R122" s="24"/>
      <c r="S122" s="24"/>
      <c r="T122" s="24"/>
      <c r="U122" s="24"/>
      <c r="V122" s="24"/>
      <c r="W122" s="24"/>
      <c r="X122" s="24"/>
      <c r="Y122" s="24"/>
      <c r="Z122" s="24"/>
      <c r="AA122" s="24"/>
      <c r="AB122" s="24"/>
      <c r="AC122" s="24"/>
      <c r="AD122" s="24"/>
      <c r="AE122" s="24"/>
      <c r="AF122" s="24"/>
      <c r="AG122" s="24"/>
      <c r="AH122" s="24"/>
      <c r="AI122" s="24"/>
      <c r="AJ122" s="24"/>
      <c r="AK122" s="24"/>
      <c r="AM122" s="26"/>
      <c r="AN122" s="24"/>
      <c r="AO122" s="24"/>
      <c r="AP122" s="24"/>
      <c r="AQ122" s="24"/>
      <c r="AR122" s="24"/>
      <c r="AS122" s="24"/>
      <c r="AT122" s="24"/>
    </row>
    <row r="123" ht="15.75" customHeight="1">
      <c r="F123" s="24"/>
      <c r="G123" s="24"/>
      <c r="H123" s="24"/>
      <c r="I123" s="24"/>
      <c r="J123" s="24"/>
      <c r="K123" s="24"/>
      <c r="L123" s="24"/>
      <c r="M123" s="24"/>
      <c r="N123" s="24"/>
      <c r="O123" s="24"/>
      <c r="P123" s="24"/>
      <c r="Q123" s="24"/>
      <c r="R123" s="24"/>
      <c r="S123" s="24"/>
      <c r="T123" s="24"/>
      <c r="U123" s="24"/>
      <c r="V123" s="24"/>
      <c r="W123" s="24"/>
      <c r="X123" s="24"/>
      <c r="Y123" s="24"/>
      <c r="Z123" s="24"/>
      <c r="AA123" s="24"/>
      <c r="AB123" s="24"/>
      <c r="AC123" s="24"/>
      <c r="AD123" s="24"/>
      <c r="AE123" s="24"/>
      <c r="AF123" s="24"/>
      <c r="AG123" s="24"/>
      <c r="AH123" s="24"/>
      <c r="AI123" s="24"/>
      <c r="AJ123" s="24"/>
      <c r="AK123" s="24"/>
      <c r="AM123" s="26"/>
      <c r="AN123" s="24"/>
      <c r="AO123" s="24"/>
      <c r="AP123" s="24"/>
      <c r="AQ123" s="24"/>
      <c r="AR123" s="24"/>
      <c r="AS123" s="24"/>
      <c r="AT123" s="24"/>
    </row>
    <row r="124" ht="15.75" customHeight="1">
      <c r="F124" s="24"/>
      <c r="G124" s="24"/>
      <c r="H124" s="24"/>
      <c r="I124" s="24"/>
      <c r="J124" s="24"/>
      <c r="K124" s="24"/>
      <c r="L124" s="24"/>
      <c r="M124" s="24"/>
      <c r="N124" s="24"/>
      <c r="O124" s="24"/>
      <c r="P124" s="24"/>
      <c r="Q124" s="24"/>
      <c r="R124" s="24"/>
      <c r="S124" s="24"/>
      <c r="T124" s="24"/>
      <c r="U124" s="24"/>
      <c r="V124" s="24"/>
      <c r="W124" s="24"/>
      <c r="X124" s="24"/>
      <c r="Y124" s="24"/>
      <c r="Z124" s="24"/>
      <c r="AA124" s="24"/>
      <c r="AB124" s="24"/>
      <c r="AC124" s="24"/>
      <c r="AD124" s="24"/>
      <c r="AE124" s="24"/>
      <c r="AF124" s="24"/>
      <c r="AG124" s="24"/>
      <c r="AH124" s="24"/>
      <c r="AI124" s="24"/>
      <c r="AJ124" s="24"/>
      <c r="AK124" s="24"/>
      <c r="AM124" s="26"/>
      <c r="AN124" s="24"/>
      <c r="AO124" s="24"/>
      <c r="AP124" s="24"/>
      <c r="AQ124" s="24"/>
      <c r="AR124" s="24"/>
      <c r="AS124" s="24"/>
      <c r="AT124" s="24"/>
    </row>
    <row r="125" ht="15.75" customHeight="1">
      <c r="F125" s="24"/>
      <c r="G125" s="24"/>
      <c r="H125" s="24"/>
      <c r="I125" s="24"/>
      <c r="J125" s="24"/>
      <c r="K125" s="24"/>
      <c r="L125" s="24"/>
      <c r="M125" s="24"/>
      <c r="N125" s="24"/>
      <c r="O125" s="24"/>
      <c r="P125" s="24"/>
      <c r="Q125" s="24"/>
      <c r="R125" s="24"/>
      <c r="S125" s="24"/>
      <c r="T125" s="24"/>
      <c r="U125" s="24"/>
      <c r="V125" s="24"/>
      <c r="W125" s="24"/>
      <c r="X125" s="24"/>
      <c r="Y125" s="24"/>
      <c r="Z125" s="24"/>
      <c r="AA125" s="24"/>
      <c r="AB125" s="24"/>
      <c r="AC125" s="24"/>
      <c r="AD125" s="24"/>
      <c r="AE125" s="24"/>
      <c r="AF125" s="24"/>
      <c r="AG125" s="24"/>
      <c r="AH125" s="24"/>
      <c r="AI125" s="24"/>
      <c r="AJ125" s="24"/>
      <c r="AK125" s="24"/>
      <c r="AM125" s="26"/>
      <c r="AN125" s="24"/>
      <c r="AO125" s="24"/>
      <c r="AP125" s="24"/>
      <c r="AQ125" s="24"/>
      <c r="AR125" s="24"/>
      <c r="AS125" s="24"/>
      <c r="AT125" s="24"/>
    </row>
    <row r="126" ht="15.75" customHeight="1">
      <c r="F126" s="24"/>
      <c r="G126" s="24"/>
      <c r="H126" s="24"/>
      <c r="I126" s="24"/>
      <c r="J126" s="24"/>
      <c r="K126" s="24"/>
      <c r="L126" s="24"/>
      <c r="M126" s="24"/>
      <c r="N126" s="24"/>
      <c r="O126" s="24"/>
      <c r="P126" s="24"/>
      <c r="Q126" s="24"/>
      <c r="R126" s="24"/>
      <c r="S126" s="24"/>
      <c r="T126" s="24"/>
      <c r="U126" s="24"/>
      <c r="V126" s="24"/>
      <c r="W126" s="24"/>
      <c r="X126" s="24"/>
      <c r="Y126" s="24"/>
      <c r="Z126" s="24"/>
      <c r="AA126" s="24"/>
      <c r="AB126" s="24"/>
      <c r="AC126" s="24"/>
      <c r="AD126" s="24"/>
      <c r="AE126" s="24"/>
      <c r="AF126" s="24"/>
      <c r="AG126" s="24"/>
      <c r="AH126" s="24"/>
      <c r="AI126" s="24"/>
      <c r="AJ126" s="24"/>
      <c r="AK126" s="24"/>
      <c r="AM126" s="26"/>
      <c r="AN126" s="24"/>
      <c r="AO126" s="24"/>
      <c r="AP126" s="24"/>
      <c r="AQ126" s="24"/>
      <c r="AR126" s="24"/>
      <c r="AS126" s="24"/>
      <c r="AT126" s="24"/>
    </row>
    <row r="127" ht="15.75" customHeight="1">
      <c r="F127" s="24"/>
      <c r="G127" s="24"/>
      <c r="H127" s="24"/>
      <c r="I127" s="24"/>
      <c r="J127" s="24"/>
      <c r="K127" s="24"/>
      <c r="L127" s="24"/>
      <c r="M127" s="24"/>
      <c r="N127" s="24"/>
      <c r="O127" s="24"/>
      <c r="P127" s="24"/>
      <c r="Q127" s="24"/>
      <c r="R127" s="24"/>
      <c r="S127" s="24"/>
      <c r="T127" s="24"/>
      <c r="U127" s="24"/>
      <c r="V127" s="24"/>
      <c r="W127" s="24"/>
      <c r="X127" s="24"/>
      <c r="Y127" s="24"/>
      <c r="Z127" s="24"/>
      <c r="AA127" s="24"/>
      <c r="AB127" s="24"/>
      <c r="AC127" s="24"/>
      <c r="AD127" s="24"/>
      <c r="AE127" s="24"/>
      <c r="AF127" s="24"/>
      <c r="AG127" s="24"/>
      <c r="AH127" s="24"/>
      <c r="AI127" s="24"/>
      <c r="AJ127" s="24"/>
      <c r="AK127" s="24"/>
      <c r="AM127" s="26"/>
      <c r="AN127" s="24"/>
      <c r="AO127" s="24"/>
      <c r="AP127" s="24"/>
      <c r="AQ127" s="24"/>
      <c r="AR127" s="24"/>
      <c r="AS127" s="24"/>
      <c r="AT127" s="24"/>
    </row>
    <row r="128" ht="15.75" customHeight="1">
      <c r="F128" s="24"/>
      <c r="G128" s="24"/>
      <c r="H128" s="24"/>
      <c r="I128" s="24"/>
      <c r="J128" s="24"/>
      <c r="K128" s="24"/>
      <c r="L128" s="24"/>
      <c r="M128" s="24"/>
      <c r="N128" s="24"/>
      <c r="O128" s="24"/>
      <c r="P128" s="24"/>
      <c r="Q128" s="24"/>
      <c r="R128" s="24"/>
      <c r="S128" s="24"/>
      <c r="T128" s="24"/>
      <c r="U128" s="24"/>
      <c r="V128" s="24"/>
      <c r="W128" s="24"/>
      <c r="X128" s="24"/>
      <c r="Y128" s="24"/>
      <c r="Z128" s="24"/>
      <c r="AA128" s="24"/>
      <c r="AB128" s="24"/>
      <c r="AC128" s="24"/>
      <c r="AD128" s="24"/>
      <c r="AE128" s="24"/>
      <c r="AF128" s="24"/>
      <c r="AG128" s="24"/>
      <c r="AH128" s="24"/>
      <c r="AI128" s="24"/>
      <c r="AJ128" s="24"/>
      <c r="AK128" s="24"/>
      <c r="AM128" s="26"/>
      <c r="AN128" s="24"/>
      <c r="AO128" s="24"/>
      <c r="AP128" s="24"/>
      <c r="AQ128" s="24"/>
      <c r="AR128" s="24"/>
      <c r="AS128" s="24"/>
      <c r="AT128" s="24"/>
    </row>
    <row r="129" ht="15.75" customHeight="1">
      <c r="F129" s="24"/>
      <c r="G129" s="24"/>
      <c r="H129" s="24"/>
      <c r="I129" s="24"/>
      <c r="J129" s="24"/>
      <c r="K129" s="24"/>
      <c r="L129" s="24"/>
      <c r="M129" s="24"/>
      <c r="N129" s="24"/>
      <c r="O129" s="24"/>
      <c r="P129" s="24"/>
      <c r="Q129" s="24"/>
      <c r="R129" s="24"/>
      <c r="S129" s="24"/>
      <c r="T129" s="24"/>
      <c r="U129" s="24"/>
      <c r="V129" s="24"/>
      <c r="W129" s="24"/>
      <c r="X129" s="24"/>
      <c r="Y129" s="24"/>
      <c r="Z129" s="24"/>
      <c r="AA129" s="24"/>
      <c r="AB129" s="24"/>
      <c r="AC129" s="24"/>
      <c r="AD129" s="24"/>
      <c r="AE129" s="24"/>
      <c r="AF129" s="24"/>
      <c r="AG129" s="24"/>
      <c r="AH129" s="24"/>
      <c r="AI129" s="24"/>
      <c r="AJ129" s="24"/>
      <c r="AK129" s="24"/>
      <c r="AM129" s="26"/>
      <c r="AN129" s="24"/>
      <c r="AO129" s="24"/>
      <c r="AP129" s="24"/>
      <c r="AQ129" s="24"/>
      <c r="AR129" s="24"/>
      <c r="AS129" s="24"/>
      <c r="AT129" s="24"/>
    </row>
    <row r="130" ht="15.75" customHeight="1">
      <c r="F130" s="24"/>
      <c r="G130" s="24"/>
      <c r="H130" s="24"/>
      <c r="I130" s="24"/>
      <c r="J130" s="24"/>
      <c r="K130" s="24"/>
      <c r="L130" s="24"/>
      <c r="M130" s="24"/>
      <c r="N130" s="24"/>
      <c r="O130" s="24"/>
      <c r="P130" s="24"/>
      <c r="Q130" s="24"/>
      <c r="R130" s="24"/>
      <c r="S130" s="24"/>
      <c r="T130" s="24"/>
      <c r="U130" s="24"/>
      <c r="V130" s="24"/>
      <c r="W130" s="24"/>
      <c r="X130" s="24"/>
      <c r="Y130" s="24"/>
      <c r="Z130" s="24"/>
      <c r="AA130" s="24"/>
      <c r="AB130" s="24"/>
      <c r="AC130" s="24"/>
      <c r="AD130" s="24"/>
      <c r="AE130" s="24"/>
      <c r="AF130" s="24"/>
      <c r="AG130" s="24"/>
      <c r="AH130" s="24"/>
      <c r="AI130" s="24"/>
      <c r="AJ130" s="24"/>
      <c r="AK130" s="24"/>
      <c r="AM130" s="26"/>
      <c r="AN130" s="24"/>
      <c r="AO130" s="24"/>
      <c r="AP130" s="24"/>
      <c r="AQ130" s="24"/>
      <c r="AR130" s="24"/>
      <c r="AS130" s="24"/>
      <c r="AT130" s="24"/>
    </row>
    <row r="131" ht="15.75" customHeight="1">
      <c r="F131" s="24"/>
      <c r="G131" s="24"/>
      <c r="H131" s="24"/>
      <c r="I131" s="24"/>
      <c r="J131" s="24"/>
      <c r="K131" s="24"/>
      <c r="L131" s="24"/>
      <c r="M131" s="24"/>
      <c r="N131" s="24"/>
      <c r="O131" s="24"/>
      <c r="P131" s="24"/>
      <c r="Q131" s="24"/>
      <c r="R131" s="24"/>
      <c r="S131" s="24"/>
      <c r="T131" s="24"/>
      <c r="U131" s="24"/>
      <c r="V131" s="24"/>
      <c r="W131" s="24"/>
      <c r="X131" s="24"/>
      <c r="Y131" s="24"/>
      <c r="Z131" s="24"/>
      <c r="AA131" s="24"/>
      <c r="AB131" s="24"/>
      <c r="AC131" s="24"/>
      <c r="AD131" s="24"/>
      <c r="AE131" s="24"/>
      <c r="AF131" s="24"/>
      <c r="AG131" s="24"/>
      <c r="AH131" s="24"/>
      <c r="AI131" s="24"/>
      <c r="AJ131" s="24"/>
      <c r="AK131" s="24"/>
      <c r="AM131" s="26"/>
      <c r="AN131" s="24"/>
      <c r="AO131" s="24"/>
      <c r="AP131" s="24"/>
      <c r="AQ131" s="24"/>
      <c r="AR131" s="24"/>
      <c r="AS131" s="24"/>
      <c r="AT131" s="24"/>
    </row>
    <row r="132" ht="15.75" customHeight="1">
      <c r="F132" s="24"/>
      <c r="G132" s="24"/>
      <c r="H132" s="24"/>
      <c r="I132" s="24"/>
      <c r="J132" s="24"/>
      <c r="K132" s="24"/>
      <c r="L132" s="24"/>
      <c r="M132" s="24"/>
      <c r="N132" s="24"/>
      <c r="O132" s="24"/>
      <c r="P132" s="24"/>
      <c r="Q132" s="24"/>
      <c r="R132" s="24"/>
      <c r="S132" s="24"/>
      <c r="T132" s="24"/>
      <c r="U132" s="24"/>
      <c r="V132" s="24"/>
      <c r="W132" s="24"/>
      <c r="X132" s="24"/>
      <c r="Y132" s="24"/>
      <c r="Z132" s="24"/>
      <c r="AA132" s="24"/>
      <c r="AB132" s="24"/>
      <c r="AC132" s="24"/>
      <c r="AD132" s="24"/>
      <c r="AE132" s="24"/>
      <c r="AF132" s="24"/>
      <c r="AG132" s="24"/>
      <c r="AH132" s="24"/>
      <c r="AI132" s="24"/>
      <c r="AJ132" s="24"/>
      <c r="AK132" s="24"/>
      <c r="AM132" s="26"/>
      <c r="AN132" s="24"/>
      <c r="AO132" s="24"/>
      <c r="AP132" s="24"/>
      <c r="AQ132" s="24"/>
      <c r="AR132" s="24"/>
      <c r="AS132" s="24"/>
      <c r="AT132" s="24"/>
    </row>
    <row r="133" ht="15.75" customHeight="1">
      <c r="F133" s="24"/>
      <c r="G133" s="24"/>
      <c r="H133" s="24"/>
      <c r="I133" s="24"/>
      <c r="J133" s="24"/>
      <c r="K133" s="24"/>
      <c r="L133" s="24"/>
      <c r="M133" s="24"/>
      <c r="N133" s="24"/>
      <c r="O133" s="24"/>
      <c r="P133" s="24"/>
      <c r="Q133" s="24"/>
      <c r="R133" s="24"/>
      <c r="S133" s="24"/>
      <c r="T133" s="24"/>
      <c r="U133" s="24"/>
      <c r="V133" s="24"/>
      <c r="W133" s="24"/>
      <c r="X133" s="24"/>
      <c r="Y133" s="24"/>
      <c r="Z133" s="24"/>
      <c r="AA133" s="24"/>
      <c r="AB133" s="24"/>
      <c r="AC133" s="24"/>
      <c r="AD133" s="24"/>
      <c r="AE133" s="24"/>
      <c r="AF133" s="24"/>
      <c r="AG133" s="24"/>
      <c r="AH133" s="24"/>
      <c r="AI133" s="24"/>
      <c r="AJ133" s="24"/>
      <c r="AK133" s="24"/>
      <c r="AM133" s="26"/>
      <c r="AN133" s="24"/>
      <c r="AO133" s="24"/>
      <c r="AP133" s="24"/>
      <c r="AQ133" s="24"/>
      <c r="AR133" s="24"/>
      <c r="AS133" s="24"/>
      <c r="AT133" s="24"/>
    </row>
    <row r="134" ht="15.75" customHeight="1">
      <c r="F134" s="24"/>
      <c r="G134" s="24"/>
      <c r="H134" s="24"/>
      <c r="I134" s="24"/>
      <c r="J134" s="24"/>
      <c r="K134" s="24"/>
      <c r="L134" s="24"/>
      <c r="M134" s="24"/>
      <c r="N134" s="24"/>
      <c r="O134" s="24"/>
      <c r="P134" s="24"/>
      <c r="Q134" s="24"/>
      <c r="R134" s="24"/>
      <c r="S134" s="24"/>
      <c r="T134" s="24"/>
      <c r="U134" s="24"/>
      <c r="V134" s="24"/>
      <c r="W134" s="24"/>
      <c r="X134" s="24"/>
      <c r="Y134" s="24"/>
      <c r="Z134" s="24"/>
      <c r="AA134" s="24"/>
      <c r="AB134" s="24"/>
      <c r="AC134" s="24"/>
      <c r="AD134" s="24"/>
      <c r="AE134" s="24"/>
      <c r="AF134" s="24"/>
      <c r="AG134" s="24"/>
      <c r="AH134" s="24"/>
      <c r="AI134" s="24"/>
      <c r="AJ134" s="24"/>
      <c r="AK134" s="24"/>
      <c r="AM134" s="26"/>
      <c r="AN134" s="24"/>
      <c r="AO134" s="24"/>
      <c r="AP134" s="24"/>
      <c r="AQ134" s="24"/>
      <c r="AR134" s="24"/>
      <c r="AS134" s="24"/>
      <c r="AT134" s="24"/>
    </row>
    <row r="135" ht="15.75" customHeight="1">
      <c r="F135" s="24"/>
      <c r="G135" s="24"/>
      <c r="H135" s="24"/>
      <c r="I135" s="24"/>
      <c r="J135" s="24"/>
      <c r="K135" s="24"/>
      <c r="L135" s="24"/>
      <c r="M135" s="24"/>
      <c r="N135" s="24"/>
      <c r="O135" s="24"/>
      <c r="P135" s="24"/>
      <c r="Q135" s="24"/>
      <c r="R135" s="24"/>
      <c r="S135" s="24"/>
      <c r="T135" s="24"/>
      <c r="U135" s="24"/>
      <c r="V135" s="24"/>
      <c r="W135" s="24"/>
      <c r="X135" s="24"/>
      <c r="Y135" s="24"/>
      <c r="Z135" s="24"/>
      <c r="AA135" s="24"/>
      <c r="AB135" s="24"/>
      <c r="AC135" s="24"/>
      <c r="AD135" s="24"/>
      <c r="AE135" s="24"/>
      <c r="AF135" s="24"/>
      <c r="AG135" s="24"/>
      <c r="AH135" s="24"/>
      <c r="AI135" s="24"/>
      <c r="AJ135" s="24"/>
      <c r="AK135" s="24"/>
      <c r="AM135" s="26"/>
      <c r="AN135" s="24"/>
      <c r="AO135" s="24"/>
      <c r="AP135" s="24"/>
      <c r="AQ135" s="24"/>
      <c r="AR135" s="24"/>
      <c r="AS135" s="24"/>
      <c r="AT135" s="24"/>
    </row>
    <row r="136" ht="15.75" customHeight="1">
      <c r="F136" s="24"/>
      <c r="G136" s="24"/>
      <c r="H136" s="24"/>
      <c r="I136" s="24"/>
      <c r="J136" s="24"/>
      <c r="K136" s="24"/>
      <c r="L136" s="24"/>
      <c r="M136" s="24"/>
      <c r="N136" s="24"/>
      <c r="O136" s="24"/>
      <c r="P136" s="24"/>
      <c r="Q136" s="24"/>
      <c r="R136" s="24"/>
      <c r="S136" s="24"/>
      <c r="T136" s="24"/>
      <c r="U136" s="24"/>
      <c r="V136" s="24"/>
      <c r="W136" s="24"/>
      <c r="X136" s="24"/>
      <c r="Y136" s="24"/>
      <c r="Z136" s="24"/>
      <c r="AA136" s="24"/>
      <c r="AB136" s="24"/>
      <c r="AC136" s="24"/>
      <c r="AD136" s="24"/>
      <c r="AE136" s="24"/>
      <c r="AF136" s="24"/>
      <c r="AG136" s="24"/>
      <c r="AH136" s="24"/>
      <c r="AI136" s="24"/>
      <c r="AJ136" s="24"/>
      <c r="AK136" s="24"/>
      <c r="AM136" s="26"/>
      <c r="AN136" s="24"/>
      <c r="AO136" s="24"/>
      <c r="AP136" s="24"/>
      <c r="AQ136" s="24"/>
      <c r="AR136" s="24"/>
      <c r="AS136" s="24"/>
      <c r="AT136" s="24"/>
    </row>
    <row r="137" ht="15.75" customHeight="1">
      <c r="F137" s="24"/>
      <c r="G137" s="24"/>
      <c r="H137" s="24"/>
      <c r="I137" s="24"/>
      <c r="J137" s="24"/>
      <c r="K137" s="24"/>
      <c r="L137" s="24"/>
      <c r="M137" s="24"/>
      <c r="N137" s="24"/>
      <c r="O137" s="24"/>
      <c r="P137" s="24"/>
      <c r="Q137" s="24"/>
      <c r="R137" s="24"/>
      <c r="S137" s="24"/>
      <c r="T137" s="24"/>
      <c r="U137" s="24"/>
      <c r="V137" s="24"/>
      <c r="W137" s="24"/>
      <c r="X137" s="24"/>
      <c r="Y137" s="24"/>
      <c r="Z137" s="24"/>
      <c r="AA137" s="24"/>
      <c r="AB137" s="24"/>
      <c r="AC137" s="24"/>
      <c r="AD137" s="24"/>
      <c r="AE137" s="24"/>
      <c r="AF137" s="24"/>
      <c r="AG137" s="24"/>
      <c r="AH137" s="24"/>
      <c r="AI137" s="24"/>
      <c r="AJ137" s="24"/>
      <c r="AK137" s="24"/>
      <c r="AM137" s="26"/>
      <c r="AN137" s="24"/>
      <c r="AO137" s="24"/>
      <c r="AP137" s="24"/>
      <c r="AQ137" s="24"/>
      <c r="AR137" s="24"/>
      <c r="AS137" s="24"/>
      <c r="AT137" s="24"/>
    </row>
    <row r="138" ht="15.75" customHeight="1">
      <c r="F138" s="24"/>
      <c r="G138" s="24"/>
      <c r="H138" s="24"/>
      <c r="I138" s="24"/>
      <c r="J138" s="24"/>
      <c r="K138" s="24"/>
      <c r="L138" s="24"/>
      <c r="M138" s="24"/>
      <c r="N138" s="24"/>
      <c r="O138" s="24"/>
      <c r="P138" s="24"/>
      <c r="Q138" s="24"/>
      <c r="R138" s="24"/>
      <c r="S138" s="24"/>
      <c r="T138" s="24"/>
      <c r="U138" s="24"/>
      <c r="V138" s="24"/>
      <c r="W138" s="24"/>
      <c r="X138" s="24"/>
      <c r="Y138" s="24"/>
      <c r="Z138" s="24"/>
      <c r="AA138" s="24"/>
      <c r="AB138" s="24"/>
      <c r="AC138" s="24"/>
      <c r="AD138" s="24"/>
      <c r="AE138" s="24"/>
      <c r="AF138" s="24"/>
      <c r="AG138" s="24"/>
      <c r="AH138" s="24"/>
      <c r="AI138" s="24"/>
      <c r="AJ138" s="24"/>
      <c r="AK138" s="24"/>
      <c r="AM138" s="26"/>
      <c r="AN138" s="24"/>
      <c r="AO138" s="24"/>
      <c r="AP138" s="24"/>
      <c r="AQ138" s="24"/>
      <c r="AR138" s="24"/>
      <c r="AS138" s="24"/>
      <c r="AT138" s="24"/>
    </row>
    <row r="139" ht="15.75" customHeight="1">
      <c r="F139" s="24"/>
      <c r="G139" s="24"/>
      <c r="H139" s="24"/>
      <c r="I139" s="24"/>
      <c r="J139" s="24"/>
      <c r="K139" s="24"/>
      <c r="L139" s="24"/>
      <c r="M139" s="24"/>
      <c r="N139" s="24"/>
      <c r="O139" s="24"/>
      <c r="P139" s="24"/>
      <c r="Q139" s="24"/>
      <c r="R139" s="24"/>
      <c r="S139" s="24"/>
      <c r="T139" s="24"/>
      <c r="U139" s="24"/>
      <c r="V139" s="24"/>
      <c r="W139" s="24"/>
      <c r="X139" s="24"/>
      <c r="Y139" s="24"/>
      <c r="Z139" s="24"/>
      <c r="AA139" s="24"/>
      <c r="AB139" s="24"/>
      <c r="AC139" s="24"/>
      <c r="AD139" s="24"/>
      <c r="AE139" s="24"/>
      <c r="AF139" s="24"/>
      <c r="AG139" s="24"/>
      <c r="AH139" s="24"/>
      <c r="AI139" s="24"/>
      <c r="AJ139" s="24"/>
      <c r="AK139" s="24"/>
      <c r="AM139" s="26"/>
      <c r="AN139" s="24"/>
      <c r="AO139" s="24"/>
      <c r="AP139" s="24"/>
      <c r="AQ139" s="24"/>
      <c r="AR139" s="24"/>
      <c r="AS139" s="24"/>
      <c r="AT139" s="24"/>
    </row>
    <row r="140" ht="15.75" customHeight="1">
      <c r="F140" s="24"/>
      <c r="G140" s="24"/>
      <c r="H140" s="24"/>
      <c r="I140" s="24"/>
      <c r="J140" s="24"/>
      <c r="K140" s="24"/>
      <c r="L140" s="24"/>
      <c r="M140" s="24"/>
      <c r="N140" s="24"/>
      <c r="O140" s="24"/>
      <c r="P140" s="24"/>
      <c r="Q140" s="24"/>
      <c r="R140" s="24"/>
      <c r="S140" s="24"/>
      <c r="T140" s="24"/>
      <c r="U140" s="24"/>
      <c r="V140" s="24"/>
      <c r="W140" s="24"/>
      <c r="X140" s="24"/>
      <c r="Y140" s="24"/>
      <c r="Z140" s="24"/>
      <c r="AA140" s="24"/>
      <c r="AB140" s="24"/>
      <c r="AC140" s="24"/>
      <c r="AD140" s="24"/>
      <c r="AE140" s="24"/>
      <c r="AF140" s="24"/>
      <c r="AG140" s="24"/>
      <c r="AH140" s="24"/>
      <c r="AI140" s="24"/>
      <c r="AJ140" s="24"/>
      <c r="AK140" s="24"/>
      <c r="AM140" s="26"/>
      <c r="AN140" s="24"/>
      <c r="AO140" s="24"/>
      <c r="AP140" s="24"/>
      <c r="AQ140" s="24"/>
      <c r="AR140" s="24"/>
      <c r="AS140" s="24"/>
      <c r="AT140" s="24"/>
    </row>
    <row r="141" ht="15.75" customHeight="1">
      <c r="F141" s="24"/>
      <c r="G141" s="24"/>
      <c r="H141" s="24"/>
      <c r="I141" s="24"/>
      <c r="J141" s="24"/>
      <c r="K141" s="24"/>
      <c r="L141" s="24"/>
      <c r="M141" s="24"/>
      <c r="N141" s="24"/>
      <c r="O141" s="24"/>
      <c r="P141" s="24"/>
      <c r="Q141" s="24"/>
      <c r="R141" s="24"/>
      <c r="S141" s="24"/>
      <c r="T141" s="24"/>
      <c r="U141" s="24"/>
      <c r="V141" s="24"/>
      <c r="W141" s="24"/>
      <c r="X141" s="24"/>
      <c r="Y141" s="24"/>
      <c r="Z141" s="24"/>
      <c r="AA141" s="24"/>
      <c r="AB141" s="24"/>
      <c r="AC141" s="24"/>
      <c r="AD141" s="24"/>
      <c r="AE141" s="24"/>
      <c r="AF141" s="24"/>
      <c r="AG141" s="24"/>
      <c r="AH141" s="24"/>
      <c r="AI141" s="24"/>
      <c r="AJ141" s="24"/>
      <c r="AK141" s="24"/>
      <c r="AM141" s="26"/>
      <c r="AN141" s="24"/>
      <c r="AO141" s="24"/>
      <c r="AP141" s="24"/>
      <c r="AQ141" s="24"/>
      <c r="AR141" s="24"/>
      <c r="AS141" s="24"/>
      <c r="AT141" s="24"/>
    </row>
    <row r="142" ht="15.75" customHeight="1">
      <c r="F142" s="24"/>
      <c r="G142" s="24"/>
      <c r="H142" s="24"/>
      <c r="I142" s="24"/>
      <c r="J142" s="24"/>
      <c r="K142" s="24"/>
      <c r="L142" s="24"/>
      <c r="M142" s="24"/>
      <c r="N142" s="24"/>
      <c r="O142" s="24"/>
      <c r="P142" s="24"/>
      <c r="Q142" s="24"/>
      <c r="R142" s="24"/>
      <c r="S142" s="24"/>
      <c r="T142" s="24"/>
      <c r="U142" s="24"/>
      <c r="V142" s="24"/>
      <c r="W142" s="24"/>
      <c r="X142" s="24"/>
      <c r="Y142" s="24"/>
      <c r="Z142" s="24"/>
      <c r="AA142" s="24"/>
      <c r="AB142" s="24"/>
      <c r="AC142" s="24"/>
      <c r="AD142" s="24"/>
      <c r="AE142" s="24"/>
      <c r="AF142" s="24"/>
      <c r="AG142" s="24"/>
      <c r="AH142" s="24"/>
      <c r="AI142" s="24"/>
      <c r="AJ142" s="24"/>
      <c r="AK142" s="24"/>
      <c r="AM142" s="26"/>
      <c r="AN142" s="24"/>
      <c r="AO142" s="24"/>
      <c r="AP142" s="24"/>
      <c r="AQ142" s="24"/>
      <c r="AR142" s="24"/>
      <c r="AS142" s="24"/>
      <c r="AT142" s="24"/>
    </row>
    <row r="143" ht="15.75" customHeight="1">
      <c r="F143" s="24"/>
      <c r="G143" s="24"/>
      <c r="H143" s="24"/>
      <c r="I143" s="24"/>
      <c r="J143" s="24"/>
      <c r="K143" s="24"/>
      <c r="L143" s="24"/>
      <c r="M143" s="24"/>
      <c r="N143" s="24"/>
      <c r="O143" s="24"/>
      <c r="P143" s="24"/>
      <c r="Q143" s="24"/>
      <c r="R143" s="24"/>
      <c r="S143" s="24"/>
      <c r="T143" s="24"/>
      <c r="U143" s="24"/>
      <c r="V143" s="24"/>
      <c r="W143" s="24"/>
      <c r="X143" s="24"/>
      <c r="Y143" s="24"/>
      <c r="Z143" s="24"/>
      <c r="AA143" s="24"/>
      <c r="AB143" s="24"/>
      <c r="AC143" s="24"/>
      <c r="AD143" s="24"/>
      <c r="AE143" s="24"/>
      <c r="AF143" s="24"/>
      <c r="AG143" s="24"/>
      <c r="AH143" s="24"/>
      <c r="AI143" s="24"/>
      <c r="AJ143" s="24"/>
      <c r="AK143" s="24"/>
      <c r="AM143" s="26"/>
      <c r="AN143" s="24"/>
      <c r="AO143" s="24"/>
      <c r="AP143" s="24"/>
      <c r="AQ143" s="24"/>
      <c r="AR143" s="24"/>
      <c r="AS143" s="24"/>
      <c r="AT143" s="24"/>
    </row>
    <row r="144" ht="15.75" customHeight="1">
      <c r="F144" s="24"/>
      <c r="G144" s="24"/>
      <c r="H144" s="24"/>
      <c r="I144" s="24"/>
      <c r="J144" s="24"/>
      <c r="K144" s="24"/>
      <c r="L144" s="24"/>
      <c r="M144" s="24"/>
      <c r="N144" s="24"/>
      <c r="O144" s="24"/>
      <c r="P144" s="24"/>
      <c r="Q144" s="24"/>
      <c r="R144" s="24"/>
      <c r="S144" s="24"/>
      <c r="T144" s="24"/>
      <c r="U144" s="24"/>
      <c r="V144" s="24"/>
      <c r="W144" s="24"/>
      <c r="X144" s="24"/>
      <c r="Y144" s="24"/>
      <c r="Z144" s="24"/>
      <c r="AA144" s="24"/>
      <c r="AB144" s="24"/>
      <c r="AC144" s="24"/>
      <c r="AD144" s="24"/>
      <c r="AE144" s="24"/>
      <c r="AF144" s="24"/>
      <c r="AG144" s="24"/>
      <c r="AH144" s="24"/>
      <c r="AI144" s="24"/>
      <c r="AJ144" s="24"/>
      <c r="AK144" s="24"/>
      <c r="AM144" s="26"/>
      <c r="AN144" s="24"/>
      <c r="AO144" s="24"/>
      <c r="AP144" s="24"/>
      <c r="AQ144" s="24"/>
      <c r="AR144" s="24"/>
      <c r="AS144" s="24"/>
      <c r="AT144" s="24"/>
    </row>
    <row r="145" ht="15.75" customHeight="1">
      <c r="F145" s="24"/>
      <c r="G145" s="24"/>
      <c r="H145" s="24"/>
      <c r="I145" s="24"/>
      <c r="J145" s="24"/>
      <c r="K145" s="24"/>
      <c r="L145" s="24"/>
      <c r="M145" s="24"/>
      <c r="N145" s="24"/>
      <c r="O145" s="24"/>
      <c r="P145" s="24"/>
      <c r="Q145" s="24"/>
      <c r="R145" s="24"/>
      <c r="S145" s="24"/>
      <c r="T145" s="24"/>
      <c r="U145" s="24"/>
      <c r="V145" s="24"/>
      <c r="W145" s="24"/>
      <c r="X145" s="24"/>
      <c r="Y145" s="24"/>
      <c r="Z145" s="24"/>
      <c r="AA145" s="24"/>
      <c r="AB145" s="24"/>
      <c r="AC145" s="24"/>
      <c r="AD145" s="24"/>
      <c r="AE145" s="24"/>
      <c r="AF145" s="24"/>
      <c r="AG145" s="24"/>
      <c r="AH145" s="24"/>
      <c r="AI145" s="24"/>
      <c r="AJ145" s="24"/>
      <c r="AK145" s="24"/>
      <c r="AM145" s="26"/>
      <c r="AN145" s="24"/>
      <c r="AO145" s="24"/>
      <c r="AP145" s="24"/>
      <c r="AQ145" s="24"/>
      <c r="AR145" s="24"/>
      <c r="AS145" s="24"/>
      <c r="AT145" s="24"/>
    </row>
    <row r="146" ht="15.75" customHeight="1">
      <c r="F146" s="24"/>
      <c r="G146" s="24"/>
      <c r="H146" s="24"/>
      <c r="I146" s="24"/>
      <c r="J146" s="24"/>
      <c r="K146" s="24"/>
      <c r="L146" s="24"/>
      <c r="M146" s="24"/>
      <c r="N146" s="24"/>
      <c r="O146" s="24"/>
      <c r="P146" s="24"/>
      <c r="Q146" s="24"/>
      <c r="R146" s="24"/>
      <c r="S146" s="24"/>
      <c r="T146" s="24"/>
      <c r="U146" s="24"/>
      <c r="V146" s="24"/>
      <c r="W146" s="24"/>
      <c r="X146" s="24"/>
      <c r="Y146" s="24"/>
      <c r="Z146" s="24"/>
      <c r="AA146" s="24"/>
      <c r="AB146" s="24"/>
      <c r="AC146" s="24"/>
      <c r="AD146" s="24"/>
      <c r="AE146" s="24"/>
      <c r="AF146" s="24"/>
      <c r="AG146" s="24"/>
      <c r="AH146" s="24"/>
      <c r="AI146" s="24"/>
      <c r="AJ146" s="24"/>
      <c r="AK146" s="24"/>
      <c r="AM146" s="26"/>
      <c r="AN146" s="24"/>
      <c r="AO146" s="24"/>
      <c r="AP146" s="24"/>
      <c r="AQ146" s="24"/>
      <c r="AR146" s="24"/>
      <c r="AS146" s="24"/>
      <c r="AT146" s="24"/>
    </row>
    <row r="147" ht="15.75" customHeight="1">
      <c r="F147" s="24"/>
      <c r="G147" s="24"/>
      <c r="H147" s="24"/>
      <c r="I147" s="24"/>
      <c r="J147" s="24"/>
      <c r="K147" s="24"/>
      <c r="L147" s="24"/>
      <c r="M147" s="24"/>
      <c r="N147" s="24"/>
      <c r="O147" s="24"/>
      <c r="P147" s="24"/>
      <c r="Q147" s="24"/>
      <c r="R147" s="24"/>
      <c r="S147" s="24"/>
      <c r="T147" s="24"/>
      <c r="U147" s="24"/>
      <c r="V147" s="24"/>
      <c r="W147" s="24"/>
      <c r="X147" s="24"/>
      <c r="Y147" s="24"/>
      <c r="Z147" s="24"/>
      <c r="AA147" s="24"/>
      <c r="AB147" s="24"/>
      <c r="AC147" s="24"/>
      <c r="AD147" s="24"/>
      <c r="AE147" s="24"/>
      <c r="AF147" s="24"/>
      <c r="AG147" s="24"/>
      <c r="AH147" s="24"/>
      <c r="AI147" s="24"/>
      <c r="AJ147" s="24"/>
      <c r="AK147" s="24"/>
      <c r="AM147" s="26"/>
      <c r="AN147" s="24"/>
      <c r="AO147" s="24"/>
      <c r="AP147" s="24"/>
      <c r="AQ147" s="24"/>
      <c r="AR147" s="24"/>
      <c r="AS147" s="24"/>
      <c r="AT147" s="24"/>
    </row>
    <row r="148" ht="15.75" customHeight="1">
      <c r="F148" s="24"/>
      <c r="G148" s="24"/>
      <c r="H148" s="24"/>
      <c r="I148" s="24"/>
      <c r="J148" s="24"/>
      <c r="K148" s="24"/>
      <c r="L148" s="24"/>
      <c r="M148" s="24"/>
      <c r="N148" s="24"/>
      <c r="O148" s="24"/>
      <c r="P148" s="24"/>
      <c r="Q148" s="24"/>
      <c r="R148" s="24"/>
      <c r="S148" s="24"/>
      <c r="T148" s="24"/>
      <c r="U148" s="24"/>
      <c r="V148" s="24"/>
      <c r="W148" s="24"/>
      <c r="X148" s="24"/>
      <c r="Y148" s="24"/>
      <c r="Z148" s="24"/>
      <c r="AA148" s="24"/>
      <c r="AB148" s="24"/>
      <c r="AC148" s="24"/>
      <c r="AD148" s="24"/>
      <c r="AE148" s="24"/>
      <c r="AF148" s="24"/>
      <c r="AG148" s="24"/>
      <c r="AH148" s="24"/>
      <c r="AI148" s="24"/>
      <c r="AJ148" s="24"/>
      <c r="AK148" s="24"/>
      <c r="AM148" s="26"/>
      <c r="AN148" s="24"/>
      <c r="AO148" s="24"/>
      <c r="AP148" s="24"/>
      <c r="AQ148" s="24"/>
      <c r="AR148" s="24"/>
      <c r="AS148" s="24"/>
      <c r="AT148" s="24"/>
    </row>
    <row r="149" ht="15.75" customHeight="1">
      <c r="F149" s="24"/>
      <c r="G149" s="24"/>
      <c r="H149" s="24"/>
      <c r="I149" s="24"/>
      <c r="J149" s="24"/>
      <c r="K149" s="24"/>
      <c r="L149" s="24"/>
      <c r="M149" s="24"/>
      <c r="N149" s="24"/>
      <c r="O149" s="24"/>
      <c r="P149" s="24"/>
      <c r="Q149" s="24"/>
      <c r="R149" s="24"/>
      <c r="S149" s="24"/>
      <c r="T149" s="24"/>
      <c r="U149" s="24"/>
      <c r="V149" s="24"/>
      <c r="W149" s="24"/>
      <c r="X149" s="24"/>
      <c r="Y149" s="24"/>
      <c r="Z149" s="24"/>
      <c r="AA149" s="24"/>
      <c r="AB149" s="24"/>
      <c r="AC149" s="24"/>
      <c r="AD149" s="24"/>
      <c r="AE149" s="24"/>
      <c r="AF149" s="24"/>
      <c r="AG149" s="24"/>
      <c r="AH149" s="24"/>
      <c r="AI149" s="24"/>
      <c r="AJ149" s="24"/>
      <c r="AK149" s="24"/>
      <c r="AM149" s="26"/>
      <c r="AN149" s="24"/>
      <c r="AO149" s="24"/>
      <c r="AP149" s="24"/>
      <c r="AQ149" s="24"/>
      <c r="AR149" s="24"/>
      <c r="AS149" s="24"/>
      <c r="AT149" s="24"/>
    </row>
    <row r="150" ht="15.75" customHeight="1">
      <c r="F150" s="24"/>
      <c r="G150" s="24"/>
      <c r="H150" s="24"/>
      <c r="I150" s="24"/>
      <c r="J150" s="24"/>
      <c r="K150" s="24"/>
      <c r="L150" s="24"/>
      <c r="M150" s="24"/>
      <c r="N150" s="24"/>
      <c r="O150" s="24"/>
      <c r="P150" s="24"/>
      <c r="Q150" s="24"/>
      <c r="R150" s="24"/>
      <c r="S150" s="24"/>
      <c r="T150" s="24"/>
      <c r="U150" s="24"/>
      <c r="V150" s="24"/>
      <c r="W150" s="24"/>
      <c r="X150" s="24"/>
      <c r="Y150" s="24"/>
      <c r="Z150" s="24"/>
      <c r="AA150" s="24"/>
      <c r="AB150" s="24"/>
      <c r="AC150" s="24"/>
      <c r="AD150" s="24"/>
      <c r="AE150" s="24"/>
      <c r="AF150" s="24"/>
      <c r="AG150" s="24"/>
      <c r="AH150" s="24"/>
      <c r="AI150" s="24"/>
      <c r="AJ150" s="24"/>
      <c r="AK150" s="24"/>
      <c r="AM150" s="26"/>
      <c r="AN150" s="24"/>
      <c r="AO150" s="24"/>
      <c r="AP150" s="24"/>
      <c r="AQ150" s="24"/>
      <c r="AR150" s="24"/>
      <c r="AS150" s="24"/>
      <c r="AT150" s="24"/>
    </row>
    <row r="151" ht="15.75" customHeight="1">
      <c r="F151" s="24"/>
      <c r="G151" s="24"/>
      <c r="H151" s="24"/>
      <c r="I151" s="24"/>
      <c r="J151" s="24"/>
      <c r="K151" s="24"/>
      <c r="L151" s="24"/>
      <c r="M151" s="24"/>
      <c r="N151" s="24"/>
      <c r="O151" s="24"/>
      <c r="P151" s="24"/>
      <c r="Q151" s="24"/>
      <c r="R151" s="24"/>
      <c r="S151" s="24"/>
      <c r="T151" s="24"/>
      <c r="U151" s="24"/>
      <c r="V151" s="24"/>
      <c r="W151" s="24"/>
      <c r="X151" s="24"/>
      <c r="Y151" s="24"/>
      <c r="Z151" s="24"/>
      <c r="AA151" s="24"/>
      <c r="AB151" s="24"/>
      <c r="AC151" s="24"/>
      <c r="AD151" s="24"/>
      <c r="AE151" s="24"/>
      <c r="AF151" s="24"/>
      <c r="AG151" s="24"/>
      <c r="AH151" s="24"/>
      <c r="AI151" s="24"/>
      <c r="AJ151" s="24"/>
      <c r="AK151" s="24"/>
      <c r="AM151" s="26"/>
      <c r="AN151" s="24"/>
      <c r="AO151" s="24"/>
      <c r="AP151" s="24"/>
      <c r="AQ151" s="24"/>
      <c r="AR151" s="24"/>
      <c r="AS151" s="24"/>
      <c r="AT151" s="24"/>
    </row>
    <row r="152" ht="15.75" customHeight="1">
      <c r="F152" s="24"/>
      <c r="G152" s="24"/>
      <c r="H152" s="24"/>
      <c r="I152" s="24"/>
      <c r="J152" s="24"/>
      <c r="K152" s="24"/>
      <c r="L152" s="24"/>
      <c r="M152" s="24"/>
      <c r="N152" s="24"/>
      <c r="O152" s="24"/>
      <c r="P152" s="24"/>
      <c r="Q152" s="24"/>
      <c r="R152" s="24"/>
      <c r="S152" s="24"/>
      <c r="T152" s="24"/>
      <c r="U152" s="24"/>
      <c r="V152" s="24"/>
      <c r="W152" s="24"/>
      <c r="X152" s="24"/>
      <c r="Y152" s="24"/>
      <c r="Z152" s="24"/>
      <c r="AA152" s="24"/>
      <c r="AB152" s="24"/>
      <c r="AC152" s="24"/>
      <c r="AD152" s="24"/>
      <c r="AE152" s="24"/>
      <c r="AF152" s="24"/>
      <c r="AG152" s="24"/>
      <c r="AH152" s="24"/>
      <c r="AI152" s="24"/>
      <c r="AJ152" s="24"/>
      <c r="AK152" s="24"/>
      <c r="AM152" s="26"/>
      <c r="AN152" s="24"/>
      <c r="AO152" s="24"/>
      <c r="AP152" s="24"/>
      <c r="AQ152" s="24"/>
      <c r="AR152" s="24"/>
      <c r="AS152" s="24"/>
      <c r="AT152" s="24"/>
    </row>
    <row r="153" ht="15.75" customHeight="1">
      <c r="F153" s="24"/>
      <c r="G153" s="24"/>
      <c r="H153" s="24"/>
      <c r="I153" s="24"/>
      <c r="J153" s="24"/>
      <c r="K153" s="24"/>
      <c r="L153" s="24"/>
      <c r="M153" s="24"/>
      <c r="N153" s="24"/>
      <c r="O153" s="24"/>
      <c r="P153" s="24"/>
      <c r="Q153" s="24"/>
      <c r="R153" s="24"/>
      <c r="S153" s="24"/>
      <c r="T153" s="24"/>
      <c r="U153" s="24"/>
      <c r="V153" s="24"/>
      <c r="W153" s="24"/>
      <c r="X153" s="24"/>
      <c r="Y153" s="24"/>
      <c r="Z153" s="24"/>
      <c r="AA153" s="24"/>
      <c r="AB153" s="24"/>
      <c r="AC153" s="24"/>
      <c r="AD153" s="24"/>
      <c r="AE153" s="24"/>
      <c r="AF153" s="24"/>
      <c r="AG153" s="24"/>
      <c r="AH153" s="24"/>
      <c r="AI153" s="24"/>
      <c r="AJ153" s="24"/>
      <c r="AK153" s="24"/>
      <c r="AM153" s="26"/>
      <c r="AN153" s="24"/>
      <c r="AO153" s="24"/>
      <c r="AP153" s="24"/>
      <c r="AQ153" s="24"/>
      <c r="AR153" s="24"/>
      <c r="AS153" s="24"/>
      <c r="AT153" s="24"/>
    </row>
    <row r="154" ht="15.75" customHeight="1">
      <c r="F154" s="24"/>
      <c r="G154" s="24"/>
      <c r="H154" s="24"/>
      <c r="I154" s="24"/>
      <c r="J154" s="24"/>
      <c r="K154" s="24"/>
      <c r="L154" s="24"/>
      <c r="M154" s="24"/>
      <c r="N154" s="24"/>
      <c r="O154" s="24"/>
      <c r="P154" s="24"/>
      <c r="Q154" s="24"/>
      <c r="R154" s="24"/>
      <c r="S154" s="24"/>
      <c r="T154" s="24"/>
      <c r="U154" s="24"/>
      <c r="V154" s="24"/>
      <c r="W154" s="24"/>
      <c r="X154" s="24"/>
      <c r="Y154" s="24"/>
      <c r="Z154" s="24"/>
      <c r="AA154" s="24"/>
      <c r="AB154" s="24"/>
      <c r="AC154" s="24"/>
      <c r="AD154" s="24"/>
      <c r="AE154" s="24"/>
      <c r="AF154" s="24"/>
      <c r="AG154" s="24"/>
      <c r="AH154" s="24"/>
      <c r="AI154" s="24"/>
      <c r="AJ154" s="24"/>
      <c r="AK154" s="24"/>
      <c r="AM154" s="26"/>
      <c r="AN154" s="24"/>
      <c r="AO154" s="24"/>
      <c r="AP154" s="24"/>
      <c r="AQ154" s="24"/>
      <c r="AR154" s="24"/>
      <c r="AS154" s="24"/>
      <c r="AT154" s="24"/>
    </row>
    <row r="155" ht="15.75" customHeight="1">
      <c r="F155" s="24"/>
      <c r="G155" s="24"/>
      <c r="H155" s="24"/>
      <c r="I155" s="24"/>
      <c r="J155" s="24"/>
      <c r="K155" s="24"/>
      <c r="L155" s="24"/>
      <c r="M155" s="24"/>
      <c r="N155" s="24"/>
      <c r="O155" s="24"/>
      <c r="P155" s="24"/>
      <c r="Q155" s="24"/>
      <c r="R155" s="24"/>
      <c r="S155" s="24"/>
      <c r="T155" s="24"/>
      <c r="U155" s="24"/>
      <c r="V155" s="24"/>
      <c r="W155" s="24"/>
      <c r="X155" s="24"/>
      <c r="Y155" s="24"/>
      <c r="Z155" s="24"/>
      <c r="AA155" s="24"/>
      <c r="AB155" s="24"/>
      <c r="AC155" s="24"/>
      <c r="AD155" s="24"/>
      <c r="AE155" s="24"/>
      <c r="AF155" s="24"/>
      <c r="AG155" s="24"/>
      <c r="AH155" s="24"/>
      <c r="AI155" s="24"/>
      <c r="AJ155" s="24"/>
      <c r="AK155" s="24"/>
      <c r="AM155" s="26"/>
      <c r="AN155" s="24"/>
      <c r="AO155" s="24"/>
      <c r="AP155" s="24"/>
      <c r="AQ155" s="24"/>
      <c r="AR155" s="24"/>
      <c r="AS155" s="24"/>
      <c r="AT155" s="24"/>
    </row>
    <row r="156" ht="15.75" customHeight="1">
      <c r="F156" s="24"/>
      <c r="G156" s="24"/>
      <c r="H156" s="24"/>
      <c r="I156" s="24"/>
      <c r="J156" s="24"/>
      <c r="K156" s="24"/>
      <c r="L156" s="24"/>
      <c r="M156" s="24"/>
      <c r="N156" s="24"/>
      <c r="O156" s="24"/>
      <c r="P156" s="24"/>
      <c r="Q156" s="24"/>
      <c r="R156" s="24"/>
      <c r="S156" s="24"/>
      <c r="T156" s="24"/>
      <c r="U156" s="24"/>
      <c r="V156" s="24"/>
      <c r="W156" s="24"/>
      <c r="X156" s="24"/>
      <c r="Y156" s="24"/>
      <c r="Z156" s="24"/>
      <c r="AA156" s="24"/>
      <c r="AB156" s="24"/>
      <c r="AC156" s="24"/>
      <c r="AD156" s="24"/>
      <c r="AE156" s="24"/>
      <c r="AF156" s="24"/>
      <c r="AG156" s="24"/>
      <c r="AH156" s="24"/>
      <c r="AI156" s="24"/>
      <c r="AJ156" s="24"/>
      <c r="AK156" s="24"/>
      <c r="AM156" s="26"/>
      <c r="AN156" s="24"/>
      <c r="AO156" s="24"/>
      <c r="AP156" s="24"/>
      <c r="AQ156" s="24"/>
      <c r="AR156" s="24"/>
      <c r="AS156" s="24"/>
      <c r="AT156" s="24"/>
    </row>
    <row r="157" ht="15.75" customHeight="1">
      <c r="F157" s="24"/>
      <c r="G157" s="24"/>
      <c r="H157" s="24"/>
      <c r="I157" s="24"/>
      <c r="J157" s="24"/>
      <c r="K157" s="24"/>
      <c r="L157" s="24"/>
      <c r="M157" s="24"/>
      <c r="N157" s="24"/>
      <c r="O157" s="24"/>
      <c r="P157" s="24"/>
      <c r="Q157" s="24"/>
      <c r="R157" s="24"/>
      <c r="S157" s="24"/>
      <c r="T157" s="24"/>
      <c r="U157" s="24"/>
      <c r="V157" s="24"/>
      <c r="W157" s="24"/>
      <c r="X157" s="24"/>
      <c r="Y157" s="24"/>
      <c r="Z157" s="24"/>
      <c r="AA157" s="24"/>
      <c r="AB157" s="24"/>
      <c r="AC157" s="24"/>
      <c r="AD157" s="24"/>
      <c r="AE157" s="24"/>
      <c r="AF157" s="24"/>
      <c r="AG157" s="24"/>
      <c r="AH157" s="24"/>
      <c r="AI157" s="24"/>
      <c r="AJ157" s="24"/>
      <c r="AK157" s="24"/>
      <c r="AM157" s="26"/>
      <c r="AN157" s="24"/>
      <c r="AO157" s="24"/>
      <c r="AP157" s="24"/>
      <c r="AQ157" s="24"/>
      <c r="AR157" s="24"/>
      <c r="AS157" s="24"/>
      <c r="AT157" s="24"/>
    </row>
    <row r="158" ht="15.75" customHeight="1">
      <c r="F158" s="24"/>
      <c r="G158" s="24"/>
      <c r="H158" s="24"/>
      <c r="I158" s="24"/>
      <c r="J158" s="24"/>
      <c r="K158" s="24"/>
      <c r="L158" s="24"/>
      <c r="M158" s="24"/>
      <c r="N158" s="24"/>
      <c r="O158" s="24"/>
      <c r="P158" s="24"/>
      <c r="Q158" s="24"/>
      <c r="R158" s="24"/>
      <c r="S158" s="24"/>
      <c r="T158" s="24"/>
      <c r="U158" s="24"/>
      <c r="V158" s="24"/>
      <c r="W158" s="24"/>
      <c r="X158" s="24"/>
      <c r="Y158" s="24"/>
      <c r="Z158" s="24"/>
      <c r="AA158" s="24"/>
      <c r="AB158" s="24"/>
      <c r="AC158" s="24"/>
      <c r="AD158" s="24"/>
      <c r="AE158" s="24"/>
      <c r="AF158" s="24"/>
      <c r="AG158" s="24"/>
      <c r="AH158" s="24"/>
      <c r="AI158" s="24"/>
      <c r="AJ158" s="24"/>
      <c r="AK158" s="24"/>
      <c r="AM158" s="26"/>
      <c r="AN158" s="24"/>
      <c r="AO158" s="24"/>
      <c r="AP158" s="24"/>
      <c r="AQ158" s="24"/>
      <c r="AR158" s="24"/>
      <c r="AS158" s="24"/>
      <c r="AT158" s="24"/>
    </row>
    <row r="159" ht="15.75" customHeight="1">
      <c r="F159" s="24"/>
      <c r="G159" s="24"/>
      <c r="H159" s="24"/>
      <c r="I159" s="24"/>
      <c r="J159" s="24"/>
      <c r="K159" s="24"/>
      <c r="L159" s="24"/>
      <c r="M159" s="24"/>
      <c r="N159" s="24"/>
      <c r="O159" s="24"/>
      <c r="P159" s="24"/>
      <c r="Q159" s="24"/>
      <c r="R159" s="24"/>
      <c r="S159" s="24"/>
      <c r="T159" s="24"/>
      <c r="U159" s="24"/>
      <c r="V159" s="24"/>
      <c r="W159" s="24"/>
      <c r="X159" s="24"/>
      <c r="Y159" s="24"/>
      <c r="Z159" s="24"/>
      <c r="AA159" s="24"/>
      <c r="AB159" s="24"/>
      <c r="AC159" s="24"/>
      <c r="AD159" s="24"/>
      <c r="AE159" s="24"/>
      <c r="AF159" s="24"/>
      <c r="AG159" s="24"/>
      <c r="AH159" s="24"/>
      <c r="AI159" s="24"/>
      <c r="AJ159" s="24"/>
      <c r="AK159" s="24"/>
      <c r="AM159" s="26"/>
      <c r="AN159" s="24"/>
      <c r="AO159" s="24"/>
      <c r="AP159" s="24"/>
      <c r="AQ159" s="24"/>
      <c r="AR159" s="24"/>
      <c r="AS159" s="24"/>
      <c r="AT159" s="24"/>
    </row>
    <row r="160" ht="15.75" customHeight="1">
      <c r="F160" s="24"/>
      <c r="G160" s="24"/>
      <c r="H160" s="24"/>
      <c r="I160" s="24"/>
      <c r="J160" s="24"/>
      <c r="K160" s="24"/>
      <c r="L160" s="24"/>
      <c r="M160" s="24"/>
      <c r="N160" s="24"/>
      <c r="O160" s="24"/>
      <c r="P160" s="24"/>
      <c r="Q160" s="24"/>
      <c r="R160" s="24"/>
      <c r="S160" s="24"/>
      <c r="T160" s="24"/>
      <c r="U160" s="24"/>
      <c r="V160" s="24"/>
      <c r="W160" s="24"/>
      <c r="X160" s="24"/>
      <c r="Y160" s="24"/>
      <c r="Z160" s="24"/>
      <c r="AA160" s="24"/>
      <c r="AB160" s="24"/>
      <c r="AC160" s="24"/>
      <c r="AD160" s="24"/>
      <c r="AE160" s="24"/>
      <c r="AF160" s="24"/>
      <c r="AG160" s="24"/>
      <c r="AH160" s="24"/>
      <c r="AI160" s="24"/>
      <c r="AJ160" s="24"/>
      <c r="AK160" s="24"/>
      <c r="AM160" s="26"/>
      <c r="AN160" s="24"/>
      <c r="AO160" s="24"/>
      <c r="AP160" s="24"/>
      <c r="AQ160" s="24"/>
      <c r="AR160" s="24"/>
      <c r="AS160" s="24"/>
      <c r="AT160" s="24"/>
    </row>
    <row r="161" ht="15.75" customHeight="1">
      <c r="F161" s="24"/>
      <c r="G161" s="24"/>
      <c r="H161" s="24"/>
      <c r="I161" s="24"/>
      <c r="J161" s="24"/>
      <c r="K161" s="24"/>
      <c r="L161" s="24"/>
      <c r="M161" s="24"/>
      <c r="N161" s="24"/>
      <c r="O161" s="24"/>
      <c r="P161" s="24"/>
      <c r="Q161" s="24"/>
      <c r="R161" s="24"/>
      <c r="S161" s="24"/>
      <c r="T161" s="24"/>
      <c r="U161" s="24"/>
      <c r="V161" s="24"/>
      <c r="W161" s="24"/>
      <c r="X161" s="24"/>
      <c r="Y161" s="24"/>
      <c r="Z161" s="24"/>
      <c r="AA161" s="24"/>
      <c r="AB161" s="24"/>
      <c r="AC161" s="24"/>
      <c r="AD161" s="24"/>
      <c r="AE161" s="24"/>
      <c r="AF161" s="24"/>
      <c r="AG161" s="24"/>
      <c r="AH161" s="24"/>
      <c r="AI161" s="24"/>
      <c r="AJ161" s="24"/>
      <c r="AK161" s="24"/>
      <c r="AM161" s="26"/>
      <c r="AN161" s="24"/>
      <c r="AO161" s="24"/>
      <c r="AP161" s="24"/>
      <c r="AQ161" s="24"/>
      <c r="AR161" s="24"/>
      <c r="AS161" s="24"/>
      <c r="AT161" s="24"/>
    </row>
    <row r="162" ht="15.75" customHeight="1">
      <c r="F162" s="24"/>
      <c r="G162" s="24"/>
      <c r="H162" s="24"/>
      <c r="I162" s="24"/>
      <c r="J162" s="24"/>
      <c r="K162" s="24"/>
      <c r="L162" s="24"/>
      <c r="M162" s="24"/>
      <c r="N162" s="24"/>
      <c r="O162" s="24"/>
      <c r="P162" s="24"/>
      <c r="Q162" s="24"/>
      <c r="R162" s="24"/>
      <c r="S162" s="24"/>
      <c r="T162" s="24"/>
      <c r="U162" s="24"/>
      <c r="V162" s="24"/>
      <c r="W162" s="24"/>
      <c r="X162" s="24"/>
      <c r="Y162" s="24"/>
      <c r="Z162" s="24"/>
      <c r="AA162" s="24"/>
      <c r="AB162" s="24"/>
      <c r="AC162" s="24"/>
      <c r="AD162" s="24"/>
      <c r="AE162" s="24"/>
      <c r="AF162" s="24"/>
      <c r="AG162" s="24"/>
      <c r="AH162" s="24"/>
      <c r="AI162" s="24"/>
      <c r="AJ162" s="24"/>
      <c r="AK162" s="24"/>
      <c r="AM162" s="26"/>
      <c r="AN162" s="24"/>
      <c r="AO162" s="24"/>
      <c r="AP162" s="24"/>
      <c r="AQ162" s="24"/>
      <c r="AR162" s="24"/>
      <c r="AS162" s="24"/>
      <c r="AT162" s="24"/>
    </row>
    <row r="163" ht="15.75" customHeight="1">
      <c r="F163" s="24"/>
      <c r="G163" s="24"/>
      <c r="H163" s="24"/>
      <c r="I163" s="24"/>
      <c r="J163" s="24"/>
      <c r="K163" s="24"/>
      <c r="L163" s="24"/>
      <c r="M163" s="24"/>
      <c r="N163" s="24"/>
      <c r="O163" s="24"/>
      <c r="P163" s="24"/>
      <c r="Q163" s="24"/>
      <c r="R163" s="24"/>
      <c r="S163" s="24"/>
      <c r="T163" s="24"/>
      <c r="U163" s="24"/>
      <c r="V163" s="24"/>
      <c r="W163" s="24"/>
      <c r="X163" s="24"/>
      <c r="Y163" s="24"/>
      <c r="Z163" s="24"/>
      <c r="AA163" s="24"/>
      <c r="AB163" s="24"/>
      <c r="AC163" s="24"/>
      <c r="AD163" s="24"/>
      <c r="AE163" s="24"/>
      <c r="AF163" s="24"/>
      <c r="AG163" s="24"/>
      <c r="AH163" s="24"/>
      <c r="AI163" s="24"/>
      <c r="AJ163" s="24"/>
      <c r="AK163" s="24"/>
      <c r="AM163" s="26"/>
      <c r="AN163" s="24"/>
      <c r="AO163" s="24"/>
      <c r="AP163" s="24"/>
      <c r="AQ163" s="24"/>
      <c r="AR163" s="24"/>
      <c r="AS163" s="24"/>
      <c r="AT163" s="24"/>
    </row>
    <row r="164" ht="15.75" customHeight="1">
      <c r="F164" s="24"/>
      <c r="G164" s="24"/>
      <c r="H164" s="24"/>
      <c r="I164" s="24"/>
      <c r="J164" s="24"/>
      <c r="K164" s="24"/>
      <c r="L164" s="24"/>
      <c r="M164" s="24"/>
      <c r="N164" s="24"/>
      <c r="O164" s="24"/>
      <c r="P164" s="24"/>
      <c r="Q164" s="24"/>
      <c r="R164" s="24"/>
      <c r="S164" s="24"/>
      <c r="T164" s="24"/>
      <c r="U164" s="24"/>
      <c r="V164" s="24"/>
      <c r="W164" s="24"/>
      <c r="X164" s="24"/>
      <c r="Y164" s="24"/>
      <c r="Z164" s="24"/>
      <c r="AA164" s="24"/>
      <c r="AB164" s="24"/>
      <c r="AC164" s="24"/>
      <c r="AD164" s="24"/>
      <c r="AE164" s="24"/>
      <c r="AF164" s="24"/>
      <c r="AG164" s="24"/>
      <c r="AH164" s="24"/>
      <c r="AI164" s="24"/>
      <c r="AJ164" s="24"/>
      <c r="AK164" s="24"/>
      <c r="AM164" s="26"/>
      <c r="AN164" s="24"/>
      <c r="AO164" s="24"/>
      <c r="AP164" s="24"/>
      <c r="AQ164" s="24"/>
      <c r="AR164" s="24"/>
      <c r="AS164" s="24"/>
      <c r="AT164" s="24"/>
    </row>
    <row r="165" ht="15.75" customHeight="1">
      <c r="F165" s="24"/>
      <c r="G165" s="24"/>
      <c r="H165" s="24"/>
      <c r="I165" s="24"/>
      <c r="J165" s="24"/>
      <c r="K165" s="24"/>
      <c r="L165" s="24"/>
      <c r="M165" s="24"/>
      <c r="N165" s="24"/>
      <c r="O165" s="24"/>
      <c r="P165" s="24"/>
      <c r="Q165" s="24"/>
      <c r="R165" s="24"/>
      <c r="S165" s="24"/>
      <c r="T165" s="24"/>
      <c r="U165" s="24"/>
      <c r="V165" s="24"/>
      <c r="W165" s="24"/>
      <c r="X165" s="24"/>
      <c r="Y165" s="24"/>
      <c r="Z165" s="24"/>
      <c r="AA165" s="24"/>
      <c r="AB165" s="24"/>
      <c r="AC165" s="24"/>
      <c r="AD165" s="24"/>
      <c r="AE165" s="24"/>
      <c r="AF165" s="24"/>
      <c r="AG165" s="24"/>
      <c r="AH165" s="24"/>
      <c r="AI165" s="24"/>
      <c r="AJ165" s="24"/>
      <c r="AK165" s="24"/>
      <c r="AM165" s="26"/>
      <c r="AN165" s="24"/>
      <c r="AO165" s="24"/>
      <c r="AP165" s="24"/>
      <c r="AQ165" s="24"/>
      <c r="AR165" s="24"/>
      <c r="AS165" s="24"/>
      <c r="AT165" s="24"/>
    </row>
    <row r="166" ht="15.75" customHeight="1">
      <c r="F166" s="24"/>
      <c r="G166" s="24"/>
      <c r="H166" s="24"/>
      <c r="I166" s="24"/>
      <c r="J166" s="24"/>
      <c r="K166" s="24"/>
      <c r="L166" s="24"/>
      <c r="M166" s="24"/>
      <c r="N166" s="24"/>
      <c r="O166" s="24"/>
      <c r="P166" s="24"/>
      <c r="Q166" s="24"/>
      <c r="R166" s="24"/>
      <c r="S166" s="24"/>
      <c r="T166" s="24"/>
      <c r="U166" s="24"/>
      <c r="V166" s="24"/>
      <c r="W166" s="24"/>
      <c r="X166" s="24"/>
      <c r="Y166" s="24"/>
      <c r="Z166" s="24"/>
      <c r="AA166" s="24"/>
      <c r="AB166" s="24"/>
      <c r="AC166" s="24"/>
      <c r="AD166" s="24"/>
      <c r="AE166" s="24"/>
      <c r="AF166" s="24"/>
      <c r="AG166" s="24"/>
      <c r="AH166" s="24"/>
      <c r="AI166" s="24"/>
      <c r="AJ166" s="24"/>
      <c r="AK166" s="24"/>
      <c r="AM166" s="26"/>
      <c r="AN166" s="24"/>
      <c r="AO166" s="24"/>
      <c r="AP166" s="24"/>
      <c r="AQ166" s="24"/>
      <c r="AR166" s="24"/>
      <c r="AS166" s="24"/>
      <c r="AT166" s="24"/>
    </row>
    <row r="167" ht="15.75" customHeight="1">
      <c r="F167" s="24"/>
      <c r="G167" s="24"/>
      <c r="H167" s="24"/>
      <c r="I167" s="24"/>
      <c r="J167" s="24"/>
      <c r="K167" s="24"/>
      <c r="L167" s="24"/>
      <c r="M167" s="24"/>
      <c r="N167" s="24"/>
      <c r="O167" s="24"/>
      <c r="P167" s="24"/>
      <c r="Q167" s="24"/>
      <c r="R167" s="24"/>
      <c r="S167" s="24"/>
      <c r="T167" s="24"/>
      <c r="U167" s="24"/>
      <c r="V167" s="24"/>
      <c r="W167" s="24"/>
      <c r="X167" s="24"/>
      <c r="Y167" s="24"/>
      <c r="Z167" s="24"/>
      <c r="AA167" s="24"/>
      <c r="AB167" s="24"/>
      <c r="AC167" s="24"/>
      <c r="AD167" s="24"/>
      <c r="AE167" s="24"/>
      <c r="AF167" s="24"/>
      <c r="AG167" s="24"/>
      <c r="AH167" s="24"/>
      <c r="AI167" s="24"/>
      <c r="AJ167" s="24"/>
      <c r="AK167" s="24"/>
      <c r="AM167" s="26"/>
      <c r="AN167" s="24"/>
      <c r="AO167" s="24"/>
      <c r="AP167" s="24"/>
      <c r="AQ167" s="24"/>
      <c r="AR167" s="24"/>
      <c r="AS167" s="24"/>
      <c r="AT167" s="24"/>
    </row>
    <row r="168" ht="15.75" customHeight="1">
      <c r="F168" s="24"/>
      <c r="G168" s="24"/>
      <c r="H168" s="24"/>
      <c r="I168" s="24"/>
      <c r="J168" s="24"/>
      <c r="K168" s="24"/>
      <c r="L168" s="24"/>
      <c r="M168" s="24"/>
      <c r="N168" s="24"/>
      <c r="O168" s="24"/>
      <c r="P168" s="24"/>
      <c r="Q168" s="24"/>
      <c r="R168" s="24"/>
      <c r="S168" s="24"/>
      <c r="T168" s="24"/>
      <c r="U168" s="24"/>
      <c r="V168" s="24"/>
      <c r="W168" s="24"/>
      <c r="X168" s="24"/>
      <c r="Y168" s="24"/>
      <c r="Z168" s="24"/>
      <c r="AA168" s="24"/>
      <c r="AB168" s="24"/>
      <c r="AC168" s="24"/>
      <c r="AD168" s="24"/>
      <c r="AE168" s="24"/>
      <c r="AF168" s="24"/>
      <c r="AG168" s="24"/>
      <c r="AH168" s="24"/>
      <c r="AI168" s="24"/>
      <c r="AJ168" s="24"/>
      <c r="AK168" s="24"/>
      <c r="AM168" s="26"/>
      <c r="AN168" s="24"/>
      <c r="AO168" s="24"/>
      <c r="AP168" s="24"/>
      <c r="AQ168" s="24"/>
      <c r="AR168" s="24"/>
      <c r="AS168" s="24"/>
      <c r="AT168" s="24"/>
    </row>
    <row r="169" ht="15.75" customHeight="1">
      <c r="F169" s="24"/>
      <c r="G169" s="24"/>
      <c r="H169" s="24"/>
      <c r="I169" s="24"/>
      <c r="J169" s="24"/>
      <c r="K169" s="24"/>
      <c r="L169" s="24"/>
      <c r="M169" s="24"/>
      <c r="N169" s="24"/>
      <c r="O169" s="24"/>
      <c r="P169" s="24"/>
      <c r="Q169" s="24"/>
      <c r="R169" s="24"/>
      <c r="S169" s="24"/>
      <c r="T169" s="24"/>
      <c r="U169" s="24"/>
      <c r="V169" s="24"/>
      <c r="W169" s="24"/>
      <c r="X169" s="24"/>
      <c r="Y169" s="24"/>
      <c r="Z169" s="24"/>
      <c r="AA169" s="24"/>
      <c r="AB169" s="24"/>
      <c r="AC169" s="24"/>
      <c r="AD169" s="24"/>
      <c r="AE169" s="24"/>
      <c r="AF169" s="24"/>
      <c r="AG169" s="24"/>
      <c r="AH169" s="24"/>
      <c r="AI169" s="24"/>
      <c r="AJ169" s="24"/>
      <c r="AK169" s="24"/>
      <c r="AM169" s="26"/>
      <c r="AN169" s="24"/>
      <c r="AO169" s="24"/>
      <c r="AP169" s="24"/>
      <c r="AQ169" s="24"/>
      <c r="AR169" s="24"/>
      <c r="AS169" s="24"/>
      <c r="AT169" s="24"/>
    </row>
    <row r="170" ht="15.75" customHeight="1">
      <c r="F170" s="24"/>
      <c r="G170" s="24"/>
      <c r="H170" s="24"/>
      <c r="I170" s="24"/>
      <c r="J170" s="24"/>
      <c r="K170" s="24"/>
      <c r="L170" s="24"/>
      <c r="M170" s="24"/>
      <c r="N170" s="24"/>
      <c r="O170" s="24"/>
      <c r="P170" s="24"/>
      <c r="Q170" s="24"/>
      <c r="R170" s="24"/>
      <c r="S170" s="24"/>
      <c r="T170" s="24"/>
      <c r="U170" s="24"/>
      <c r="V170" s="24"/>
      <c r="W170" s="24"/>
      <c r="X170" s="24"/>
      <c r="Y170" s="24"/>
      <c r="Z170" s="24"/>
      <c r="AA170" s="24"/>
      <c r="AB170" s="24"/>
      <c r="AC170" s="24"/>
      <c r="AD170" s="24"/>
      <c r="AE170" s="24"/>
      <c r="AF170" s="24"/>
      <c r="AG170" s="24"/>
      <c r="AH170" s="24"/>
      <c r="AI170" s="24"/>
      <c r="AJ170" s="24"/>
      <c r="AK170" s="24"/>
      <c r="AM170" s="26"/>
      <c r="AN170" s="24"/>
      <c r="AO170" s="24"/>
      <c r="AP170" s="24"/>
      <c r="AQ170" s="24"/>
      <c r="AR170" s="24"/>
      <c r="AS170" s="24"/>
      <c r="AT170" s="24"/>
    </row>
    <row r="171" ht="15.75" customHeight="1">
      <c r="F171" s="24"/>
      <c r="G171" s="24"/>
      <c r="H171" s="24"/>
      <c r="I171" s="24"/>
      <c r="J171" s="24"/>
      <c r="K171" s="24"/>
      <c r="L171" s="24"/>
      <c r="M171" s="24"/>
      <c r="N171" s="24"/>
      <c r="O171" s="24"/>
      <c r="P171" s="24"/>
      <c r="Q171" s="24"/>
      <c r="R171" s="24"/>
      <c r="S171" s="24"/>
      <c r="T171" s="24"/>
      <c r="U171" s="24"/>
      <c r="V171" s="24"/>
      <c r="W171" s="24"/>
      <c r="X171" s="24"/>
      <c r="Y171" s="24"/>
      <c r="Z171" s="24"/>
      <c r="AA171" s="24"/>
      <c r="AB171" s="24"/>
      <c r="AC171" s="24"/>
      <c r="AD171" s="24"/>
      <c r="AE171" s="24"/>
      <c r="AF171" s="24"/>
      <c r="AG171" s="24"/>
      <c r="AH171" s="24"/>
      <c r="AI171" s="24"/>
      <c r="AJ171" s="24"/>
      <c r="AK171" s="24"/>
      <c r="AM171" s="26"/>
      <c r="AN171" s="24"/>
      <c r="AO171" s="24"/>
      <c r="AP171" s="24"/>
      <c r="AQ171" s="24"/>
      <c r="AR171" s="24"/>
      <c r="AS171" s="24"/>
      <c r="AT171" s="24"/>
    </row>
    <row r="172" ht="15.75" customHeight="1">
      <c r="F172" s="24"/>
      <c r="G172" s="24"/>
      <c r="H172" s="24"/>
      <c r="I172" s="24"/>
      <c r="J172" s="24"/>
      <c r="K172" s="24"/>
      <c r="L172" s="24"/>
      <c r="M172" s="24"/>
      <c r="N172" s="24"/>
      <c r="O172" s="24"/>
      <c r="P172" s="24"/>
      <c r="Q172" s="24"/>
      <c r="R172" s="24"/>
      <c r="S172" s="24"/>
      <c r="T172" s="24"/>
      <c r="U172" s="24"/>
      <c r="V172" s="24"/>
      <c r="W172" s="24"/>
      <c r="X172" s="24"/>
      <c r="Y172" s="24"/>
      <c r="Z172" s="24"/>
      <c r="AA172" s="24"/>
      <c r="AB172" s="24"/>
      <c r="AC172" s="24"/>
      <c r="AD172" s="24"/>
      <c r="AE172" s="24"/>
      <c r="AF172" s="24"/>
      <c r="AG172" s="24"/>
      <c r="AH172" s="24"/>
      <c r="AI172" s="24"/>
      <c r="AJ172" s="24"/>
      <c r="AK172" s="24"/>
      <c r="AM172" s="26"/>
      <c r="AN172" s="24"/>
      <c r="AO172" s="24"/>
      <c r="AP172" s="24"/>
      <c r="AQ172" s="24"/>
      <c r="AR172" s="24"/>
      <c r="AS172" s="24"/>
      <c r="AT172" s="24"/>
    </row>
    <row r="173" ht="15.75" customHeight="1">
      <c r="F173" s="24"/>
      <c r="G173" s="24"/>
      <c r="H173" s="24"/>
      <c r="I173" s="24"/>
      <c r="J173" s="24"/>
      <c r="K173" s="24"/>
      <c r="L173" s="24"/>
      <c r="M173" s="24"/>
      <c r="N173" s="24"/>
      <c r="O173" s="24"/>
      <c r="P173" s="24"/>
      <c r="Q173" s="24"/>
      <c r="R173" s="24"/>
      <c r="S173" s="24"/>
      <c r="T173" s="24"/>
      <c r="U173" s="24"/>
      <c r="V173" s="24"/>
      <c r="W173" s="24"/>
      <c r="X173" s="24"/>
      <c r="Y173" s="24"/>
      <c r="Z173" s="24"/>
      <c r="AA173" s="24"/>
      <c r="AB173" s="24"/>
      <c r="AC173" s="24"/>
      <c r="AD173" s="24"/>
      <c r="AE173" s="24"/>
      <c r="AF173" s="24"/>
      <c r="AG173" s="24"/>
      <c r="AH173" s="24"/>
      <c r="AI173" s="24"/>
      <c r="AJ173" s="24"/>
      <c r="AK173" s="24"/>
      <c r="AM173" s="26"/>
      <c r="AN173" s="24"/>
      <c r="AO173" s="24"/>
      <c r="AP173" s="24"/>
      <c r="AQ173" s="24"/>
      <c r="AR173" s="24"/>
      <c r="AS173" s="24"/>
      <c r="AT173" s="24"/>
    </row>
    <row r="174" ht="15.75" customHeight="1">
      <c r="F174" s="24"/>
      <c r="G174" s="24"/>
      <c r="H174" s="24"/>
      <c r="I174" s="24"/>
      <c r="J174" s="24"/>
      <c r="K174" s="24"/>
      <c r="L174" s="24"/>
      <c r="M174" s="24"/>
      <c r="N174" s="24"/>
      <c r="O174" s="24"/>
      <c r="P174" s="24"/>
      <c r="Q174" s="24"/>
      <c r="R174" s="24"/>
      <c r="S174" s="24"/>
      <c r="T174" s="24"/>
      <c r="U174" s="24"/>
      <c r="V174" s="24"/>
      <c r="W174" s="24"/>
      <c r="X174" s="24"/>
      <c r="Y174" s="24"/>
      <c r="Z174" s="24"/>
      <c r="AA174" s="24"/>
      <c r="AB174" s="24"/>
      <c r="AC174" s="24"/>
      <c r="AD174" s="24"/>
      <c r="AE174" s="24"/>
      <c r="AF174" s="24"/>
      <c r="AG174" s="24"/>
      <c r="AH174" s="24"/>
      <c r="AI174" s="24"/>
      <c r="AJ174" s="24"/>
      <c r="AK174" s="24"/>
      <c r="AM174" s="26"/>
      <c r="AN174" s="24"/>
      <c r="AO174" s="24"/>
      <c r="AP174" s="24"/>
      <c r="AQ174" s="24"/>
      <c r="AR174" s="24"/>
      <c r="AS174" s="24"/>
      <c r="AT174" s="24"/>
    </row>
    <row r="175" ht="15.75" customHeight="1">
      <c r="F175" s="24"/>
      <c r="G175" s="24"/>
      <c r="H175" s="24"/>
      <c r="I175" s="24"/>
      <c r="J175" s="24"/>
      <c r="K175" s="24"/>
      <c r="L175" s="24"/>
      <c r="M175" s="24"/>
      <c r="N175" s="24"/>
      <c r="O175" s="24"/>
      <c r="P175" s="24"/>
      <c r="Q175" s="24"/>
      <c r="R175" s="24"/>
      <c r="S175" s="24"/>
      <c r="T175" s="24"/>
      <c r="U175" s="24"/>
      <c r="V175" s="24"/>
      <c r="W175" s="24"/>
      <c r="X175" s="24"/>
      <c r="Y175" s="24"/>
      <c r="Z175" s="24"/>
      <c r="AA175" s="24"/>
      <c r="AB175" s="24"/>
      <c r="AC175" s="24"/>
      <c r="AD175" s="24"/>
      <c r="AE175" s="24"/>
      <c r="AF175" s="24"/>
      <c r="AG175" s="24"/>
      <c r="AH175" s="24"/>
      <c r="AI175" s="24"/>
      <c r="AJ175" s="24"/>
      <c r="AK175" s="24"/>
      <c r="AM175" s="26"/>
      <c r="AN175" s="24"/>
      <c r="AO175" s="24"/>
      <c r="AP175" s="24"/>
      <c r="AQ175" s="24"/>
      <c r="AR175" s="24"/>
      <c r="AS175" s="24"/>
      <c r="AT175" s="24"/>
    </row>
    <row r="176" ht="15.75" customHeight="1">
      <c r="F176" s="24"/>
      <c r="G176" s="24"/>
      <c r="H176" s="24"/>
      <c r="I176" s="24"/>
      <c r="J176" s="24"/>
      <c r="K176" s="24"/>
      <c r="L176" s="24"/>
      <c r="M176" s="24"/>
      <c r="N176" s="24"/>
      <c r="O176" s="24"/>
      <c r="P176" s="24"/>
      <c r="Q176" s="24"/>
      <c r="R176" s="24"/>
      <c r="S176" s="24"/>
      <c r="T176" s="24"/>
      <c r="U176" s="24"/>
      <c r="V176" s="24"/>
      <c r="W176" s="24"/>
      <c r="X176" s="24"/>
      <c r="Y176" s="24"/>
      <c r="Z176" s="24"/>
      <c r="AA176" s="24"/>
      <c r="AB176" s="24"/>
      <c r="AC176" s="24"/>
      <c r="AD176" s="24"/>
      <c r="AE176" s="24"/>
      <c r="AF176" s="24"/>
      <c r="AG176" s="24"/>
      <c r="AH176" s="24"/>
      <c r="AI176" s="24"/>
      <c r="AJ176" s="24"/>
      <c r="AK176" s="24"/>
      <c r="AM176" s="26"/>
      <c r="AN176" s="24"/>
      <c r="AO176" s="24"/>
      <c r="AP176" s="24"/>
      <c r="AQ176" s="24"/>
      <c r="AR176" s="24"/>
      <c r="AS176" s="24"/>
      <c r="AT176" s="24"/>
    </row>
    <row r="177" ht="15.75" customHeight="1">
      <c r="F177" s="24"/>
      <c r="G177" s="24"/>
      <c r="H177" s="24"/>
      <c r="I177" s="24"/>
      <c r="J177" s="24"/>
      <c r="K177" s="24"/>
      <c r="L177" s="24"/>
      <c r="M177" s="24"/>
      <c r="N177" s="24"/>
      <c r="O177" s="24"/>
      <c r="P177" s="24"/>
      <c r="Q177" s="24"/>
      <c r="R177" s="24"/>
      <c r="S177" s="24"/>
      <c r="T177" s="24"/>
      <c r="U177" s="24"/>
      <c r="V177" s="24"/>
      <c r="W177" s="24"/>
      <c r="X177" s="24"/>
      <c r="Y177" s="24"/>
      <c r="Z177" s="24"/>
      <c r="AA177" s="24"/>
      <c r="AB177" s="24"/>
      <c r="AC177" s="24"/>
      <c r="AD177" s="24"/>
      <c r="AE177" s="24"/>
      <c r="AF177" s="24"/>
      <c r="AG177" s="24"/>
      <c r="AH177" s="24"/>
      <c r="AI177" s="24"/>
      <c r="AJ177" s="24"/>
      <c r="AK177" s="24"/>
      <c r="AM177" s="26"/>
      <c r="AN177" s="24"/>
      <c r="AO177" s="24"/>
      <c r="AP177" s="24"/>
      <c r="AQ177" s="24"/>
      <c r="AR177" s="24"/>
      <c r="AS177" s="24"/>
      <c r="AT177" s="24"/>
    </row>
    <row r="178" ht="15.75" customHeight="1">
      <c r="F178" s="24"/>
      <c r="G178" s="24"/>
      <c r="H178" s="24"/>
      <c r="I178" s="24"/>
      <c r="J178" s="24"/>
      <c r="K178" s="24"/>
      <c r="L178" s="24"/>
      <c r="M178" s="24"/>
      <c r="N178" s="24"/>
      <c r="O178" s="24"/>
      <c r="P178" s="24"/>
      <c r="Q178" s="24"/>
      <c r="R178" s="24"/>
      <c r="S178" s="24"/>
      <c r="T178" s="24"/>
      <c r="U178" s="24"/>
      <c r="V178" s="24"/>
      <c r="W178" s="24"/>
      <c r="X178" s="24"/>
      <c r="Y178" s="24"/>
      <c r="Z178" s="24"/>
      <c r="AA178" s="24"/>
      <c r="AB178" s="24"/>
      <c r="AC178" s="24"/>
      <c r="AD178" s="24"/>
      <c r="AE178" s="24"/>
      <c r="AF178" s="24"/>
      <c r="AG178" s="24"/>
      <c r="AH178" s="24"/>
      <c r="AI178" s="24"/>
      <c r="AJ178" s="24"/>
      <c r="AK178" s="24"/>
      <c r="AM178" s="26"/>
      <c r="AN178" s="24"/>
      <c r="AO178" s="24"/>
      <c r="AP178" s="24"/>
      <c r="AQ178" s="24"/>
      <c r="AR178" s="24"/>
      <c r="AS178" s="24"/>
      <c r="AT178" s="24"/>
    </row>
    <row r="179" ht="15.75" customHeight="1">
      <c r="F179" s="24"/>
      <c r="G179" s="24"/>
      <c r="H179" s="24"/>
      <c r="I179" s="24"/>
      <c r="J179" s="24"/>
      <c r="K179" s="24"/>
      <c r="L179" s="24"/>
      <c r="M179" s="24"/>
      <c r="N179" s="24"/>
      <c r="O179" s="24"/>
      <c r="P179" s="24"/>
      <c r="Q179" s="24"/>
      <c r="R179" s="24"/>
      <c r="S179" s="24"/>
      <c r="T179" s="24"/>
      <c r="U179" s="24"/>
      <c r="V179" s="24"/>
      <c r="W179" s="24"/>
      <c r="X179" s="24"/>
      <c r="Y179" s="24"/>
      <c r="Z179" s="24"/>
      <c r="AA179" s="24"/>
      <c r="AB179" s="24"/>
      <c r="AC179" s="24"/>
      <c r="AD179" s="24"/>
      <c r="AE179" s="24"/>
      <c r="AF179" s="24"/>
      <c r="AG179" s="24"/>
      <c r="AH179" s="24"/>
      <c r="AI179" s="24"/>
      <c r="AJ179" s="24"/>
      <c r="AK179" s="24"/>
      <c r="AM179" s="26"/>
      <c r="AN179" s="24"/>
      <c r="AO179" s="24"/>
      <c r="AP179" s="24"/>
      <c r="AQ179" s="24"/>
      <c r="AR179" s="24"/>
      <c r="AS179" s="24"/>
      <c r="AT179" s="24"/>
    </row>
    <row r="180" ht="15.75" customHeight="1">
      <c r="F180" s="24"/>
      <c r="G180" s="24"/>
      <c r="H180" s="24"/>
      <c r="I180" s="24"/>
      <c r="J180" s="24"/>
      <c r="K180" s="24"/>
      <c r="L180" s="24"/>
      <c r="M180" s="24"/>
      <c r="N180" s="24"/>
      <c r="O180" s="24"/>
      <c r="P180" s="24"/>
      <c r="Q180" s="24"/>
      <c r="R180" s="24"/>
      <c r="S180" s="24"/>
      <c r="T180" s="24"/>
      <c r="U180" s="24"/>
      <c r="V180" s="24"/>
      <c r="W180" s="24"/>
      <c r="X180" s="24"/>
      <c r="Y180" s="24"/>
      <c r="Z180" s="24"/>
      <c r="AA180" s="24"/>
      <c r="AB180" s="24"/>
      <c r="AC180" s="24"/>
      <c r="AD180" s="24"/>
      <c r="AE180" s="24"/>
      <c r="AF180" s="24"/>
      <c r="AG180" s="24"/>
      <c r="AH180" s="24"/>
      <c r="AI180" s="24"/>
      <c r="AJ180" s="24"/>
      <c r="AK180" s="24"/>
      <c r="AM180" s="26"/>
      <c r="AN180" s="24"/>
      <c r="AO180" s="24"/>
      <c r="AP180" s="24"/>
      <c r="AQ180" s="24"/>
      <c r="AR180" s="24"/>
      <c r="AS180" s="24"/>
      <c r="AT180" s="24"/>
    </row>
    <row r="181" ht="15.75" customHeight="1">
      <c r="F181" s="24"/>
      <c r="G181" s="24"/>
      <c r="H181" s="24"/>
      <c r="I181" s="24"/>
      <c r="J181" s="24"/>
      <c r="K181" s="24"/>
      <c r="L181" s="24"/>
      <c r="M181" s="24"/>
      <c r="N181" s="24"/>
      <c r="O181" s="24"/>
      <c r="P181" s="24"/>
      <c r="Q181" s="24"/>
      <c r="R181" s="24"/>
      <c r="S181" s="24"/>
      <c r="T181" s="24"/>
      <c r="U181" s="24"/>
      <c r="V181" s="24"/>
      <c r="W181" s="24"/>
      <c r="X181" s="24"/>
      <c r="Y181" s="24"/>
      <c r="Z181" s="24"/>
      <c r="AA181" s="24"/>
      <c r="AB181" s="24"/>
      <c r="AC181" s="24"/>
      <c r="AD181" s="24"/>
      <c r="AE181" s="24"/>
      <c r="AF181" s="24"/>
      <c r="AG181" s="24"/>
      <c r="AH181" s="24"/>
      <c r="AI181" s="24"/>
      <c r="AJ181" s="24"/>
      <c r="AK181" s="24"/>
      <c r="AM181" s="26"/>
      <c r="AN181" s="24"/>
      <c r="AO181" s="24"/>
      <c r="AP181" s="24"/>
      <c r="AQ181" s="24"/>
      <c r="AR181" s="24"/>
      <c r="AS181" s="24"/>
      <c r="AT181" s="24"/>
    </row>
    <row r="182" ht="15.75" customHeight="1">
      <c r="F182" s="24"/>
      <c r="G182" s="24"/>
      <c r="H182" s="24"/>
      <c r="I182" s="24"/>
      <c r="J182" s="24"/>
      <c r="K182" s="24"/>
      <c r="L182" s="24"/>
      <c r="M182" s="24"/>
      <c r="N182" s="24"/>
      <c r="O182" s="24"/>
      <c r="P182" s="24"/>
      <c r="Q182" s="24"/>
      <c r="R182" s="24"/>
      <c r="S182" s="24"/>
      <c r="T182" s="24"/>
      <c r="U182" s="24"/>
      <c r="V182" s="24"/>
      <c r="W182" s="24"/>
      <c r="X182" s="24"/>
      <c r="Y182" s="24"/>
      <c r="Z182" s="24"/>
      <c r="AA182" s="24"/>
      <c r="AB182" s="24"/>
      <c r="AC182" s="24"/>
      <c r="AD182" s="24"/>
      <c r="AE182" s="24"/>
      <c r="AF182" s="24"/>
      <c r="AG182" s="24"/>
      <c r="AH182" s="24"/>
      <c r="AI182" s="24"/>
      <c r="AJ182" s="24"/>
      <c r="AK182" s="24"/>
      <c r="AM182" s="26"/>
      <c r="AN182" s="24"/>
      <c r="AO182" s="24"/>
      <c r="AP182" s="24"/>
      <c r="AQ182" s="24"/>
      <c r="AR182" s="24"/>
      <c r="AS182" s="24"/>
      <c r="AT182" s="24"/>
    </row>
    <row r="183" ht="15.75" customHeight="1">
      <c r="F183" s="24"/>
      <c r="G183" s="24"/>
      <c r="H183" s="24"/>
      <c r="I183" s="24"/>
      <c r="J183" s="24"/>
      <c r="K183" s="24"/>
      <c r="L183" s="24"/>
      <c r="M183" s="24"/>
      <c r="N183" s="24"/>
      <c r="O183" s="24"/>
      <c r="P183" s="24"/>
      <c r="Q183" s="24"/>
      <c r="R183" s="24"/>
      <c r="S183" s="24"/>
      <c r="T183" s="24"/>
      <c r="U183" s="24"/>
      <c r="V183" s="24"/>
      <c r="W183" s="24"/>
      <c r="X183" s="24"/>
      <c r="Y183" s="24"/>
      <c r="Z183" s="24"/>
      <c r="AA183" s="24"/>
      <c r="AB183" s="24"/>
      <c r="AC183" s="24"/>
      <c r="AD183" s="24"/>
      <c r="AE183" s="24"/>
      <c r="AF183" s="24"/>
      <c r="AG183" s="24"/>
      <c r="AH183" s="24"/>
      <c r="AI183" s="24"/>
      <c r="AJ183" s="24"/>
      <c r="AK183" s="24"/>
      <c r="AM183" s="26"/>
      <c r="AN183" s="24"/>
      <c r="AO183" s="24"/>
      <c r="AP183" s="24"/>
      <c r="AQ183" s="24"/>
      <c r="AR183" s="24"/>
      <c r="AS183" s="24"/>
      <c r="AT183" s="24"/>
    </row>
    <row r="184" ht="15.75" customHeight="1">
      <c r="F184" s="24"/>
      <c r="G184" s="24"/>
      <c r="H184" s="24"/>
      <c r="I184" s="24"/>
      <c r="J184" s="24"/>
      <c r="K184" s="24"/>
      <c r="L184" s="24"/>
      <c r="M184" s="24"/>
      <c r="N184" s="24"/>
      <c r="O184" s="24"/>
      <c r="P184" s="24"/>
      <c r="Q184" s="24"/>
      <c r="R184" s="24"/>
      <c r="S184" s="24"/>
      <c r="T184" s="24"/>
      <c r="U184" s="24"/>
      <c r="V184" s="24"/>
      <c r="W184" s="24"/>
      <c r="X184" s="24"/>
      <c r="Y184" s="24"/>
      <c r="Z184" s="24"/>
      <c r="AA184" s="24"/>
      <c r="AB184" s="24"/>
      <c r="AC184" s="24"/>
      <c r="AD184" s="24"/>
      <c r="AE184" s="24"/>
      <c r="AF184" s="24"/>
      <c r="AG184" s="24"/>
      <c r="AH184" s="24"/>
      <c r="AI184" s="24"/>
      <c r="AJ184" s="24"/>
      <c r="AK184" s="24"/>
      <c r="AM184" s="26"/>
      <c r="AN184" s="24"/>
      <c r="AO184" s="24"/>
      <c r="AP184" s="24"/>
      <c r="AQ184" s="24"/>
      <c r="AR184" s="24"/>
      <c r="AS184" s="24"/>
      <c r="AT184" s="24"/>
    </row>
    <row r="185" ht="15.75" customHeight="1">
      <c r="F185" s="24"/>
      <c r="G185" s="24"/>
      <c r="H185" s="24"/>
      <c r="I185" s="24"/>
      <c r="J185" s="24"/>
      <c r="K185" s="24"/>
      <c r="L185" s="24"/>
      <c r="M185" s="24"/>
      <c r="N185" s="24"/>
      <c r="O185" s="24"/>
      <c r="P185" s="24"/>
      <c r="Q185" s="24"/>
      <c r="R185" s="24"/>
      <c r="S185" s="24"/>
      <c r="T185" s="24"/>
      <c r="U185" s="24"/>
      <c r="V185" s="24"/>
      <c r="W185" s="24"/>
      <c r="X185" s="24"/>
      <c r="Y185" s="24"/>
      <c r="Z185" s="24"/>
      <c r="AA185" s="24"/>
      <c r="AB185" s="24"/>
      <c r="AC185" s="24"/>
      <c r="AD185" s="24"/>
      <c r="AE185" s="24"/>
      <c r="AF185" s="24"/>
      <c r="AG185" s="24"/>
      <c r="AH185" s="24"/>
      <c r="AI185" s="24"/>
      <c r="AJ185" s="24"/>
      <c r="AK185" s="24"/>
      <c r="AM185" s="26"/>
      <c r="AN185" s="24"/>
      <c r="AO185" s="24"/>
      <c r="AP185" s="24"/>
      <c r="AQ185" s="24"/>
      <c r="AR185" s="24"/>
      <c r="AS185" s="24"/>
      <c r="AT185" s="24"/>
    </row>
    <row r="186" ht="15.75" customHeight="1">
      <c r="F186" s="24"/>
      <c r="G186" s="24"/>
      <c r="H186" s="24"/>
      <c r="I186" s="24"/>
      <c r="J186" s="24"/>
      <c r="K186" s="24"/>
      <c r="L186" s="24"/>
      <c r="M186" s="24"/>
      <c r="N186" s="24"/>
      <c r="O186" s="24"/>
      <c r="P186" s="24"/>
      <c r="Q186" s="24"/>
      <c r="R186" s="24"/>
      <c r="S186" s="24"/>
      <c r="T186" s="24"/>
      <c r="U186" s="24"/>
      <c r="V186" s="24"/>
      <c r="W186" s="24"/>
      <c r="X186" s="24"/>
      <c r="Y186" s="24"/>
      <c r="Z186" s="24"/>
      <c r="AA186" s="24"/>
      <c r="AB186" s="24"/>
      <c r="AC186" s="24"/>
      <c r="AD186" s="24"/>
      <c r="AE186" s="24"/>
      <c r="AF186" s="24"/>
      <c r="AG186" s="24"/>
      <c r="AH186" s="24"/>
      <c r="AI186" s="24"/>
      <c r="AJ186" s="24"/>
      <c r="AK186" s="24"/>
      <c r="AM186" s="26"/>
      <c r="AN186" s="24"/>
      <c r="AO186" s="24"/>
      <c r="AP186" s="24"/>
      <c r="AQ186" s="24"/>
      <c r="AR186" s="24"/>
      <c r="AS186" s="24"/>
      <c r="AT186" s="24"/>
    </row>
    <row r="187" ht="15.75" customHeight="1">
      <c r="F187" s="24"/>
      <c r="G187" s="24"/>
      <c r="H187" s="24"/>
      <c r="I187" s="24"/>
      <c r="J187" s="24"/>
      <c r="K187" s="24"/>
      <c r="L187" s="24"/>
      <c r="M187" s="24"/>
      <c r="N187" s="24"/>
      <c r="O187" s="24"/>
      <c r="P187" s="24"/>
      <c r="Q187" s="24"/>
      <c r="R187" s="24"/>
      <c r="S187" s="24"/>
      <c r="T187" s="24"/>
      <c r="U187" s="24"/>
      <c r="V187" s="24"/>
      <c r="W187" s="24"/>
      <c r="X187" s="24"/>
      <c r="Y187" s="24"/>
      <c r="Z187" s="24"/>
      <c r="AA187" s="24"/>
      <c r="AB187" s="24"/>
      <c r="AC187" s="24"/>
      <c r="AD187" s="24"/>
      <c r="AE187" s="24"/>
      <c r="AF187" s="24"/>
      <c r="AG187" s="24"/>
      <c r="AH187" s="24"/>
      <c r="AI187" s="24"/>
      <c r="AJ187" s="24"/>
      <c r="AK187" s="24"/>
      <c r="AM187" s="26"/>
      <c r="AN187" s="24"/>
      <c r="AO187" s="24"/>
      <c r="AP187" s="24"/>
      <c r="AQ187" s="24"/>
      <c r="AR187" s="24"/>
      <c r="AS187" s="24"/>
      <c r="AT187" s="24"/>
    </row>
    <row r="188" ht="15.75" customHeight="1">
      <c r="F188" s="24"/>
      <c r="G188" s="24"/>
      <c r="H188" s="24"/>
      <c r="I188" s="24"/>
      <c r="J188" s="24"/>
      <c r="K188" s="24"/>
      <c r="L188" s="24"/>
      <c r="M188" s="24"/>
      <c r="N188" s="24"/>
      <c r="O188" s="24"/>
      <c r="P188" s="24"/>
      <c r="Q188" s="24"/>
      <c r="R188" s="24"/>
      <c r="S188" s="24"/>
      <c r="T188" s="24"/>
      <c r="U188" s="24"/>
      <c r="V188" s="24"/>
      <c r="W188" s="24"/>
      <c r="X188" s="24"/>
      <c r="Y188" s="24"/>
      <c r="Z188" s="24"/>
      <c r="AA188" s="24"/>
      <c r="AB188" s="24"/>
      <c r="AC188" s="24"/>
      <c r="AD188" s="24"/>
      <c r="AE188" s="24"/>
      <c r="AF188" s="24"/>
      <c r="AG188" s="24"/>
      <c r="AH188" s="24"/>
      <c r="AI188" s="24"/>
      <c r="AJ188" s="24"/>
      <c r="AK188" s="24"/>
      <c r="AM188" s="26"/>
      <c r="AN188" s="24"/>
      <c r="AO188" s="24"/>
      <c r="AP188" s="24"/>
      <c r="AQ188" s="24"/>
      <c r="AR188" s="24"/>
      <c r="AS188" s="24"/>
      <c r="AT188" s="24"/>
    </row>
    <row r="189" ht="15.75" customHeight="1">
      <c r="F189" s="24"/>
      <c r="G189" s="24"/>
      <c r="H189" s="24"/>
      <c r="I189" s="24"/>
      <c r="J189" s="24"/>
      <c r="K189" s="24"/>
      <c r="L189" s="24"/>
      <c r="M189" s="24"/>
      <c r="N189" s="24"/>
      <c r="O189" s="24"/>
      <c r="P189" s="24"/>
      <c r="Q189" s="24"/>
      <c r="R189" s="24"/>
      <c r="S189" s="24"/>
      <c r="T189" s="24"/>
      <c r="U189" s="24"/>
      <c r="V189" s="24"/>
      <c r="W189" s="24"/>
      <c r="X189" s="24"/>
      <c r="Y189" s="24"/>
      <c r="Z189" s="24"/>
      <c r="AA189" s="24"/>
      <c r="AB189" s="24"/>
      <c r="AC189" s="24"/>
      <c r="AD189" s="24"/>
      <c r="AE189" s="24"/>
      <c r="AF189" s="24"/>
      <c r="AG189" s="24"/>
      <c r="AH189" s="24"/>
      <c r="AI189" s="24"/>
      <c r="AJ189" s="24"/>
      <c r="AK189" s="24"/>
      <c r="AM189" s="26"/>
      <c r="AN189" s="24"/>
      <c r="AO189" s="24"/>
      <c r="AP189" s="24"/>
      <c r="AQ189" s="24"/>
      <c r="AR189" s="24"/>
      <c r="AS189" s="24"/>
      <c r="AT189" s="24"/>
    </row>
    <row r="190" ht="15.75" customHeight="1">
      <c r="F190" s="24"/>
      <c r="G190" s="24"/>
      <c r="H190" s="24"/>
      <c r="I190" s="24"/>
      <c r="J190" s="24"/>
      <c r="K190" s="24"/>
      <c r="L190" s="24"/>
      <c r="M190" s="24"/>
      <c r="N190" s="24"/>
      <c r="O190" s="24"/>
      <c r="P190" s="24"/>
      <c r="Q190" s="24"/>
      <c r="R190" s="24"/>
      <c r="S190" s="24"/>
      <c r="T190" s="24"/>
      <c r="U190" s="24"/>
      <c r="V190" s="24"/>
      <c r="W190" s="24"/>
      <c r="X190" s="24"/>
      <c r="Y190" s="24"/>
      <c r="Z190" s="24"/>
      <c r="AA190" s="24"/>
      <c r="AB190" s="24"/>
      <c r="AC190" s="24"/>
      <c r="AD190" s="24"/>
      <c r="AE190" s="24"/>
      <c r="AF190" s="24"/>
      <c r="AG190" s="24"/>
      <c r="AH190" s="24"/>
      <c r="AI190" s="24"/>
      <c r="AJ190" s="24"/>
      <c r="AK190" s="24"/>
      <c r="AM190" s="26"/>
      <c r="AN190" s="24"/>
      <c r="AO190" s="24"/>
      <c r="AP190" s="24"/>
      <c r="AQ190" s="24"/>
      <c r="AR190" s="24"/>
      <c r="AS190" s="24"/>
      <c r="AT190" s="24"/>
    </row>
    <row r="191" ht="15.75" customHeight="1">
      <c r="F191" s="24"/>
      <c r="G191" s="24"/>
      <c r="H191" s="24"/>
      <c r="I191" s="24"/>
      <c r="J191" s="24"/>
      <c r="K191" s="24"/>
      <c r="L191" s="24"/>
      <c r="M191" s="24"/>
      <c r="N191" s="24"/>
      <c r="O191" s="24"/>
      <c r="P191" s="24"/>
      <c r="Q191" s="24"/>
      <c r="R191" s="24"/>
      <c r="S191" s="24"/>
      <c r="T191" s="24"/>
      <c r="U191" s="24"/>
      <c r="V191" s="24"/>
      <c r="W191" s="24"/>
      <c r="X191" s="24"/>
      <c r="Y191" s="24"/>
      <c r="Z191" s="24"/>
      <c r="AA191" s="24"/>
      <c r="AB191" s="24"/>
      <c r="AC191" s="24"/>
      <c r="AD191" s="24"/>
      <c r="AE191" s="24"/>
      <c r="AF191" s="24"/>
      <c r="AG191" s="24"/>
      <c r="AH191" s="24"/>
      <c r="AI191" s="24"/>
      <c r="AJ191" s="24"/>
      <c r="AK191" s="24"/>
      <c r="AM191" s="26"/>
      <c r="AN191" s="24"/>
      <c r="AO191" s="24"/>
      <c r="AP191" s="24"/>
      <c r="AQ191" s="24"/>
      <c r="AR191" s="24"/>
      <c r="AS191" s="24"/>
      <c r="AT191" s="24"/>
    </row>
    <row r="192" ht="15.75" customHeight="1">
      <c r="F192" s="24"/>
      <c r="G192" s="24"/>
      <c r="H192" s="24"/>
      <c r="I192" s="24"/>
      <c r="J192" s="24"/>
      <c r="K192" s="24"/>
      <c r="L192" s="24"/>
      <c r="M192" s="24"/>
      <c r="N192" s="24"/>
      <c r="O192" s="24"/>
      <c r="P192" s="24"/>
      <c r="Q192" s="24"/>
      <c r="R192" s="24"/>
      <c r="S192" s="24"/>
      <c r="T192" s="24"/>
      <c r="U192" s="24"/>
      <c r="V192" s="24"/>
      <c r="W192" s="24"/>
      <c r="X192" s="24"/>
      <c r="Y192" s="24"/>
      <c r="Z192" s="24"/>
      <c r="AA192" s="24"/>
      <c r="AB192" s="24"/>
      <c r="AC192" s="24"/>
      <c r="AD192" s="24"/>
      <c r="AE192" s="24"/>
      <c r="AF192" s="24"/>
      <c r="AG192" s="24"/>
      <c r="AH192" s="24"/>
      <c r="AI192" s="24"/>
      <c r="AJ192" s="24"/>
      <c r="AK192" s="24"/>
      <c r="AM192" s="26"/>
      <c r="AN192" s="24"/>
      <c r="AO192" s="24"/>
      <c r="AP192" s="24"/>
      <c r="AQ192" s="24"/>
      <c r="AR192" s="24"/>
      <c r="AS192" s="24"/>
      <c r="AT192" s="24"/>
    </row>
    <row r="193" ht="15.75" customHeight="1">
      <c r="F193" s="24"/>
      <c r="G193" s="24"/>
      <c r="H193" s="24"/>
      <c r="I193" s="24"/>
      <c r="J193" s="24"/>
      <c r="K193" s="24"/>
      <c r="L193" s="24"/>
      <c r="M193" s="24"/>
      <c r="N193" s="24"/>
      <c r="O193" s="24"/>
      <c r="P193" s="24"/>
      <c r="Q193" s="24"/>
      <c r="R193" s="24"/>
      <c r="S193" s="24"/>
      <c r="T193" s="24"/>
      <c r="U193" s="24"/>
      <c r="V193" s="24"/>
      <c r="W193" s="24"/>
      <c r="X193" s="24"/>
      <c r="Y193" s="24"/>
      <c r="Z193" s="24"/>
      <c r="AA193" s="24"/>
      <c r="AB193" s="24"/>
      <c r="AC193" s="24"/>
      <c r="AD193" s="24"/>
      <c r="AE193" s="24"/>
      <c r="AF193" s="24"/>
      <c r="AG193" s="24"/>
      <c r="AH193" s="24"/>
      <c r="AI193" s="24"/>
      <c r="AJ193" s="24"/>
      <c r="AK193" s="24"/>
      <c r="AM193" s="26"/>
      <c r="AN193" s="24"/>
      <c r="AO193" s="24"/>
      <c r="AP193" s="24"/>
      <c r="AQ193" s="24"/>
      <c r="AR193" s="24"/>
      <c r="AS193" s="24"/>
      <c r="AT193" s="24"/>
    </row>
    <row r="194" ht="15.75" customHeight="1">
      <c r="F194" s="24"/>
      <c r="G194" s="24"/>
      <c r="H194" s="24"/>
      <c r="I194" s="24"/>
      <c r="J194" s="24"/>
      <c r="K194" s="24"/>
      <c r="L194" s="24"/>
      <c r="M194" s="24"/>
      <c r="N194" s="24"/>
      <c r="O194" s="24"/>
      <c r="P194" s="24"/>
      <c r="Q194" s="24"/>
      <c r="R194" s="24"/>
      <c r="S194" s="24"/>
      <c r="T194" s="24"/>
      <c r="U194" s="24"/>
      <c r="V194" s="24"/>
      <c r="W194" s="24"/>
      <c r="X194" s="24"/>
      <c r="Y194" s="24"/>
      <c r="Z194" s="24"/>
      <c r="AA194" s="24"/>
      <c r="AB194" s="24"/>
      <c r="AC194" s="24"/>
      <c r="AD194" s="24"/>
      <c r="AE194" s="24"/>
      <c r="AF194" s="24"/>
      <c r="AG194" s="24"/>
      <c r="AH194" s="24"/>
      <c r="AI194" s="24"/>
      <c r="AJ194" s="24"/>
      <c r="AK194" s="24"/>
      <c r="AM194" s="26"/>
      <c r="AN194" s="24"/>
      <c r="AO194" s="24"/>
      <c r="AP194" s="24"/>
      <c r="AQ194" s="24"/>
      <c r="AR194" s="24"/>
      <c r="AS194" s="24"/>
      <c r="AT194" s="24"/>
    </row>
    <row r="195" ht="15.75" customHeight="1">
      <c r="F195" s="24"/>
      <c r="G195" s="24"/>
      <c r="H195" s="24"/>
      <c r="I195" s="24"/>
      <c r="J195" s="24"/>
      <c r="K195" s="24"/>
      <c r="L195" s="24"/>
      <c r="M195" s="24"/>
      <c r="N195" s="24"/>
      <c r="O195" s="24"/>
      <c r="P195" s="24"/>
      <c r="Q195" s="24"/>
      <c r="R195" s="24"/>
      <c r="S195" s="24"/>
      <c r="T195" s="24"/>
      <c r="U195" s="24"/>
      <c r="V195" s="24"/>
      <c r="W195" s="24"/>
      <c r="X195" s="24"/>
      <c r="Y195" s="24"/>
      <c r="Z195" s="24"/>
      <c r="AA195" s="24"/>
      <c r="AB195" s="24"/>
      <c r="AC195" s="24"/>
      <c r="AD195" s="24"/>
      <c r="AE195" s="24"/>
      <c r="AF195" s="24"/>
      <c r="AG195" s="24"/>
      <c r="AH195" s="24"/>
      <c r="AI195" s="24"/>
      <c r="AJ195" s="24"/>
      <c r="AK195" s="24"/>
      <c r="AM195" s="26"/>
      <c r="AN195" s="24"/>
      <c r="AO195" s="24"/>
      <c r="AP195" s="24"/>
      <c r="AQ195" s="24"/>
      <c r="AR195" s="24"/>
      <c r="AS195" s="24"/>
      <c r="AT195" s="24"/>
    </row>
    <row r="196" ht="15.75" customHeight="1">
      <c r="F196" s="24"/>
      <c r="G196" s="24"/>
      <c r="H196" s="24"/>
      <c r="I196" s="24"/>
      <c r="J196" s="24"/>
      <c r="K196" s="24"/>
      <c r="L196" s="24"/>
      <c r="M196" s="24"/>
      <c r="N196" s="24"/>
      <c r="O196" s="24"/>
      <c r="P196" s="24"/>
      <c r="Q196" s="24"/>
      <c r="R196" s="24"/>
      <c r="S196" s="24"/>
      <c r="T196" s="24"/>
      <c r="U196" s="24"/>
      <c r="V196" s="24"/>
      <c r="W196" s="24"/>
      <c r="X196" s="24"/>
      <c r="Y196" s="24"/>
      <c r="Z196" s="24"/>
      <c r="AA196" s="24"/>
      <c r="AB196" s="24"/>
      <c r="AC196" s="24"/>
      <c r="AD196" s="24"/>
      <c r="AE196" s="24"/>
      <c r="AF196" s="24"/>
      <c r="AG196" s="24"/>
      <c r="AH196" s="24"/>
      <c r="AI196" s="24"/>
      <c r="AJ196" s="24"/>
      <c r="AK196" s="24"/>
      <c r="AM196" s="26"/>
      <c r="AN196" s="24"/>
      <c r="AO196" s="24"/>
      <c r="AP196" s="24"/>
      <c r="AQ196" s="24"/>
      <c r="AR196" s="24"/>
      <c r="AS196" s="24"/>
      <c r="AT196" s="24"/>
    </row>
    <row r="197" ht="15.75" customHeight="1">
      <c r="F197" s="24"/>
      <c r="G197" s="24"/>
      <c r="H197" s="24"/>
      <c r="I197" s="24"/>
      <c r="J197" s="24"/>
      <c r="K197" s="24"/>
      <c r="L197" s="24"/>
      <c r="M197" s="24"/>
      <c r="N197" s="24"/>
      <c r="O197" s="24"/>
      <c r="P197" s="24"/>
      <c r="Q197" s="24"/>
      <c r="R197" s="24"/>
      <c r="S197" s="24"/>
      <c r="T197" s="24"/>
      <c r="U197" s="24"/>
      <c r="V197" s="24"/>
      <c r="W197" s="24"/>
      <c r="X197" s="24"/>
      <c r="Y197" s="24"/>
      <c r="Z197" s="24"/>
      <c r="AA197" s="24"/>
      <c r="AB197" s="24"/>
      <c r="AC197" s="24"/>
      <c r="AD197" s="24"/>
      <c r="AE197" s="24"/>
      <c r="AF197" s="24"/>
      <c r="AG197" s="24"/>
      <c r="AH197" s="24"/>
      <c r="AI197" s="24"/>
      <c r="AJ197" s="24"/>
      <c r="AK197" s="24"/>
      <c r="AM197" s="26"/>
      <c r="AN197" s="24"/>
      <c r="AO197" s="24"/>
      <c r="AP197" s="24"/>
      <c r="AQ197" s="24"/>
      <c r="AR197" s="24"/>
      <c r="AS197" s="24"/>
      <c r="AT197" s="24"/>
    </row>
    <row r="198" ht="15.75" customHeight="1">
      <c r="F198" s="24"/>
      <c r="G198" s="24"/>
      <c r="H198" s="24"/>
      <c r="I198" s="24"/>
      <c r="J198" s="24"/>
      <c r="K198" s="24"/>
      <c r="L198" s="24"/>
      <c r="M198" s="24"/>
      <c r="N198" s="24"/>
      <c r="O198" s="24"/>
      <c r="P198" s="24"/>
      <c r="Q198" s="24"/>
      <c r="R198" s="24"/>
      <c r="S198" s="24"/>
      <c r="T198" s="24"/>
      <c r="U198" s="24"/>
      <c r="V198" s="24"/>
      <c r="W198" s="24"/>
      <c r="X198" s="24"/>
      <c r="Y198" s="24"/>
      <c r="Z198" s="24"/>
      <c r="AA198" s="24"/>
      <c r="AB198" s="24"/>
      <c r="AC198" s="24"/>
      <c r="AD198" s="24"/>
      <c r="AE198" s="24"/>
      <c r="AF198" s="24"/>
      <c r="AG198" s="24"/>
      <c r="AH198" s="24"/>
      <c r="AI198" s="24"/>
      <c r="AJ198" s="24"/>
      <c r="AK198" s="24"/>
      <c r="AM198" s="26"/>
      <c r="AN198" s="24"/>
      <c r="AO198" s="24"/>
      <c r="AP198" s="24"/>
      <c r="AQ198" s="24"/>
      <c r="AR198" s="24"/>
      <c r="AS198" s="24"/>
      <c r="AT198" s="24"/>
    </row>
    <row r="199" ht="15.75" customHeight="1">
      <c r="F199" s="24"/>
      <c r="G199" s="24"/>
      <c r="H199" s="24"/>
      <c r="I199" s="24"/>
      <c r="J199" s="24"/>
      <c r="K199" s="24"/>
      <c r="L199" s="24"/>
      <c r="M199" s="24"/>
      <c r="N199" s="24"/>
      <c r="O199" s="24"/>
      <c r="P199" s="24"/>
      <c r="Q199" s="24"/>
      <c r="R199" s="24"/>
      <c r="S199" s="24"/>
      <c r="T199" s="24"/>
      <c r="U199" s="24"/>
      <c r="V199" s="24"/>
      <c r="W199" s="24"/>
      <c r="X199" s="24"/>
      <c r="Y199" s="24"/>
      <c r="Z199" s="24"/>
      <c r="AA199" s="24"/>
      <c r="AB199" s="24"/>
      <c r="AC199" s="24"/>
      <c r="AD199" s="24"/>
      <c r="AE199" s="24"/>
      <c r="AF199" s="24"/>
      <c r="AG199" s="24"/>
      <c r="AH199" s="24"/>
      <c r="AI199" s="24"/>
      <c r="AJ199" s="24"/>
      <c r="AK199" s="24"/>
      <c r="AM199" s="26"/>
      <c r="AN199" s="24"/>
      <c r="AO199" s="24"/>
      <c r="AP199" s="24"/>
      <c r="AQ199" s="24"/>
      <c r="AR199" s="24"/>
      <c r="AS199" s="24"/>
      <c r="AT199" s="24"/>
    </row>
    <row r="200" ht="15.75" customHeight="1">
      <c r="F200" s="24"/>
      <c r="G200" s="24"/>
      <c r="H200" s="24"/>
      <c r="I200" s="24"/>
      <c r="J200" s="24"/>
      <c r="K200" s="24"/>
      <c r="L200" s="24"/>
      <c r="M200" s="24"/>
      <c r="N200" s="24"/>
      <c r="O200" s="24"/>
      <c r="P200" s="24"/>
      <c r="Q200" s="24"/>
      <c r="R200" s="24"/>
      <c r="S200" s="24"/>
      <c r="T200" s="24"/>
      <c r="U200" s="24"/>
      <c r="V200" s="24"/>
      <c r="W200" s="24"/>
      <c r="X200" s="24"/>
      <c r="Y200" s="24"/>
      <c r="Z200" s="24"/>
      <c r="AA200" s="24"/>
      <c r="AB200" s="24"/>
      <c r="AC200" s="24"/>
      <c r="AD200" s="24"/>
      <c r="AE200" s="24"/>
      <c r="AF200" s="24"/>
      <c r="AG200" s="24"/>
      <c r="AH200" s="24"/>
      <c r="AI200" s="24"/>
      <c r="AJ200" s="24"/>
      <c r="AK200" s="24"/>
      <c r="AM200" s="26"/>
      <c r="AN200" s="24"/>
      <c r="AO200" s="24"/>
      <c r="AP200" s="24"/>
      <c r="AQ200" s="24"/>
      <c r="AR200" s="24"/>
      <c r="AS200" s="24"/>
      <c r="AT200" s="24"/>
    </row>
    <row r="201" ht="15.75" customHeight="1">
      <c r="F201" s="24"/>
      <c r="G201" s="24"/>
      <c r="H201" s="24"/>
      <c r="I201" s="24"/>
      <c r="J201" s="24"/>
      <c r="K201" s="24"/>
      <c r="L201" s="24"/>
      <c r="M201" s="24"/>
      <c r="N201" s="24"/>
      <c r="O201" s="24"/>
      <c r="P201" s="24"/>
      <c r="Q201" s="24"/>
      <c r="R201" s="24"/>
      <c r="S201" s="24"/>
      <c r="T201" s="24"/>
      <c r="U201" s="24"/>
      <c r="V201" s="24"/>
      <c r="W201" s="24"/>
      <c r="X201" s="24"/>
      <c r="Y201" s="24"/>
      <c r="Z201" s="24"/>
      <c r="AA201" s="24"/>
      <c r="AB201" s="24"/>
      <c r="AC201" s="24"/>
      <c r="AD201" s="24"/>
      <c r="AE201" s="24"/>
      <c r="AF201" s="24"/>
      <c r="AG201" s="24"/>
      <c r="AH201" s="24"/>
      <c r="AI201" s="24"/>
      <c r="AJ201" s="24"/>
      <c r="AK201" s="24"/>
      <c r="AM201" s="26"/>
      <c r="AN201" s="24"/>
      <c r="AO201" s="24"/>
      <c r="AP201" s="24"/>
      <c r="AQ201" s="24"/>
      <c r="AR201" s="24"/>
      <c r="AS201" s="24"/>
      <c r="AT201" s="24"/>
    </row>
    <row r="202" ht="15.75" customHeight="1">
      <c r="F202" s="24"/>
      <c r="G202" s="24"/>
      <c r="H202" s="24"/>
      <c r="I202" s="24"/>
      <c r="J202" s="24"/>
      <c r="K202" s="24"/>
      <c r="L202" s="24"/>
      <c r="M202" s="24"/>
      <c r="N202" s="24"/>
      <c r="O202" s="24"/>
      <c r="P202" s="24"/>
      <c r="Q202" s="24"/>
      <c r="R202" s="24"/>
      <c r="S202" s="24"/>
      <c r="T202" s="24"/>
      <c r="U202" s="24"/>
      <c r="V202" s="24"/>
      <c r="W202" s="24"/>
      <c r="X202" s="24"/>
      <c r="Y202" s="24"/>
      <c r="Z202" s="24"/>
      <c r="AA202" s="24"/>
      <c r="AB202" s="24"/>
      <c r="AC202" s="24"/>
      <c r="AD202" s="24"/>
      <c r="AE202" s="24"/>
      <c r="AF202" s="24"/>
      <c r="AG202" s="24"/>
      <c r="AH202" s="24"/>
      <c r="AI202" s="24"/>
      <c r="AJ202" s="24"/>
      <c r="AK202" s="24"/>
      <c r="AM202" s="26"/>
      <c r="AN202" s="24"/>
      <c r="AO202" s="24"/>
      <c r="AP202" s="24"/>
      <c r="AQ202" s="24"/>
      <c r="AR202" s="24"/>
      <c r="AS202" s="24"/>
      <c r="AT202" s="24"/>
    </row>
    <row r="203" ht="15.75" customHeight="1">
      <c r="F203" s="24"/>
      <c r="G203" s="24"/>
      <c r="H203" s="24"/>
      <c r="I203" s="24"/>
      <c r="J203" s="24"/>
      <c r="K203" s="24"/>
      <c r="L203" s="24"/>
      <c r="M203" s="24"/>
      <c r="N203" s="24"/>
      <c r="O203" s="24"/>
      <c r="P203" s="24"/>
      <c r="Q203" s="24"/>
      <c r="R203" s="24"/>
      <c r="S203" s="24"/>
      <c r="T203" s="24"/>
      <c r="U203" s="24"/>
      <c r="V203" s="24"/>
      <c r="W203" s="24"/>
      <c r="X203" s="24"/>
      <c r="Y203" s="24"/>
      <c r="Z203" s="24"/>
      <c r="AA203" s="24"/>
      <c r="AB203" s="24"/>
      <c r="AC203" s="24"/>
      <c r="AD203" s="24"/>
      <c r="AE203" s="24"/>
      <c r="AF203" s="24"/>
      <c r="AG203" s="24"/>
      <c r="AH203" s="24"/>
      <c r="AI203" s="24"/>
      <c r="AJ203" s="24"/>
      <c r="AK203" s="24"/>
      <c r="AM203" s="26"/>
      <c r="AN203" s="24"/>
      <c r="AO203" s="24"/>
      <c r="AP203" s="24"/>
      <c r="AQ203" s="24"/>
      <c r="AR203" s="24"/>
      <c r="AS203" s="24"/>
      <c r="AT203" s="24"/>
    </row>
    <row r="204" ht="15.75" customHeight="1">
      <c r="F204" s="24"/>
      <c r="G204" s="24"/>
      <c r="H204" s="24"/>
      <c r="I204" s="24"/>
      <c r="J204" s="24"/>
      <c r="K204" s="24"/>
      <c r="L204" s="24"/>
      <c r="M204" s="24"/>
      <c r="N204" s="24"/>
      <c r="O204" s="24"/>
      <c r="P204" s="24"/>
      <c r="Q204" s="24"/>
      <c r="R204" s="24"/>
      <c r="S204" s="24"/>
      <c r="T204" s="24"/>
      <c r="U204" s="24"/>
      <c r="V204" s="24"/>
      <c r="W204" s="24"/>
      <c r="X204" s="24"/>
      <c r="Y204" s="24"/>
      <c r="Z204" s="24"/>
      <c r="AA204" s="24"/>
      <c r="AB204" s="24"/>
      <c r="AC204" s="24"/>
      <c r="AD204" s="24"/>
      <c r="AE204" s="24"/>
      <c r="AF204" s="24"/>
      <c r="AG204" s="24"/>
      <c r="AH204" s="24"/>
      <c r="AI204" s="24"/>
      <c r="AJ204" s="24"/>
      <c r="AK204" s="24"/>
      <c r="AM204" s="26"/>
      <c r="AN204" s="24"/>
      <c r="AO204" s="24"/>
      <c r="AP204" s="24"/>
      <c r="AQ204" s="24"/>
      <c r="AR204" s="24"/>
      <c r="AS204" s="24"/>
      <c r="AT204" s="24"/>
    </row>
    <row r="205" ht="15.75" customHeight="1">
      <c r="F205" s="24"/>
      <c r="G205" s="24"/>
      <c r="H205" s="24"/>
      <c r="I205" s="24"/>
      <c r="J205" s="24"/>
      <c r="K205" s="24"/>
      <c r="L205" s="24"/>
      <c r="M205" s="24"/>
      <c r="N205" s="24"/>
      <c r="O205" s="24"/>
      <c r="P205" s="24"/>
      <c r="Q205" s="24"/>
      <c r="R205" s="24"/>
      <c r="S205" s="24"/>
      <c r="T205" s="24"/>
      <c r="U205" s="24"/>
      <c r="V205" s="24"/>
      <c r="W205" s="24"/>
      <c r="X205" s="24"/>
      <c r="Y205" s="24"/>
      <c r="Z205" s="24"/>
      <c r="AA205" s="24"/>
      <c r="AB205" s="24"/>
      <c r="AC205" s="24"/>
      <c r="AD205" s="24"/>
      <c r="AE205" s="24"/>
      <c r="AF205" s="24"/>
      <c r="AG205" s="24"/>
      <c r="AH205" s="24"/>
      <c r="AI205" s="24"/>
      <c r="AJ205" s="24"/>
      <c r="AK205" s="24"/>
      <c r="AM205" s="26"/>
      <c r="AN205" s="24"/>
      <c r="AO205" s="24"/>
      <c r="AP205" s="24"/>
      <c r="AQ205" s="24"/>
      <c r="AR205" s="24"/>
      <c r="AS205" s="24"/>
      <c r="AT205" s="24"/>
    </row>
    <row r="206" ht="15.75" customHeight="1">
      <c r="F206" s="24"/>
      <c r="G206" s="24"/>
      <c r="H206" s="24"/>
      <c r="I206" s="24"/>
      <c r="J206" s="24"/>
      <c r="K206" s="24"/>
      <c r="L206" s="24"/>
      <c r="M206" s="24"/>
      <c r="N206" s="24"/>
      <c r="O206" s="24"/>
      <c r="P206" s="24"/>
      <c r="Q206" s="24"/>
      <c r="R206" s="24"/>
      <c r="S206" s="24"/>
      <c r="T206" s="24"/>
      <c r="U206" s="24"/>
      <c r="V206" s="24"/>
      <c r="W206" s="24"/>
      <c r="X206" s="24"/>
      <c r="Y206" s="24"/>
      <c r="Z206" s="24"/>
      <c r="AA206" s="24"/>
      <c r="AB206" s="24"/>
      <c r="AC206" s="24"/>
      <c r="AD206" s="24"/>
      <c r="AE206" s="24"/>
      <c r="AF206" s="24"/>
      <c r="AG206" s="24"/>
      <c r="AH206" s="24"/>
      <c r="AI206" s="24"/>
      <c r="AJ206" s="24"/>
      <c r="AK206" s="24"/>
      <c r="AM206" s="26"/>
      <c r="AN206" s="24"/>
      <c r="AO206" s="24"/>
      <c r="AP206" s="24"/>
      <c r="AQ206" s="24"/>
      <c r="AR206" s="24"/>
      <c r="AS206" s="24"/>
      <c r="AT206" s="24"/>
    </row>
    <row r="207" ht="15.75" customHeight="1">
      <c r="F207" s="24"/>
      <c r="G207" s="24"/>
      <c r="H207" s="24"/>
      <c r="I207" s="24"/>
      <c r="J207" s="24"/>
      <c r="K207" s="24"/>
      <c r="L207" s="24"/>
      <c r="M207" s="24"/>
      <c r="N207" s="24"/>
      <c r="O207" s="24"/>
      <c r="P207" s="24"/>
      <c r="Q207" s="24"/>
      <c r="R207" s="24"/>
      <c r="S207" s="24"/>
      <c r="T207" s="24"/>
      <c r="U207" s="24"/>
      <c r="V207" s="24"/>
      <c r="W207" s="24"/>
      <c r="X207" s="24"/>
      <c r="Y207" s="24"/>
      <c r="Z207" s="24"/>
      <c r="AA207" s="24"/>
      <c r="AB207" s="24"/>
      <c r="AC207" s="24"/>
      <c r="AD207" s="24"/>
      <c r="AE207" s="24"/>
      <c r="AF207" s="24"/>
      <c r="AG207" s="24"/>
      <c r="AH207" s="24"/>
      <c r="AI207" s="24"/>
      <c r="AJ207" s="24"/>
      <c r="AK207" s="24"/>
      <c r="AM207" s="26"/>
      <c r="AN207" s="24"/>
      <c r="AO207" s="24"/>
      <c r="AP207" s="24"/>
      <c r="AQ207" s="24"/>
      <c r="AR207" s="24"/>
      <c r="AS207" s="24"/>
      <c r="AT207" s="24"/>
    </row>
    <row r="208" ht="15.75" customHeight="1">
      <c r="F208" s="24"/>
      <c r="G208" s="24"/>
      <c r="H208" s="24"/>
      <c r="I208" s="24"/>
      <c r="J208" s="24"/>
      <c r="K208" s="24"/>
      <c r="L208" s="24"/>
      <c r="M208" s="24"/>
      <c r="N208" s="24"/>
      <c r="O208" s="24"/>
      <c r="P208" s="24"/>
      <c r="Q208" s="24"/>
      <c r="R208" s="24"/>
      <c r="S208" s="24"/>
      <c r="T208" s="24"/>
      <c r="U208" s="24"/>
      <c r="V208" s="24"/>
      <c r="W208" s="24"/>
      <c r="X208" s="24"/>
      <c r="Y208" s="24"/>
      <c r="Z208" s="24"/>
      <c r="AA208" s="24"/>
      <c r="AB208" s="24"/>
      <c r="AC208" s="24"/>
      <c r="AD208" s="24"/>
      <c r="AE208" s="24"/>
      <c r="AF208" s="24"/>
      <c r="AG208" s="24"/>
      <c r="AH208" s="24"/>
      <c r="AI208" s="24"/>
      <c r="AJ208" s="24"/>
      <c r="AK208" s="24"/>
      <c r="AM208" s="26"/>
      <c r="AN208" s="24"/>
      <c r="AO208" s="24"/>
      <c r="AP208" s="24"/>
      <c r="AQ208" s="24"/>
      <c r="AR208" s="24"/>
      <c r="AS208" s="24"/>
      <c r="AT208" s="24"/>
    </row>
    <row r="209" ht="15.75" customHeight="1">
      <c r="F209" s="24"/>
      <c r="G209" s="24"/>
      <c r="H209" s="24"/>
      <c r="I209" s="24"/>
      <c r="J209" s="24"/>
      <c r="K209" s="24"/>
      <c r="L209" s="24"/>
      <c r="M209" s="24"/>
      <c r="N209" s="24"/>
      <c r="O209" s="24"/>
      <c r="P209" s="24"/>
      <c r="Q209" s="24"/>
      <c r="R209" s="24"/>
      <c r="S209" s="24"/>
      <c r="T209" s="24"/>
      <c r="U209" s="24"/>
      <c r="V209" s="24"/>
      <c r="W209" s="24"/>
      <c r="X209" s="24"/>
      <c r="Y209" s="24"/>
      <c r="Z209" s="24"/>
      <c r="AA209" s="24"/>
      <c r="AB209" s="24"/>
      <c r="AC209" s="24"/>
      <c r="AD209" s="24"/>
      <c r="AE209" s="24"/>
      <c r="AF209" s="24"/>
      <c r="AG209" s="24"/>
      <c r="AH209" s="24"/>
      <c r="AI209" s="24"/>
      <c r="AJ209" s="24"/>
      <c r="AK209" s="24"/>
      <c r="AM209" s="26"/>
      <c r="AN209" s="24"/>
      <c r="AO209" s="24"/>
      <c r="AP209" s="24"/>
      <c r="AQ209" s="24"/>
      <c r="AR209" s="24"/>
      <c r="AS209" s="24"/>
      <c r="AT209" s="24"/>
    </row>
    <row r="210" ht="15.75" customHeight="1">
      <c r="F210" s="24"/>
      <c r="G210" s="24"/>
      <c r="H210" s="24"/>
      <c r="I210" s="24"/>
      <c r="J210" s="24"/>
      <c r="K210" s="24"/>
      <c r="L210" s="24"/>
      <c r="M210" s="24"/>
      <c r="N210" s="24"/>
      <c r="O210" s="24"/>
      <c r="P210" s="24"/>
      <c r="Q210" s="24"/>
      <c r="R210" s="24"/>
      <c r="S210" s="24"/>
      <c r="T210" s="24"/>
      <c r="U210" s="24"/>
      <c r="V210" s="24"/>
      <c r="W210" s="24"/>
      <c r="X210" s="24"/>
      <c r="Y210" s="24"/>
      <c r="Z210" s="24"/>
      <c r="AA210" s="24"/>
      <c r="AB210" s="24"/>
      <c r="AC210" s="24"/>
      <c r="AD210" s="24"/>
      <c r="AE210" s="24"/>
      <c r="AF210" s="24"/>
      <c r="AG210" s="24"/>
      <c r="AH210" s="24"/>
      <c r="AI210" s="24"/>
      <c r="AJ210" s="24"/>
      <c r="AK210" s="24"/>
      <c r="AM210" s="26"/>
      <c r="AN210" s="24"/>
      <c r="AO210" s="24"/>
      <c r="AP210" s="24"/>
      <c r="AQ210" s="24"/>
      <c r="AR210" s="24"/>
      <c r="AS210" s="24"/>
      <c r="AT210" s="24"/>
    </row>
    <row r="211" ht="15.75" customHeight="1">
      <c r="F211" s="24"/>
      <c r="G211" s="24"/>
      <c r="H211" s="24"/>
      <c r="I211" s="24"/>
      <c r="J211" s="24"/>
      <c r="K211" s="24"/>
      <c r="L211" s="24"/>
      <c r="M211" s="24"/>
      <c r="N211" s="24"/>
      <c r="O211" s="24"/>
      <c r="P211" s="24"/>
      <c r="Q211" s="24"/>
      <c r="R211" s="24"/>
      <c r="S211" s="24"/>
      <c r="T211" s="24"/>
      <c r="U211" s="24"/>
      <c r="V211" s="24"/>
      <c r="W211" s="24"/>
      <c r="X211" s="24"/>
      <c r="Y211" s="24"/>
      <c r="Z211" s="24"/>
      <c r="AA211" s="24"/>
      <c r="AB211" s="24"/>
      <c r="AC211" s="24"/>
      <c r="AD211" s="24"/>
      <c r="AE211" s="24"/>
      <c r="AF211" s="24"/>
      <c r="AG211" s="24"/>
      <c r="AH211" s="24"/>
      <c r="AI211" s="24"/>
      <c r="AJ211" s="24"/>
      <c r="AK211" s="24"/>
      <c r="AM211" s="26"/>
      <c r="AN211" s="24"/>
      <c r="AO211" s="24"/>
      <c r="AP211" s="24"/>
      <c r="AQ211" s="24"/>
      <c r="AR211" s="24"/>
      <c r="AS211" s="24"/>
      <c r="AT211" s="24"/>
    </row>
    <row r="212" ht="15.75" customHeight="1">
      <c r="F212" s="24"/>
      <c r="G212" s="24"/>
      <c r="H212" s="24"/>
      <c r="I212" s="24"/>
      <c r="J212" s="24"/>
      <c r="K212" s="24"/>
      <c r="L212" s="24"/>
      <c r="M212" s="24"/>
      <c r="N212" s="24"/>
      <c r="O212" s="24"/>
      <c r="P212" s="24"/>
      <c r="Q212" s="24"/>
      <c r="R212" s="24"/>
      <c r="S212" s="24"/>
      <c r="T212" s="24"/>
      <c r="U212" s="24"/>
      <c r="V212" s="24"/>
      <c r="W212" s="24"/>
      <c r="X212" s="24"/>
      <c r="Y212" s="24"/>
      <c r="Z212" s="24"/>
      <c r="AA212" s="24"/>
      <c r="AB212" s="24"/>
      <c r="AC212" s="24"/>
      <c r="AD212" s="24"/>
      <c r="AE212" s="24"/>
      <c r="AF212" s="24"/>
      <c r="AG212" s="24"/>
      <c r="AH212" s="24"/>
      <c r="AI212" s="24"/>
      <c r="AJ212" s="24"/>
      <c r="AK212" s="24"/>
      <c r="AM212" s="26"/>
      <c r="AN212" s="24"/>
      <c r="AO212" s="24"/>
      <c r="AP212" s="24"/>
      <c r="AQ212" s="24"/>
      <c r="AR212" s="24"/>
      <c r="AS212" s="24"/>
      <c r="AT212" s="24"/>
    </row>
    <row r="213" ht="15.75" customHeight="1">
      <c r="F213" s="24"/>
      <c r="G213" s="24"/>
      <c r="H213" s="24"/>
      <c r="I213" s="24"/>
      <c r="J213" s="24"/>
      <c r="K213" s="24"/>
      <c r="L213" s="24"/>
      <c r="M213" s="24"/>
      <c r="N213" s="24"/>
      <c r="O213" s="24"/>
      <c r="P213" s="24"/>
      <c r="Q213" s="24"/>
      <c r="R213" s="24"/>
      <c r="S213" s="24"/>
      <c r="T213" s="24"/>
      <c r="U213" s="24"/>
      <c r="V213" s="24"/>
      <c r="W213" s="24"/>
      <c r="X213" s="24"/>
      <c r="Y213" s="24"/>
      <c r="Z213" s="24"/>
      <c r="AA213" s="24"/>
      <c r="AB213" s="24"/>
      <c r="AC213" s="24"/>
      <c r="AD213" s="24"/>
      <c r="AE213" s="24"/>
      <c r="AF213" s="24"/>
      <c r="AG213" s="24"/>
      <c r="AH213" s="24"/>
      <c r="AI213" s="24"/>
      <c r="AJ213" s="24"/>
      <c r="AK213" s="24"/>
      <c r="AM213" s="26"/>
      <c r="AN213" s="24"/>
      <c r="AO213" s="24"/>
      <c r="AP213" s="24"/>
      <c r="AQ213" s="24"/>
      <c r="AR213" s="24"/>
      <c r="AS213" s="24"/>
      <c r="AT213" s="24"/>
    </row>
    <row r="214" ht="15.75" customHeight="1">
      <c r="F214" s="24"/>
      <c r="G214" s="24"/>
      <c r="H214" s="24"/>
      <c r="I214" s="24"/>
      <c r="J214" s="24"/>
      <c r="K214" s="24"/>
      <c r="L214" s="24"/>
      <c r="M214" s="24"/>
      <c r="N214" s="24"/>
      <c r="O214" s="24"/>
      <c r="P214" s="24"/>
      <c r="Q214" s="24"/>
      <c r="R214" s="24"/>
      <c r="S214" s="24"/>
      <c r="T214" s="24"/>
      <c r="U214" s="24"/>
      <c r="V214" s="24"/>
      <c r="W214" s="24"/>
      <c r="X214" s="24"/>
      <c r="Y214" s="24"/>
      <c r="Z214" s="24"/>
      <c r="AA214" s="24"/>
      <c r="AB214" s="24"/>
      <c r="AC214" s="24"/>
      <c r="AD214" s="24"/>
      <c r="AE214" s="24"/>
      <c r="AF214" s="24"/>
      <c r="AG214" s="24"/>
      <c r="AH214" s="24"/>
      <c r="AI214" s="24"/>
      <c r="AJ214" s="24"/>
      <c r="AK214" s="24"/>
      <c r="AM214" s="26"/>
      <c r="AN214" s="24"/>
      <c r="AO214" s="24"/>
      <c r="AP214" s="24"/>
      <c r="AQ214" s="24"/>
      <c r="AR214" s="24"/>
      <c r="AS214" s="24"/>
      <c r="AT214" s="24"/>
    </row>
    <row r="215" ht="15.75" customHeight="1">
      <c r="F215" s="24"/>
      <c r="G215" s="24"/>
      <c r="H215" s="24"/>
      <c r="I215" s="24"/>
      <c r="J215" s="24"/>
      <c r="K215" s="24"/>
      <c r="L215" s="24"/>
      <c r="M215" s="24"/>
      <c r="N215" s="24"/>
      <c r="O215" s="24"/>
      <c r="P215" s="24"/>
      <c r="Q215" s="24"/>
      <c r="R215" s="24"/>
      <c r="S215" s="24"/>
      <c r="T215" s="24"/>
      <c r="U215" s="24"/>
      <c r="V215" s="24"/>
      <c r="W215" s="24"/>
      <c r="X215" s="24"/>
      <c r="Y215" s="24"/>
      <c r="Z215" s="24"/>
      <c r="AA215" s="24"/>
      <c r="AB215" s="24"/>
      <c r="AC215" s="24"/>
      <c r="AD215" s="24"/>
      <c r="AE215" s="24"/>
      <c r="AF215" s="24"/>
      <c r="AG215" s="24"/>
      <c r="AH215" s="24"/>
      <c r="AI215" s="24"/>
      <c r="AJ215" s="24"/>
      <c r="AK215" s="24"/>
      <c r="AM215" s="26"/>
      <c r="AN215" s="24"/>
      <c r="AO215" s="24"/>
      <c r="AP215" s="24"/>
      <c r="AQ215" s="24"/>
      <c r="AR215" s="24"/>
      <c r="AS215" s="24"/>
      <c r="AT215" s="24"/>
    </row>
    <row r="216" ht="15.75" customHeight="1">
      <c r="F216" s="24"/>
      <c r="G216" s="24"/>
      <c r="H216" s="24"/>
      <c r="I216" s="24"/>
      <c r="J216" s="24"/>
      <c r="K216" s="24"/>
      <c r="L216" s="24"/>
      <c r="M216" s="24"/>
      <c r="N216" s="24"/>
      <c r="O216" s="24"/>
      <c r="P216" s="24"/>
      <c r="Q216" s="24"/>
      <c r="R216" s="24"/>
      <c r="S216" s="24"/>
      <c r="T216" s="24"/>
      <c r="U216" s="24"/>
      <c r="V216" s="24"/>
      <c r="W216" s="24"/>
      <c r="X216" s="24"/>
      <c r="Y216" s="24"/>
      <c r="Z216" s="24"/>
      <c r="AA216" s="24"/>
      <c r="AB216" s="24"/>
      <c r="AC216" s="24"/>
      <c r="AD216" s="24"/>
      <c r="AE216" s="24"/>
      <c r="AF216" s="24"/>
      <c r="AG216" s="24"/>
      <c r="AH216" s="24"/>
      <c r="AI216" s="24"/>
      <c r="AJ216" s="24"/>
      <c r="AK216" s="24"/>
      <c r="AM216" s="26"/>
      <c r="AN216" s="24"/>
      <c r="AO216" s="24"/>
      <c r="AP216" s="24"/>
      <c r="AQ216" s="24"/>
      <c r="AR216" s="24"/>
      <c r="AS216" s="24"/>
      <c r="AT216" s="24"/>
    </row>
    <row r="217" ht="15.75" customHeight="1">
      <c r="F217" s="24"/>
      <c r="G217" s="24"/>
      <c r="H217" s="24"/>
      <c r="I217" s="24"/>
      <c r="J217" s="24"/>
      <c r="K217" s="24"/>
      <c r="L217" s="24"/>
      <c r="M217" s="24"/>
      <c r="N217" s="24"/>
      <c r="O217" s="24"/>
      <c r="P217" s="24"/>
      <c r="Q217" s="24"/>
      <c r="R217" s="24"/>
      <c r="S217" s="24"/>
      <c r="T217" s="24"/>
      <c r="U217" s="24"/>
      <c r="V217" s="24"/>
      <c r="W217" s="24"/>
      <c r="X217" s="24"/>
      <c r="Y217" s="24"/>
      <c r="Z217" s="24"/>
      <c r="AA217" s="24"/>
      <c r="AB217" s="24"/>
      <c r="AC217" s="24"/>
      <c r="AD217" s="24"/>
      <c r="AE217" s="24"/>
      <c r="AF217" s="24"/>
      <c r="AG217" s="24"/>
      <c r="AH217" s="24"/>
      <c r="AI217" s="24"/>
      <c r="AJ217" s="24"/>
      <c r="AK217" s="24"/>
      <c r="AM217" s="26"/>
      <c r="AN217" s="24"/>
      <c r="AO217" s="24"/>
      <c r="AP217" s="24"/>
      <c r="AQ217" s="24"/>
      <c r="AR217" s="24"/>
      <c r="AS217" s="24"/>
      <c r="AT217" s="24"/>
    </row>
    <row r="218" ht="15.75" customHeight="1">
      <c r="F218" s="24"/>
      <c r="G218" s="24"/>
      <c r="H218" s="24"/>
      <c r="I218" s="24"/>
      <c r="J218" s="24"/>
      <c r="K218" s="24"/>
      <c r="L218" s="24"/>
      <c r="M218" s="24"/>
      <c r="N218" s="24"/>
      <c r="O218" s="24"/>
      <c r="P218" s="24"/>
      <c r="Q218" s="24"/>
      <c r="R218" s="24"/>
      <c r="S218" s="24"/>
      <c r="T218" s="24"/>
      <c r="U218" s="24"/>
      <c r="V218" s="24"/>
      <c r="W218" s="24"/>
      <c r="X218" s="24"/>
      <c r="Y218" s="24"/>
      <c r="Z218" s="24"/>
      <c r="AA218" s="24"/>
      <c r="AB218" s="24"/>
      <c r="AC218" s="24"/>
      <c r="AD218" s="24"/>
      <c r="AE218" s="24"/>
      <c r="AF218" s="24"/>
      <c r="AG218" s="24"/>
      <c r="AH218" s="24"/>
      <c r="AI218" s="24"/>
      <c r="AJ218" s="24"/>
      <c r="AK218" s="24"/>
      <c r="AM218" s="26"/>
      <c r="AN218" s="24"/>
      <c r="AO218" s="24"/>
      <c r="AP218" s="24"/>
      <c r="AQ218" s="24"/>
      <c r="AR218" s="24"/>
      <c r="AS218" s="24"/>
      <c r="AT218" s="24"/>
    </row>
    <row r="219" ht="15.75" customHeight="1">
      <c r="F219" s="24"/>
      <c r="G219" s="24"/>
      <c r="H219" s="24"/>
      <c r="I219" s="24"/>
      <c r="J219" s="24"/>
      <c r="K219" s="24"/>
      <c r="L219" s="24"/>
      <c r="M219" s="24"/>
      <c r="N219" s="24"/>
      <c r="O219" s="24"/>
      <c r="P219" s="24"/>
      <c r="Q219" s="24"/>
      <c r="R219" s="24"/>
      <c r="S219" s="24"/>
      <c r="T219" s="24"/>
      <c r="U219" s="24"/>
      <c r="V219" s="24"/>
      <c r="W219" s="24"/>
      <c r="X219" s="24"/>
      <c r="Y219" s="24"/>
      <c r="Z219" s="24"/>
      <c r="AA219" s="24"/>
      <c r="AB219" s="24"/>
      <c r="AC219" s="24"/>
      <c r="AD219" s="24"/>
      <c r="AE219" s="24"/>
      <c r="AF219" s="24"/>
      <c r="AG219" s="24"/>
      <c r="AH219" s="24"/>
      <c r="AI219" s="24"/>
      <c r="AJ219" s="24"/>
      <c r="AK219" s="24"/>
      <c r="AM219" s="26"/>
      <c r="AN219" s="24"/>
      <c r="AO219" s="24"/>
      <c r="AP219" s="24"/>
      <c r="AQ219" s="24"/>
      <c r="AR219" s="24"/>
      <c r="AS219" s="24"/>
      <c r="AT219" s="24"/>
    </row>
    <row r="220" ht="15.75" customHeight="1">
      <c r="F220" s="24"/>
      <c r="G220" s="24"/>
      <c r="H220" s="24"/>
      <c r="I220" s="24"/>
      <c r="J220" s="24"/>
      <c r="K220" s="24"/>
      <c r="L220" s="24"/>
      <c r="M220" s="24"/>
      <c r="N220" s="24"/>
      <c r="O220" s="24"/>
      <c r="P220" s="24"/>
      <c r="Q220" s="24"/>
      <c r="R220" s="24"/>
      <c r="S220" s="24"/>
      <c r="T220" s="24"/>
      <c r="U220" s="24"/>
      <c r="V220" s="24"/>
      <c r="W220" s="24"/>
      <c r="X220" s="24"/>
      <c r="Y220" s="24"/>
      <c r="Z220" s="24"/>
      <c r="AA220" s="24"/>
      <c r="AB220" s="24"/>
      <c r="AC220" s="24"/>
      <c r="AD220" s="24"/>
      <c r="AE220" s="24"/>
      <c r="AF220" s="24"/>
      <c r="AG220" s="24"/>
      <c r="AH220" s="24"/>
      <c r="AI220" s="24"/>
      <c r="AJ220" s="24"/>
      <c r="AK220" s="24"/>
      <c r="AM220" s="26"/>
      <c r="AN220" s="24"/>
      <c r="AO220" s="24"/>
      <c r="AP220" s="24"/>
      <c r="AQ220" s="24"/>
      <c r="AR220" s="24"/>
      <c r="AS220" s="24"/>
      <c r="AT220" s="24"/>
    </row>
    <row r="221" ht="15.75" customHeight="1">
      <c r="F221" s="24"/>
      <c r="G221" s="24"/>
      <c r="H221" s="24"/>
      <c r="I221" s="24"/>
      <c r="J221" s="24"/>
      <c r="K221" s="24"/>
      <c r="L221" s="24"/>
      <c r="M221" s="24"/>
      <c r="N221" s="24"/>
      <c r="O221" s="24"/>
      <c r="P221" s="24"/>
      <c r="Q221" s="24"/>
      <c r="R221" s="24"/>
      <c r="S221" s="24"/>
      <c r="T221" s="24"/>
      <c r="U221" s="24"/>
      <c r="V221" s="24"/>
      <c r="W221" s="24"/>
      <c r="X221" s="24"/>
      <c r="Y221" s="24"/>
      <c r="Z221" s="24"/>
      <c r="AA221" s="24"/>
      <c r="AB221" s="24"/>
      <c r="AC221" s="24"/>
      <c r="AD221" s="24"/>
      <c r="AE221" s="24"/>
      <c r="AF221" s="24"/>
      <c r="AG221" s="24"/>
      <c r="AH221" s="24"/>
      <c r="AI221" s="24"/>
      <c r="AJ221" s="24"/>
      <c r="AK221" s="24"/>
      <c r="AM221" s="26"/>
      <c r="AN221" s="24"/>
      <c r="AO221" s="24"/>
      <c r="AP221" s="24"/>
      <c r="AQ221" s="24"/>
      <c r="AR221" s="24"/>
      <c r="AS221" s="24"/>
      <c r="AT221" s="24"/>
    </row>
    <row r="222" ht="15.75" customHeight="1">
      <c r="F222" s="24"/>
      <c r="G222" s="24"/>
      <c r="H222" s="24"/>
      <c r="I222" s="24"/>
      <c r="J222" s="24"/>
      <c r="K222" s="24"/>
      <c r="L222" s="24"/>
      <c r="M222" s="24"/>
      <c r="N222" s="24"/>
      <c r="O222" s="24"/>
      <c r="P222" s="24"/>
      <c r="Q222" s="24"/>
      <c r="R222" s="24"/>
      <c r="S222" s="24"/>
      <c r="T222" s="24"/>
      <c r="U222" s="24"/>
      <c r="V222" s="24"/>
      <c r="W222" s="24"/>
      <c r="X222" s="24"/>
      <c r="Y222" s="24"/>
      <c r="Z222" s="24"/>
      <c r="AA222" s="24"/>
      <c r="AB222" s="24"/>
      <c r="AC222" s="24"/>
      <c r="AD222" s="24"/>
      <c r="AE222" s="24"/>
      <c r="AF222" s="24"/>
      <c r="AG222" s="24"/>
      <c r="AH222" s="24"/>
      <c r="AI222" s="24"/>
      <c r="AJ222" s="24"/>
      <c r="AK222" s="24"/>
      <c r="AM222" s="26"/>
      <c r="AN222" s="24"/>
      <c r="AO222" s="24"/>
      <c r="AP222" s="24"/>
      <c r="AQ222" s="24"/>
      <c r="AR222" s="24"/>
      <c r="AS222" s="24"/>
      <c r="AT222" s="24"/>
    </row>
    <row r="223" ht="15.75" customHeight="1">
      <c r="F223" s="24"/>
      <c r="G223" s="24"/>
      <c r="H223" s="24"/>
      <c r="I223" s="24"/>
      <c r="J223" s="24"/>
      <c r="K223" s="24"/>
      <c r="L223" s="24"/>
      <c r="M223" s="24"/>
      <c r="N223" s="24"/>
      <c r="O223" s="24"/>
      <c r="P223" s="24"/>
      <c r="Q223" s="24"/>
      <c r="R223" s="24"/>
      <c r="S223" s="24"/>
      <c r="T223" s="24"/>
      <c r="U223" s="24"/>
      <c r="V223" s="24"/>
      <c r="W223" s="24"/>
      <c r="X223" s="24"/>
      <c r="Y223" s="24"/>
      <c r="Z223" s="24"/>
      <c r="AA223" s="24"/>
      <c r="AB223" s="24"/>
      <c r="AC223" s="24"/>
      <c r="AD223" s="24"/>
      <c r="AE223" s="24"/>
      <c r="AF223" s="24"/>
      <c r="AG223" s="24"/>
      <c r="AH223" s="24"/>
      <c r="AI223" s="24"/>
      <c r="AJ223" s="24"/>
      <c r="AK223" s="24"/>
      <c r="AM223" s="26"/>
      <c r="AN223" s="24"/>
      <c r="AO223" s="24"/>
      <c r="AP223" s="24"/>
      <c r="AQ223" s="24"/>
      <c r="AR223" s="24"/>
      <c r="AS223" s="24"/>
      <c r="AT223" s="24"/>
    </row>
    <row r="224" ht="15.75" customHeight="1">
      <c r="F224" s="24"/>
      <c r="G224" s="24"/>
      <c r="H224" s="24"/>
      <c r="I224" s="24"/>
      <c r="J224" s="24"/>
      <c r="K224" s="24"/>
      <c r="L224" s="24"/>
      <c r="M224" s="24"/>
      <c r="N224" s="24"/>
      <c r="O224" s="24"/>
      <c r="P224" s="24"/>
      <c r="Q224" s="24"/>
      <c r="R224" s="24"/>
      <c r="S224" s="24"/>
      <c r="T224" s="24"/>
      <c r="U224" s="24"/>
      <c r="V224" s="24"/>
      <c r="W224" s="24"/>
      <c r="X224" s="24"/>
      <c r="Y224" s="24"/>
      <c r="Z224" s="24"/>
      <c r="AA224" s="24"/>
      <c r="AB224" s="24"/>
      <c r="AC224" s="24"/>
      <c r="AD224" s="24"/>
      <c r="AE224" s="24"/>
      <c r="AF224" s="24"/>
      <c r="AG224" s="24"/>
      <c r="AH224" s="24"/>
      <c r="AI224" s="24"/>
      <c r="AJ224" s="24"/>
      <c r="AK224" s="24"/>
      <c r="AM224" s="26"/>
      <c r="AN224" s="24"/>
      <c r="AO224" s="24"/>
      <c r="AP224" s="24"/>
      <c r="AQ224" s="24"/>
      <c r="AR224" s="24"/>
      <c r="AS224" s="24"/>
      <c r="AT224" s="24"/>
    </row>
    <row r="225" ht="15.75" customHeight="1">
      <c r="F225" s="24"/>
      <c r="G225" s="24"/>
      <c r="H225" s="24"/>
      <c r="I225" s="24"/>
      <c r="J225" s="24"/>
      <c r="K225" s="24"/>
      <c r="L225" s="24"/>
      <c r="M225" s="24"/>
      <c r="N225" s="24"/>
      <c r="O225" s="24"/>
      <c r="P225" s="24"/>
      <c r="Q225" s="24"/>
      <c r="R225" s="24"/>
      <c r="S225" s="24"/>
      <c r="T225" s="24"/>
      <c r="U225" s="24"/>
      <c r="V225" s="24"/>
      <c r="W225" s="24"/>
      <c r="X225" s="24"/>
      <c r="Y225" s="24"/>
      <c r="Z225" s="24"/>
      <c r="AA225" s="24"/>
      <c r="AB225" s="24"/>
      <c r="AC225" s="24"/>
      <c r="AD225" s="24"/>
      <c r="AE225" s="24"/>
      <c r="AF225" s="24"/>
      <c r="AG225" s="24"/>
      <c r="AH225" s="24"/>
      <c r="AI225" s="24"/>
      <c r="AJ225" s="24"/>
      <c r="AK225" s="24"/>
      <c r="AM225" s="26"/>
      <c r="AN225" s="24"/>
      <c r="AO225" s="24"/>
      <c r="AP225" s="24"/>
      <c r="AQ225" s="24"/>
      <c r="AR225" s="24"/>
      <c r="AS225" s="24"/>
      <c r="AT225" s="24"/>
    </row>
    <row r="226" ht="15.75" customHeight="1">
      <c r="F226" s="24"/>
      <c r="G226" s="24"/>
      <c r="H226" s="24"/>
      <c r="I226" s="24"/>
      <c r="J226" s="24"/>
      <c r="K226" s="24"/>
      <c r="L226" s="24"/>
      <c r="M226" s="24"/>
      <c r="N226" s="24"/>
      <c r="O226" s="24"/>
      <c r="P226" s="24"/>
      <c r="Q226" s="24"/>
      <c r="R226" s="24"/>
      <c r="S226" s="24"/>
      <c r="T226" s="24"/>
      <c r="U226" s="24"/>
      <c r="V226" s="24"/>
      <c r="W226" s="24"/>
      <c r="X226" s="24"/>
      <c r="Y226" s="24"/>
      <c r="Z226" s="24"/>
      <c r="AA226" s="24"/>
      <c r="AB226" s="24"/>
      <c r="AC226" s="24"/>
      <c r="AD226" s="24"/>
      <c r="AE226" s="24"/>
      <c r="AF226" s="24"/>
      <c r="AG226" s="24"/>
      <c r="AH226" s="24"/>
      <c r="AI226" s="24"/>
      <c r="AJ226" s="24"/>
      <c r="AK226" s="24"/>
      <c r="AM226" s="26"/>
      <c r="AN226" s="24"/>
      <c r="AO226" s="24"/>
      <c r="AP226" s="24"/>
      <c r="AQ226" s="24"/>
      <c r="AR226" s="24"/>
      <c r="AS226" s="24"/>
      <c r="AT226" s="24"/>
    </row>
    <row r="227" ht="15.75" customHeight="1">
      <c r="F227" s="24"/>
      <c r="G227" s="24"/>
      <c r="H227" s="24"/>
      <c r="I227" s="24"/>
      <c r="J227" s="24"/>
      <c r="K227" s="24"/>
      <c r="L227" s="24"/>
      <c r="M227" s="24"/>
      <c r="N227" s="24"/>
      <c r="O227" s="24"/>
      <c r="P227" s="24"/>
      <c r="Q227" s="24"/>
      <c r="R227" s="24"/>
      <c r="S227" s="24"/>
      <c r="T227" s="24"/>
      <c r="U227" s="24"/>
      <c r="V227" s="24"/>
      <c r="W227" s="24"/>
      <c r="X227" s="24"/>
      <c r="Y227" s="24"/>
      <c r="Z227" s="24"/>
      <c r="AA227" s="24"/>
      <c r="AB227" s="24"/>
      <c r="AC227" s="24"/>
      <c r="AD227" s="24"/>
      <c r="AE227" s="24"/>
      <c r="AF227" s="24"/>
      <c r="AG227" s="24"/>
      <c r="AH227" s="24"/>
      <c r="AI227" s="24"/>
      <c r="AJ227" s="24"/>
      <c r="AK227" s="24"/>
      <c r="AM227" s="26"/>
      <c r="AN227" s="24"/>
      <c r="AO227" s="24"/>
      <c r="AP227" s="24"/>
      <c r="AQ227" s="24"/>
      <c r="AR227" s="24"/>
      <c r="AS227" s="24"/>
      <c r="AT227" s="24"/>
    </row>
    <row r="228" ht="15.75" customHeight="1">
      <c r="F228" s="24"/>
      <c r="G228" s="24"/>
      <c r="H228" s="24"/>
      <c r="I228" s="24"/>
      <c r="J228" s="24"/>
      <c r="K228" s="24"/>
      <c r="L228" s="24"/>
      <c r="M228" s="24"/>
      <c r="N228" s="24"/>
      <c r="O228" s="24"/>
      <c r="P228" s="24"/>
      <c r="Q228" s="24"/>
      <c r="R228" s="24"/>
      <c r="S228" s="24"/>
      <c r="T228" s="24"/>
      <c r="U228" s="24"/>
      <c r="V228" s="24"/>
      <c r="W228" s="24"/>
      <c r="X228" s="24"/>
      <c r="Y228" s="24"/>
      <c r="Z228" s="24"/>
      <c r="AA228" s="24"/>
      <c r="AB228" s="24"/>
      <c r="AC228" s="24"/>
      <c r="AD228" s="24"/>
      <c r="AE228" s="24"/>
      <c r="AF228" s="24"/>
      <c r="AG228" s="24"/>
      <c r="AH228" s="24"/>
      <c r="AI228" s="24"/>
      <c r="AJ228" s="24"/>
      <c r="AK228" s="24"/>
      <c r="AM228" s="26"/>
      <c r="AN228" s="24"/>
      <c r="AO228" s="24"/>
      <c r="AP228" s="24"/>
      <c r="AQ228" s="24"/>
      <c r="AR228" s="24"/>
      <c r="AS228" s="24"/>
      <c r="AT228" s="24"/>
    </row>
    <row r="229" ht="15.75" customHeight="1">
      <c r="F229" s="24"/>
      <c r="G229" s="24"/>
      <c r="H229" s="24"/>
      <c r="I229" s="24"/>
      <c r="J229" s="24"/>
      <c r="K229" s="24"/>
      <c r="L229" s="24"/>
      <c r="M229" s="24"/>
      <c r="N229" s="24"/>
      <c r="O229" s="24"/>
      <c r="P229" s="24"/>
      <c r="Q229" s="24"/>
      <c r="R229" s="24"/>
      <c r="S229" s="24"/>
      <c r="T229" s="24"/>
      <c r="U229" s="24"/>
      <c r="V229" s="24"/>
      <c r="W229" s="24"/>
      <c r="X229" s="24"/>
      <c r="Y229" s="24"/>
      <c r="Z229" s="24"/>
      <c r="AA229" s="24"/>
      <c r="AB229" s="24"/>
      <c r="AC229" s="24"/>
      <c r="AD229" s="24"/>
      <c r="AE229" s="24"/>
      <c r="AF229" s="24"/>
      <c r="AG229" s="24"/>
      <c r="AH229" s="24"/>
      <c r="AI229" s="24"/>
      <c r="AJ229" s="24"/>
      <c r="AK229" s="24"/>
      <c r="AM229" s="26"/>
      <c r="AN229" s="24"/>
      <c r="AO229" s="24"/>
      <c r="AP229" s="24"/>
      <c r="AQ229" s="24"/>
      <c r="AR229" s="24"/>
      <c r="AS229" s="24"/>
      <c r="AT229" s="24"/>
    </row>
    <row r="230" ht="15.75" customHeight="1">
      <c r="F230" s="24"/>
      <c r="G230" s="24"/>
      <c r="H230" s="24"/>
      <c r="I230" s="24"/>
      <c r="J230" s="24"/>
      <c r="K230" s="24"/>
      <c r="L230" s="24"/>
      <c r="M230" s="24"/>
      <c r="N230" s="24"/>
      <c r="O230" s="24"/>
      <c r="P230" s="24"/>
      <c r="Q230" s="24"/>
      <c r="R230" s="24"/>
      <c r="S230" s="24"/>
      <c r="T230" s="24"/>
      <c r="U230" s="24"/>
      <c r="V230" s="24"/>
      <c r="W230" s="24"/>
      <c r="X230" s="24"/>
      <c r="Y230" s="24"/>
      <c r="Z230" s="24"/>
      <c r="AA230" s="24"/>
      <c r="AB230" s="24"/>
      <c r="AC230" s="24"/>
      <c r="AD230" s="24"/>
      <c r="AE230" s="24"/>
      <c r="AF230" s="24"/>
      <c r="AG230" s="24"/>
      <c r="AH230" s="24"/>
      <c r="AI230" s="24"/>
      <c r="AJ230" s="24"/>
      <c r="AK230" s="24"/>
      <c r="AM230" s="26"/>
      <c r="AN230" s="24"/>
      <c r="AO230" s="24"/>
      <c r="AP230" s="24"/>
      <c r="AQ230" s="24"/>
      <c r="AR230" s="24"/>
      <c r="AS230" s="24"/>
      <c r="AT230" s="24"/>
    </row>
    <row r="231" ht="15.75" customHeight="1">
      <c r="F231" s="24"/>
      <c r="G231" s="24"/>
      <c r="H231" s="24"/>
      <c r="I231" s="24"/>
      <c r="J231" s="24"/>
      <c r="K231" s="24"/>
      <c r="L231" s="24"/>
      <c r="M231" s="24"/>
      <c r="N231" s="24"/>
      <c r="O231" s="24"/>
      <c r="P231" s="24"/>
      <c r="Q231" s="24"/>
      <c r="R231" s="24"/>
      <c r="S231" s="24"/>
      <c r="T231" s="24"/>
      <c r="U231" s="24"/>
      <c r="V231" s="24"/>
      <c r="W231" s="24"/>
      <c r="X231" s="24"/>
      <c r="Y231" s="24"/>
      <c r="Z231" s="24"/>
      <c r="AA231" s="24"/>
      <c r="AB231" s="24"/>
      <c r="AC231" s="24"/>
      <c r="AD231" s="24"/>
      <c r="AE231" s="24"/>
      <c r="AF231" s="24"/>
      <c r="AG231" s="24"/>
      <c r="AH231" s="24"/>
      <c r="AI231" s="24"/>
      <c r="AJ231" s="24"/>
      <c r="AK231" s="24"/>
      <c r="AM231" s="26"/>
      <c r="AN231" s="24"/>
      <c r="AO231" s="24"/>
      <c r="AP231" s="24"/>
      <c r="AQ231" s="24"/>
      <c r="AR231" s="24"/>
      <c r="AS231" s="24"/>
      <c r="AT231" s="24"/>
    </row>
    <row r="232" ht="15.75" customHeight="1">
      <c r="F232" s="24"/>
      <c r="G232" s="24"/>
      <c r="H232" s="24"/>
      <c r="I232" s="24"/>
      <c r="J232" s="24"/>
      <c r="K232" s="24"/>
      <c r="L232" s="24"/>
      <c r="M232" s="24"/>
      <c r="N232" s="24"/>
      <c r="O232" s="24"/>
      <c r="P232" s="24"/>
      <c r="Q232" s="24"/>
      <c r="R232" s="24"/>
      <c r="S232" s="24"/>
      <c r="T232" s="24"/>
      <c r="U232" s="24"/>
      <c r="V232" s="24"/>
      <c r="W232" s="24"/>
      <c r="X232" s="24"/>
      <c r="Y232" s="24"/>
      <c r="Z232" s="24"/>
      <c r="AA232" s="24"/>
      <c r="AB232" s="24"/>
      <c r="AC232" s="24"/>
      <c r="AD232" s="24"/>
      <c r="AE232" s="24"/>
      <c r="AF232" s="24"/>
      <c r="AG232" s="24"/>
      <c r="AH232" s="24"/>
      <c r="AI232" s="24"/>
      <c r="AJ232" s="24"/>
      <c r="AK232" s="24"/>
      <c r="AM232" s="26"/>
      <c r="AN232" s="24"/>
      <c r="AO232" s="24"/>
      <c r="AP232" s="24"/>
      <c r="AQ232" s="24"/>
      <c r="AR232" s="24"/>
      <c r="AS232" s="24"/>
      <c r="AT232" s="24"/>
    </row>
    <row r="233" ht="15.75" customHeight="1">
      <c r="F233" s="24"/>
      <c r="G233" s="24"/>
      <c r="H233" s="24"/>
      <c r="I233" s="24"/>
      <c r="J233" s="24"/>
      <c r="K233" s="24"/>
      <c r="L233" s="24"/>
      <c r="M233" s="24"/>
      <c r="N233" s="24"/>
      <c r="O233" s="24"/>
      <c r="P233" s="24"/>
      <c r="Q233" s="24"/>
      <c r="R233" s="24"/>
      <c r="S233" s="24"/>
      <c r="T233" s="24"/>
      <c r="U233" s="24"/>
      <c r="V233" s="24"/>
      <c r="W233" s="24"/>
      <c r="X233" s="24"/>
      <c r="Y233" s="24"/>
      <c r="Z233" s="24"/>
      <c r="AA233" s="24"/>
      <c r="AB233" s="24"/>
      <c r="AC233" s="24"/>
      <c r="AD233" s="24"/>
      <c r="AE233" s="24"/>
      <c r="AF233" s="24"/>
      <c r="AG233" s="24"/>
      <c r="AH233" s="24"/>
      <c r="AI233" s="24"/>
      <c r="AJ233" s="24"/>
      <c r="AK233" s="24"/>
      <c r="AM233" s="26"/>
      <c r="AN233" s="24"/>
      <c r="AO233" s="24"/>
      <c r="AP233" s="24"/>
      <c r="AQ233" s="24"/>
      <c r="AR233" s="24"/>
      <c r="AS233" s="24"/>
      <c r="AT233" s="24"/>
    </row>
    <row r="234" ht="15.75" customHeight="1">
      <c r="F234" s="24"/>
      <c r="G234" s="24"/>
      <c r="H234" s="24"/>
      <c r="I234" s="24"/>
      <c r="J234" s="24"/>
      <c r="K234" s="24"/>
      <c r="L234" s="24"/>
      <c r="M234" s="24"/>
      <c r="N234" s="24"/>
      <c r="O234" s="24"/>
      <c r="P234" s="24"/>
      <c r="Q234" s="24"/>
      <c r="R234" s="24"/>
      <c r="S234" s="24"/>
      <c r="T234" s="24"/>
      <c r="U234" s="24"/>
      <c r="V234" s="24"/>
      <c r="W234" s="24"/>
      <c r="X234" s="24"/>
      <c r="Y234" s="24"/>
      <c r="Z234" s="24"/>
      <c r="AA234" s="24"/>
      <c r="AB234" s="24"/>
      <c r="AC234" s="24"/>
      <c r="AD234" s="24"/>
      <c r="AE234" s="24"/>
      <c r="AF234" s="24"/>
      <c r="AG234" s="24"/>
      <c r="AH234" s="24"/>
      <c r="AI234" s="24"/>
      <c r="AJ234" s="24"/>
      <c r="AK234" s="24"/>
      <c r="AM234" s="26"/>
      <c r="AN234" s="24"/>
      <c r="AO234" s="24"/>
      <c r="AP234" s="24"/>
      <c r="AQ234" s="24"/>
      <c r="AR234" s="24"/>
      <c r="AS234" s="24"/>
      <c r="AT234" s="24"/>
    </row>
    <row r="235" ht="15.75" customHeight="1">
      <c r="F235" s="24"/>
      <c r="G235" s="24"/>
      <c r="H235" s="24"/>
      <c r="I235" s="24"/>
      <c r="J235" s="24"/>
      <c r="K235" s="24"/>
      <c r="L235" s="24"/>
      <c r="M235" s="24"/>
      <c r="N235" s="24"/>
      <c r="O235" s="24"/>
      <c r="P235" s="24"/>
      <c r="Q235" s="24"/>
      <c r="R235" s="24"/>
      <c r="S235" s="24"/>
      <c r="T235" s="24"/>
      <c r="U235" s="24"/>
      <c r="V235" s="24"/>
      <c r="W235" s="24"/>
      <c r="X235" s="24"/>
      <c r="Y235" s="24"/>
      <c r="Z235" s="24"/>
      <c r="AA235" s="24"/>
      <c r="AB235" s="24"/>
      <c r="AC235" s="24"/>
      <c r="AD235" s="24"/>
      <c r="AE235" s="24"/>
      <c r="AF235" s="24"/>
      <c r="AG235" s="24"/>
      <c r="AH235" s="24"/>
      <c r="AI235" s="24"/>
      <c r="AJ235" s="24"/>
      <c r="AK235" s="24"/>
      <c r="AM235" s="26"/>
      <c r="AN235" s="24"/>
      <c r="AO235" s="24"/>
      <c r="AP235" s="24"/>
      <c r="AQ235" s="24"/>
      <c r="AR235" s="24"/>
      <c r="AS235" s="24"/>
      <c r="AT235" s="24"/>
    </row>
    <row r="236" ht="15.75" customHeight="1">
      <c r="F236" s="24"/>
      <c r="G236" s="24"/>
      <c r="H236" s="24"/>
      <c r="I236" s="24"/>
      <c r="J236" s="24"/>
      <c r="K236" s="24"/>
      <c r="L236" s="24"/>
      <c r="M236" s="24"/>
      <c r="N236" s="24"/>
      <c r="O236" s="24"/>
      <c r="P236" s="24"/>
      <c r="Q236" s="24"/>
      <c r="R236" s="24"/>
      <c r="S236" s="24"/>
      <c r="T236" s="24"/>
      <c r="U236" s="24"/>
      <c r="V236" s="24"/>
      <c r="W236" s="24"/>
      <c r="X236" s="24"/>
      <c r="Y236" s="24"/>
      <c r="Z236" s="24"/>
      <c r="AA236" s="24"/>
      <c r="AB236" s="24"/>
      <c r="AC236" s="24"/>
      <c r="AD236" s="24"/>
      <c r="AE236" s="24"/>
      <c r="AF236" s="24"/>
      <c r="AG236" s="24"/>
      <c r="AH236" s="24"/>
      <c r="AI236" s="24"/>
      <c r="AJ236" s="24"/>
      <c r="AK236" s="24"/>
      <c r="AM236" s="26"/>
      <c r="AN236" s="24"/>
      <c r="AO236" s="24"/>
      <c r="AP236" s="24"/>
      <c r="AQ236" s="24"/>
      <c r="AR236" s="24"/>
      <c r="AS236" s="24"/>
      <c r="AT236" s="24"/>
    </row>
    <row r="237" ht="15.75" customHeight="1">
      <c r="F237" s="24"/>
      <c r="G237" s="24"/>
      <c r="H237" s="24"/>
      <c r="I237" s="24"/>
      <c r="J237" s="24"/>
      <c r="K237" s="24"/>
      <c r="L237" s="24"/>
      <c r="M237" s="24"/>
      <c r="N237" s="24"/>
      <c r="O237" s="24"/>
      <c r="P237" s="24"/>
      <c r="Q237" s="24"/>
      <c r="R237" s="24"/>
      <c r="S237" s="24"/>
      <c r="T237" s="24"/>
      <c r="U237" s="24"/>
      <c r="V237" s="24"/>
      <c r="W237" s="24"/>
      <c r="X237" s="24"/>
      <c r="Y237" s="24"/>
      <c r="Z237" s="24"/>
      <c r="AA237" s="24"/>
      <c r="AB237" s="24"/>
      <c r="AC237" s="24"/>
      <c r="AD237" s="24"/>
      <c r="AE237" s="24"/>
      <c r="AF237" s="24"/>
      <c r="AG237" s="24"/>
      <c r="AH237" s="24"/>
      <c r="AI237" s="24"/>
      <c r="AJ237" s="24"/>
      <c r="AK237" s="24"/>
      <c r="AM237" s="26"/>
      <c r="AN237" s="24"/>
      <c r="AO237" s="24"/>
      <c r="AP237" s="24"/>
      <c r="AQ237" s="24"/>
      <c r="AR237" s="24"/>
      <c r="AS237" s="24"/>
      <c r="AT237" s="24"/>
    </row>
    <row r="238" ht="15.75" customHeight="1">
      <c r="F238" s="24"/>
      <c r="G238" s="24"/>
      <c r="H238" s="24"/>
      <c r="I238" s="24"/>
      <c r="J238" s="24"/>
      <c r="K238" s="24"/>
      <c r="L238" s="24"/>
      <c r="M238" s="24"/>
      <c r="N238" s="24"/>
      <c r="O238" s="24"/>
      <c r="P238" s="24"/>
      <c r="Q238" s="24"/>
      <c r="R238" s="24"/>
      <c r="S238" s="24"/>
      <c r="T238" s="24"/>
      <c r="U238" s="24"/>
      <c r="V238" s="24"/>
      <c r="W238" s="24"/>
      <c r="X238" s="24"/>
      <c r="Y238" s="24"/>
      <c r="Z238" s="24"/>
      <c r="AA238" s="24"/>
      <c r="AB238" s="24"/>
      <c r="AC238" s="24"/>
      <c r="AD238" s="24"/>
      <c r="AE238" s="24"/>
      <c r="AF238" s="24"/>
      <c r="AG238" s="24"/>
      <c r="AH238" s="24"/>
      <c r="AI238" s="24"/>
      <c r="AJ238" s="24"/>
      <c r="AK238" s="24"/>
      <c r="AM238" s="26"/>
      <c r="AN238" s="24"/>
      <c r="AO238" s="24"/>
      <c r="AP238" s="24"/>
      <c r="AQ238" s="24"/>
      <c r="AR238" s="24"/>
      <c r="AS238" s="24"/>
      <c r="AT238" s="24"/>
    </row>
    <row r="239" ht="15.75" customHeight="1">
      <c r="F239" s="24"/>
      <c r="G239" s="24"/>
      <c r="H239" s="24"/>
      <c r="I239" s="24"/>
      <c r="J239" s="24"/>
      <c r="K239" s="24"/>
      <c r="L239" s="24"/>
      <c r="M239" s="24"/>
      <c r="N239" s="24"/>
      <c r="O239" s="24"/>
      <c r="P239" s="24"/>
      <c r="Q239" s="24"/>
      <c r="R239" s="24"/>
      <c r="S239" s="24"/>
      <c r="T239" s="24"/>
      <c r="U239" s="24"/>
      <c r="V239" s="24"/>
      <c r="W239" s="24"/>
      <c r="X239" s="24"/>
      <c r="Y239" s="24"/>
      <c r="Z239" s="24"/>
      <c r="AA239" s="24"/>
      <c r="AB239" s="24"/>
      <c r="AC239" s="24"/>
      <c r="AD239" s="24"/>
      <c r="AE239" s="24"/>
      <c r="AF239" s="24"/>
      <c r="AG239" s="24"/>
      <c r="AH239" s="24"/>
      <c r="AI239" s="24"/>
      <c r="AJ239" s="24"/>
      <c r="AK239" s="24"/>
      <c r="AM239" s="26"/>
      <c r="AN239" s="24"/>
      <c r="AO239" s="24"/>
      <c r="AP239" s="24"/>
      <c r="AQ239" s="24"/>
      <c r="AR239" s="24"/>
      <c r="AS239" s="24"/>
      <c r="AT239" s="24"/>
    </row>
    <row r="240" ht="15.75" customHeight="1">
      <c r="F240" s="24"/>
      <c r="G240" s="24"/>
      <c r="H240" s="24"/>
      <c r="I240" s="24"/>
      <c r="J240" s="24"/>
      <c r="K240" s="24"/>
      <c r="L240" s="24"/>
      <c r="M240" s="24"/>
      <c r="N240" s="24"/>
      <c r="O240" s="24"/>
      <c r="P240" s="24"/>
      <c r="Q240" s="24"/>
      <c r="R240" s="24"/>
      <c r="S240" s="24"/>
      <c r="T240" s="24"/>
      <c r="U240" s="24"/>
      <c r="V240" s="24"/>
      <c r="W240" s="24"/>
      <c r="X240" s="24"/>
      <c r="Y240" s="24"/>
      <c r="Z240" s="24"/>
      <c r="AA240" s="24"/>
      <c r="AB240" s="24"/>
      <c r="AC240" s="24"/>
      <c r="AD240" s="24"/>
      <c r="AE240" s="24"/>
      <c r="AF240" s="24"/>
      <c r="AG240" s="24"/>
      <c r="AH240" s="24"/>
      <c r="AI240" s="24"/>
      <c r="AJ240" s="24"/>
      <c r="AK240" s="24"/>
      <c r="AM240" s="26"/>
      <c r="AN240" s="24"/>
      <c r="AO240" s="24"/>
      <c r="AP240" s="24"/>
      <c r="AQ240" s="24"/>
      <c r="AR240" s="24"/>
      <c r="AS240" s="24"/>
      <c r="AT240" s="24"/>
    </row>
    <row r="241" ht="15.75" customHeight="1">
      <c r="F241" s="24"/>
      <c r="G241" s="24"/>
      <c r="H241" s="24"/>
      <c r="I241" s="24"/>
      <c r="J241" s="24"/>
      <c r="K241" s="24"/>
      <c r="L241" s="24"/>
      <c r="M241" s="24"/>
      <c r="N241" s="24"/>
      <c r="O241" s="24"/>
      <c r="P241" s="24"/>
      <c r="Q241" s="24"/>
      <c r="R241" s="24"/>
      <c r="S241" s="24"/>
      <c r="T241" s="24"/>
      <c r="U241" s="24"/>
      <c r="V241" s="24"/>
      <c r="W241" s="24"/>
      <c r="X241" s="24"/>
      <c r="Y241" s="24"/>
      <c r="Z241" s="24"/>
      <c r="AA241" s="24"/>
      <c r="AB241" s="24"/>
      <c r="AC241" s="24"/>
      <c r="AD241" s="24"/>
      <c r="AE241" s="24"/>
      <c r="AF241" s="24"/>
      <c r="AG241" s="24"/>
      <c r="AH241" s="24"/>
      <c r="AI241" s="24"/>
      <c r="AJ241" s="24"/>
      <c r="AK241" s="24"/>
      <c r="AM241" s="26"/>
      <c r="AN241" s="24"/>
      <c r="AO241" s="24"/>
      <c r="AP241" s="24"/>
      <c r="AQ241" s="24"/>
      <c r="AR241" s="24"/>
      <c r="AS241" s="24"/>
      <c r="AT241" s="24"/>
    </row>
    <row r="242" ht="15.75" customHeight="1">
      <c r="F242" s="24"/>
      <c r="G242" s="24"/>
      <c r="H242" s="24"/>
      <c r="I242" s="24"/>
      <c r="J242" s="24"/>
      <c r="K242" s="24"/>
      <c r="L242" s="24"/>
      <c r="M242" s="24"/>
      <c r="N242" s="24"/>
      <c r="O242" s="24"/>
      <c r="P242" s="24"/>
      <c r="Q242" s="24"/>
      <c r="R242" s="24"/>
      <c r="S242" s="24"/>
      <c r="T242" s="24"/>
      <c r="U242" s="24"/>
      <c r="V242" s="24"/>
      <c r="W242" s="24"/>
      <c r="X242" s="24"/>
      <c r="Y242" s="24"/>
      <c r="Z242" s="24"/>
      <c r="AA242" s="24"/>
      <c r="AB242" s="24"/>
      <c r="AC242" s="24"/>
      <c r="AD242" s="24"/>
      <c r="AE242" s="24"/>
      <c r="AF242" s="24"/>
      <c r="AG242" s="24"/>
      <c r="AH242" s="24"/>
      <c r="AI242" s="24"/>
      <c r="AJ242" s="24"/>
      <c r="AK242" s="24"/>
      <c r="AM242" s="26"/>
      <c r="AN242" s="24"/>
      <c r="AO242" s="24"/>
      <c r="AP242" s="24"/>
      <c r="AQ242" s="24"/>
      <c r="AR242" s="24"/>
      <c r="AS242" s="24"/>
      <c r="AT242" s="24"/>
    </row>
    <row r="243" ht="15.75" customHeight="1">
      <c r="F243" s="24"/>
      <c r="G243" s="24"/>
      <c r="H243" s="24"/>
      <c r="I243" s="24"/>
      <c r="J243" s="24"/>
      <c r="K243" s="24"/>
      <c r="L243" s="24"/>
      <c r="M243" s="24"/>
      <c r="N243" s="24"/>
      <c r="O243" s="24"/>
      <c r="P243" s="24"/>
      <c r="Q243" s="24"/>
      <c r="R243" s="24"/>
      <c r="S243" s="24"/>
      <c r="T243" s="24"/>
      <c r="U243" s="24"/>
      <c r="V243" s="24"/>
      <c r="W243" s="24"/>
      <c r="X243" s="24"/>
      <c r="Y243" s="24"/>
      <c r="Z243" s="24"/>
      <c r="AA243" s="24"/>
      <c r="AB243" s="24"/>
      <c r="AC243" s="24"/>
      <c r="AD243" s="24"/>
      <c r="AE243" s="24"/>
      <c r="AF243" s="24"/>
      <c r="AG243" s="24"/>
      <c r="AH243" s="24"/>
      <c r="AI243" s="24"/>
      <c r="AJ243" s="24"/>
      <c r="AK243" s="24"/>
      <c r="AM243" s="26"/>
      <c r="AN243" s="24"/>
      <c r="AO243" s="24"/>
      <c r="AP243" s="24"/>
      <c r="AQ243" s="24"/>
      <c r="AR243" s="24"/>
      <c r="AS243" s="24"/>
      <c r="AT243" s="24"/>
    </row>
    <row r="244" ht="15.75" customHeight="1">
      <c r="F244" s="24"/>
      <c r="G244" s="24"/>
      <c r="H244" s="24"/>
      <c r="I244" s="24"/>
      <c r="J244" s="24"/>
      <c r="K244" s="24"/>
      <c r="L244" s="24"/>
      <c r="M244" s="24"/>
      <c r="N244" s="24"/>
      <c r="O244" s="24"/>
      <c r="P244" s="24"/>
      <c r="Q244" s="24"/>
      <c r="R244" s="24"/>
      <c r="S244" s="24"/>
      <c r="T244" s="24"/>
      <c r="U244" s="24"/>
      <c r="V244" s="24"/>
      <c r="W244" s="24"/>
      <c r="X244" s="24"/>
      <c r="Y244" s="24"/>
      <c r="Z244" s="24"/>
      <c r="AA244" s="24"/>
      <c r="AB244" s="24"/>
      <c r="AC244" s="24"/>
      <c r="AD244" s="24"/>
      <c r="AE244" s="24"/>
      <c r="AF244" s="24"/>
      <c r="AG244" s="24"/>
      <c r="AH244" s="24"/>
      <c r="AI244" s="24"/>
      <c r="AJ244" s="24"/>
      <c r="AK244" s="24"/>
      <c r="AM244" s="26"/>
      <c r="AN244" s="24"/>
      <c r="AO244" s="24"/>
      <c r="AP244" s="24"/>
      <c r="AQ244" s="24"/>
      <c r="AR244" s="24"/>
      <c r="AS244" s="24"/>
      <c r="AT244" s="24"/>
    </row>
    <row r="245" ht="15.75" customHeight="1">
      <c r="F245" s="24"/>
      <c r="G245" s="24"/>
      <c r="H245" s="24"/>
      <c r="I245" s="24"/>
      <c r="J245" s="24"/>
      <c r="K245" s="24"/>
      <c r="L245" s="24"/>
      <c r="M245" s="24"/>
      <c r="N245" s="24"/>
      <c r="O245" s="24"/>
      <c r="P245" s="24"/>
      <c r="Q245" s="24"/>
      <c r="R245" s="24"/>
      <c r="S245" s="24"/>
      <c r="T245" s="24"/>
      <c r="U245" s="24"/>
      <c r="V245" s="24"/>
      <c r="W245" s="24"/>
      <c r="X245" s="24"/>
      <c r="Y245" s="24"/>
      <c r="Z245" s="24"/>
      <c r="AA245" s="24"/>
      <c r="AB245" s="24"/>
      <c r="AC245" s="24"/>
      <c r="AD245" s="24"/>
      <c r="AE245" s="24"/>
      <c r="AF245" s="24"/>
      <c r="AG245" s="24"/>
      <c r="AH245" s="24"/>
      <c r="AI245" s="24"/>
      <c r="AJ245" s="24"/>
      <c r="AK245" s="24"/>
      <c r="AM245" s="26"/>
      <c r="AN245" s="24"/>
      <c r="AO245" s="24"/>
      <c r="AP245" s="24"/>
      <c r="AQ245" s="24"/>
      <c r="AR245" s="24"/>
      <c r="AS245" s="24"/>
      <c r="AT245" s="24"/>
    </row>
    <row r="246" ht="15.75" customHeight="1">
      <c r="F246" s="24"/>
      <c r="G246" s="24"/>
      <c r="H246" s="24"/>
      <c r="I246" s="24"/>
      <c r="J246" s="24"/>
      <c r="K246" s="24"/>
      <c r="L246" s="24"/>
      <c r="M246" s="24"/>
      <c r="N246" s="24"/>
      <c r="O246" s="24"/>
      <c r="P246" s="24"/>
      <c r="Q246" s="24"/>
      <c r="R246" s="24"/>
      <c r="S246" s="24"/>
      <c r="T246" s="24"/>
      <c r="U246" s="24"/>
      <c r="V246" s="24"/>
      <c r="W246" s="24"/>
      <c r="X246" s="24"/>
      <c r="Y246" s="24"/>
      <c r="Z246" s="24"/>
      <c r="AA246" s="24"/>
      <c r="AB246" s="24"/>
      <c r="AC246" s="24"/>
      <c r="AD246" s="24"/>
      <c r="AE246" s="24"/>
      <c r="AF246" s="24"/>
      <c r="AG246" s="24"/>
      <c r="AH246" s="24"/>
      <c r="AI246" s="24"/>
      <c r="AJ246" s="24"/>
      <c r="AK246" s="24"/>
      <c r="AM246" s="26"/>
      <c r="AN246" s="24"/>
      <c r="AO246" s="24"/>
      <c r="AP246" s="24"/>
      <c r="AQ246" s="24"/>
      <c r="AR246" s="24"/>
      <c r="AS246" s="24"/>
      <c r="AT246" s="24"/>
    </row>
    <row r="247" ht="15.75" customHeight="1">
      <c r="F247" s="24"/>
      <c r="G247" s="24"/>
      <c r="H247" s="24"/>
      <c r="I247" s="24"/>
      <c r="J247" s="24"/>
      <c r="K247" s="24"/>
      <c r="L247" s="24"/>
      <c r="M247" s="24"/>
      <c r="N247" s="24"/>
      <c r="O247" s="24"/>
      <c r="P247" s="24"/>
      <c r="Q247" s="24"/>
      <c r="R247" s="24"/>
      <c r="S247" s="24"/>
      <c r="T247" s="24"/>
      <c r="U247" s="24"/>
      <c r="V247" s="24"/>
      <c r="W247" s="24"/>
      <c r="X247" s="24"/>
      <c r="Y247" s="24"/>
      <c r="Z247" s="24"/>
      <c r="AA247" s="24"/>
      <c r="AB247" s="24"/>
      <c r="AC247" s="24"/>
      <c r="AD247" s="24"/>
      <c r="AE247" s="24"/>
      <c r="AF247" s="24"/>
      <c r="AG247" s="24"/>
      <c r="AH247" s="24"/>
      <c r="AI247" s="24"/>
      <c r="AJ247" s="24"/>
      <c r="AK247" s="24"/>
      <c r="AM247" s="26"/>
      <c r="AN247" s="24"/>
      <c r="AO247" s="24"/>
      <c r="AP247" s="24"/>
      <c r="AQ247" s="24"/>
      <c r="AR247" s="24"/>
      <c r="AS247" s="24"/>
      <c r="AT247" s="24"/>
    </row>
    <row r="248" ht="15.75" customHeight="1">
      <c r="F248" s="24"/>
      <c r="G248" s="24"/>
      <c r="H248" s="24"/>
      <c r="I248" s="24"/>
      <c r="J248" s="24"/>
      <c r="K248" s="24"/>
      <c r="L248" s="24"/>
      <c r="M248" s="24"/>
      <c r="N248" s="24"/>
      <c r="O248" s="24"/>
      <c r="P248" s="24"/>
      <c r="Q248" s="24"/>
      <c r="R248" s="24"/>
      <c r="S248" s="24"/>
      <c r="T248" s="24"/>
      <c r="U248" s="24"/>
      <c r="V248" s="24"/>
      <c r="W248" s="24"/>
      <c r="X248" s="24"/>
      <c r="Y248" s="24"/>
      <c r="Z248" s="24"/>
      <c r="AA248" s="24"/>
      <c r="AB248" s="24"/>
      <c r="AC248" s="24"/>
      <c r="AD248" s="24"/>
      <c r="AE248" s="24"/>
      <c r="AF248" s="24"/>
      <c r="AG248" s="24"/>
      <c r="AH248" s="24"/>
      <c r="AI248" s="24"/>
      <c r="AJ248" s="24"/>
      <c r="AK248" s="24"/>
      <c r="AM248" s="26"/>
      <c r="AN248" s="24"/>
      <c r="AO248" s="24"/>
      <c r="AP248" s="24"/>
      <c r="AQ248" s="24"/>
      <c r="AR248" s="24"/>
      <c r="AS248" s="24"/>
      <c r="AT248" s="24"/>
    </row>
    <row r="249" ht="15.75" customHeight="1">
      <c r="F249" s="24"/>
      <c r="G249" s="24"/>
      <c r="H249" s="24"/>
      <c r="I249" s="24"/>
      <c r="J249" s="24"/>
      <c r="K249" s="24"/>
      <c r="L249" s="24"/>
      <c r="M249" s="24"/>
      <c r="N249" s="24"/>
      <c r="O249" s="24"/>
      <c r="P249" s="24"/>
      <c r="Q249" s="24"/>
      <c r="R249" s="24"/>
      <c r="S249" s="24"/>
      <c r="T249" s="24"/>
      <c r="U249" s="24"/>
      <c r="V249" s="24"/>
      <c r="W249" s="24"/>
      <c r="X249" s="24"/>
      <c r="Y249" s="24"/>
      <c r="Z249" s="24"/>
      <c r="AA249" s="24"/>
      <c r="AB249" s="24"/>
      <c r="AC249" s="24"/>
      <c r="AD249" s="24"/>
      <c r="AE249" s="24"/>
      <c r="AF249" s="24"/>
      <c r="AG249" s="24"/>
      <c r="AH249" s="24"/>
      <c r="AI249" s="24"/>
      <c r="AJ249" s="24"/>
      <c r="AK249" s="24"/>
      <c r="AM249" s="26"/>
      <c r="AN249" s="24"/>
      <c r="AO249" s="24"/>
      <c r="AP249" s="24"/>
      <c r="AQ249" s="24"/>
      <c r="AR249" s="24"/>
      <c r="AS249" s="24"/>
      <c r="AT249" s="24"/>
    </row>
    <row r="250" ht="15.75" customHeight="1">
      <c r="F250" s="24"/>
      <c r="G250" s="24"/>
      <c r="H250" s="24"/>
      <c r="I250" s="24"/>
      <c r="J250" s="24"/>
      <c r="K250" s="24"/>
      <c r="L250" s="24"/>
      <c r="M250" s="24"/>
      <c r="N250" s="24"/>
      <c r="O250" s="24"/>
      <c r="P250" s="24"/>
      <c r="Q250" s="24"/>
      <c r="R250" s="24"/>
      <c r="S250" s="24"/>
      <c r="T250" s="24"/>
      <c r="U250" s="24"/>
      <c r="V250" s="24"/>
      <c r="W250" s="24"/>
      <c r="X250" s="24"/>
      <c r="Y250" s="24"/>
      <c r="Z250" s="24"/>
      <c r="AA250" s="24"/>
      <c r="AB250" s="24"/>
      <c r="AC250" s="24"/>
      <c r="AD250" s="24"/>
      <c r="AE250" s="24"/>
      <c r="AF250" s="24"/>
      <c r="AG250" s="24"/>
      <c r="AH250" s="24"/>
      <c r="AI250" s="24"/>
      <c r="AJ250" s="24"/>
      <c r="AK250" s="24"/>
      <c r="AM250" s="26"/>
      <c r="AN250" s="24"/>
      <c r="AO250" s="24"/>
      <c r="AP250" s="24"/>
      <c r="AQ250" s="24"/>
      <c r="AR250" s="24"/>
      <c r="AS250" s="24"/>
      <c r="AT250" s="24"/>
    </row>
    <row r="251" ht="15.75" customHeight="1">
      <c r="F251" s="24"/>
      <c r="G251" s="24"/>
      <c r="H251" s="24"/>
      <c r="I251" s="24"/>
      <c r="J251" s="24"/>
      <c r="K251" s="24"/>
      <c r="L251" s="24"/>
      <c r="M251" s="24"/>
      <c r="N251" s="24"/>
      <c r="O251" s="24"/>
      <c r="P251" s="24"/>
      <c r="Q251" s="24"/>
      <c r="R251" s="24"/>
      <c r="S251" s="24"/>
      <c r="T251" s="24"/>
      <c r="U251" s="24"/>
      <c r="V251" s="24"/>
      <c r="W251" s="24"/>
      <c r="X251" s="24"/>
      <c r="Y251" s="24"/>
      <c r="Z251" s="24"/>
      <c r="AA251" s="24"/>
      <c r="AB251" s="24"/>
      <c r="AC251" s="24"/>
      <c r="AD251" s="24"/>
      <c r="AE251" s="24"/>
      <c r="AF251" s="24"/>
      <c r="AG251" s="24"/>
      <c r="AH251" s="24"/>
      <c r="AI251" s="24"/>
      <c r="AJ251" s="24"/>
      <c r="AK251" s="24"/>
      <c r="AM251" s="26"/>
      <c r="AN251" s="24"/>
      <c r="AO251" s="24"/>
      <c r="AP251" s="24"/>
      <c r="AQ251" s="24"/>
      <c r="AR251" s="24"/>
      <c r="AS251" s="24"/>
      <c r="AT251" s="24"/>
    </row>
    <row r="252" ht="15.75" customHeight="1">
      <c r="F252" s="24"/>
      <c r="G252" s="24"/>
      <c r="H252" s="24"/>
      <c r="I252" s="24"/>
      <c r="J252" s="24"/>
      <c r="K252" s="24"/>
      <c r="L252" s="24"/>
      <c r="M252" s="24"/>
      <c r="N252" s="24"/>
      <c r="O252" s="24"/>
      <c r="P252" s="24"/>
      <c r="Q252" s="24"/>
      <c r="R252" s="24"/>
      <c r="S252" s="24"/>
      <c r="T252" s="24"/>
      <c r="U252" s="24"/>
      <c r="V252" s="24"/>
      <c r="W252" s="24"/>
      <c r="X252" s="24"/>
      <c r="Y252" s="24"/>
      <c r="Z252" s="24"/>
      <c r="AA252" s="24"/>
      <c r="AB252" s="24"/>
      <c r="AC252" s="24"/>
      <c r="AD252" s="24"/>
      <c r="AE252" s="24"/>
      <c r="AF252" s="24"/>
      <c r="AG252" s="24"/>
      <c r="AH252" s="24"/>
      <c r="AI252" s="24"/>
      <c r="AJ252" s="24"/>
      <c r="AK252" s="24"/>
      <c r="AM252" s="26"/>
      <c r="AN252" s="24"/>
      <c r="AO252" s="24"/>
      <c r="AP252" s="24"/>
      <c r="AQ252" s="24"/>
      <c r="AR252" s="24"/>
      <c r="AS252" s="24"/>
      <c r="AT252" s="24"/>
    </row>
    <row r="253" ht="15.75" customHeight="1">
      <c r="F253" s="24"/>
      <c r="G253" s="24"/>
      <c r="H253" s="24"/>
      <c r="I253" s="24"/>
      <c r="J253" s="24"/>
      <c r="K253" s="24"/>
      <c r="L253" s="24"/>
      <c r="M253" s="24"/>
      <c r="N253" s="24"/>
      <c r="O253" s="24"/>
      <c r="P253" s="24"/>
      <c r="Q253" s="24"/>
      <c r="R253" s="24"/>
      <c r="S253" s="24"/>
      <c r="T253" s="24"/>
      <c r="U253" s="24"/>
      <c r="V253" s="24"/>
      <c r="W253" s="24"/>
      <c r="X253" s="24"/>
      <c r="Y253" s="24"/>
      <c r="Z253" s="24"/>
      <c r="AA253" s="24"/>
      <c r="AB253" s="24"/>
      <c r="AC253" s="24"/>
      <c r="AD253" s="24"/>
      <c r="AE253" s="24"/>
      <c r="AF253" s="24"/>
      <c r="AG253" s="24"/>
      <c r="AH253" s="24"/>
      <c r="AI253" s="24"/>
      <c r="AJ253" s="24"/>
      <c r="AK253" s="24"/>
      <c r="AM253" s="26"/>
      <c r="AN253" s="24"/>
      <c r="AO253" s="24"/>
      <c r="AP253" s="24"/>
      <c r="AQ253" s="24"/>
      <c r="AR253" s="24"/>
      <c r="AS253" s="24"/>
      <c r="AT253" s="24"/>
    </row>
    <row r="254" ht="15.75" customHeight="1">
      <c r="F254" s="24"/>
      <c r="G254" s="24"/>
      <c r="H254" s="24"/>
      <c r="I254" s="24"/>
      <c r="J254" s="24"/>
      <c r="K254" s="24"/>
      <c r="L254" s="24"/>
      <c r="M254" s="24"/>
      <c r="N254" s="24"/>
      <c r="O254" s="24"/>
      <c r="P254" s="24"/>
      <c r="Q254" s="24"/>
      <c r="R254" s="24"/>
      <c r="S254" s="24"/>
      <c r="T254" s="24"/>
      <c r="U254" s="24"/>
      <c r="V254" s="24"/>
      <c r="W254" s="24"/>
      <c r="X254" s="24"/>
      <c r="Y254" s="24"/>
      <c r="Z254" s="24"/>
      <c r="AA254" s="24"/>
      <c r="AB254" s="24"/>
      <c r="AC254" s="24"/>
      <c r="AD254" s="24"/>
      <c r="AE254" s="24"/>
      <c r="AF254" s="24"/>
      <c r="AG254" s="24"/>
      <c r="AH254" s="24"/>
      <c r="AI254" s="24"/>
      <c r="AJ254" s="24"/>
      <c r="AK254" s="24"/>
      <c r="AM254" s="26"/>
      <c r="AN254" s="24"/>
      <c r="AO254" s="24"/>
      <c r="AP254" s="24"/>
      <c r="AQ254" s="24"/>
      <c r="AR254" s="24"/>
      <c r="AS254" s="24"/>
      <c r="AT254" s="24"/>
    </row>
    <row r="255" ht="15.75" customHeight="1">
      <c r="F255" s="24"/>
      <c r="G255" s="24"/>
      <c r="H255" s="24"/>
      <c r="I255" s="24"/>
      <c r="J255" s="24"/>
      <c r="K255" s="24"/>
      <c r="L255" s="24"/>
      <c r="M255" s="24"/>
      <c r="N255" s="24"/>
      <c r="O255" s="24"/>
      <c r="P255" s="24"/>
      <c r="Q255" s="24"/>
      <c r="R255" s="24"/>
      <c r="S255" s="24"/>
      <c r="T255" s="24"/>
      <c r="U255" s="24"/>
      <c r="V255" s="24"/>
      <c r="W255" s="24"/>
      <c r="X255" s="24"/>
      <c r="Y255" s="24"/>
      <c r="Z255" s="24"/>
      <c r="AA255" s="24"/>
      <c r="AB255" s="24"/>
      <c r="AC255" s="24"/>
      <c r="AD255" s="24"/>
      <c r="AE255" s="24"/>
      <c r="AF255" s="24"/>
      <c r="AG255" s="24"/>
      <c r="AH255" s="24"/>
      <c r="AI255" s="24"/>
      <c r="AJ255" s="24"/>
      <c r="AK255" s="24"/>
      <c r="AM255" s="26"/>
      <c r="AN255" s="24"/>
      <c r="AO255" s="24"/>
      <c r="AP255" s="24"/>
      <c r="AQ255" s="24"/>
      <c r="AR255" s="24"/>
      <c r="AS255" s="24"/>
      <c r="AT255" s="24"/>
    </row>
    <row r="256" ht="15.75" customHeight="1">
      <c r="F256" s="24"/>
      <c r="G256" s="24"/>
      <c r="H256" s="24"/>
      <c r="I256" s="24"/>
      <c r="J256" s="24"/>
      <c r="K256" s="24"/>
      <c r="L256" s="24"/>
      <c r="M256" s="24"/>
      <c r="N256" s="24"/>
      <c r="O256" s="24"/>
      <c r="P256" s="24"/>
      <c r="Q256" s="24"/>
      <c r="R256" s="24"/>
      <c r="S256" s="24"/>
      <c r="T256" s="24"/>
      <c r="U256" s="24"/>
      <c r="V256" s="24"/>
      <c r="W256" s="24"/>
      <c r="X256" s="24"/>
      <c r="Y256" s="24"/>
      <c r="Z256" s="24"/>
      <c r="AA256" s="24"/>
      <c r="AB256" s="24"/>
      <c r="AC256" s="24"/>
      <c r="AD256" s="24"/>
      <c r="AE256" s="24"/>
      <c r="AF256" s="24"/>
      <c r="AG256" s="24"/>
      <c r="AH256" s="24"/>
      <c r="AI256" s="24"/>
      <c r="AJ256" s="24"/>
      <c r="AK256" s="24"/>
      <c r="AM256" s="26"/>
      <c r="AN256" s="24"/>
      <c r="AO256" s="24"/>
      <c r="AP256" s="24"/>
      <c r="AQ256" s="24"/>
      <c r="AR256" s="24"/>
      <c r="AS256" s="24"/>
      <c r="AT256" s="24"/>
    </row>
    <row r="257" ht="15.75" customHeight="1">
      <c r="F257" s="24"/>
      <c r="G257" s="24"/>
      <c r="H257" s="24"/>
      <c r="I257" s="24"/>
      <c r="J257" s="24"/>
      <c r="K257" s="24"/>
      <c r="L257" s="24"/>
      <c r="M257" s="24"/>
      <c r="N257" s="24"/>
      <c r="O257" s="24"/>
      <c r="P257" s="24"/>
      <c r="Q257" s="24"/>
      <c r="R257" s="24"/>
      <c r="S257" s="24"/>
      <c r="T257" s="24"/>
      <c r="U257" s="24"/>
      <c r="V257" s="24"/>
      <c r="W257" s="24"/>
      <c r="X257" s="24"/>
      <c r="Y257" s="24"/>
      <c r="Z257" s="24"/>
      <c r="AA257" s="24"/>
      <c r="AB257" s="24"/>
      <c r="AC257" s="24"/>
      <c r="AD257" s="24"/>
      <c r="AE257" s="24"/>
      <c r="AF257" s="24"/>
      <c r="AG257" s="24"/>
      <c r="AH257" s="24"/>
      <c r="AI257" s="24"/>
      <c r="AJ257" s="24"/>
      <c r="AK257" s="24"/>
      <c r="AM257" s="26"/>
      <c r="AN257" s="24"/>
      <c r="AO257" s="24"/>
      <c r="AP257" s="24"/>
      <c r="AQ257" s="24"/>
      <c r="AR257" s="24"/>
      <c r="AS257" s="24"/>
      <c r="AT257" s="24"/>
    </row>
    <row r="258" ht="15.75" customHeight="1">
      <c r="F258" s="24"/>
      <c r="G258" s="24"/>
      <c r="H258" s="24"/>
      <c r="I258" s="24"/>
      <c r="J258" s="24"/>
      <c r="K258" s="24"/>
      <c r="L258" s="24"/>
      <c r="M258" s="24"/>
      <c r="N258" s="24"/>
      <c r="O258" s="24"/>
      <c r="P258" s="24"/>
      <c r="Q258" s="24"/>
      <c r="R258" s="24"/>
      <c r="S258" s="24"/>
      <c r="T258" s="24"/>
      <c r="U258" s="24"/>
      <c r="V258" s="24"/>
      <c r="W258" s="24"/>
      <c r="X258" s="24"/>
      <c r="Y258" s="24"/>
      <c r="Z258" s="24"/>
      <c r="AA258" s="24"/>
      <c r="AB258" s="24"/>
      <c r="AC258" s="24"/>
      <c r="AD258" s="24"/>
      <c r="AE258" s="24"/>
      <c r="AF258" s="24"/>
      <c r="AG258" s="24"/>
      <c r="AH258" s="24"/>
      <c r="AI258" s="24"/>
      <c r="AJ258" s="24"/>
      <c r="AK258" s="24"/>
      <c r="AM258" s="26"/>
      <c r="AN258" s="24"/>
      <c r="AO258" s="24"/>
      <c r="AP258" s="24"/>
      <c r="AQ258" s="24"/>
      <c r="AR258" s="24"/>
      <c r="AS258" s="24"/>
      <c r="AT258" s="24"/>
    </row>
    <row r="259" ht="15.75" customHeight="1">
      <c r="F259" s="24"/>
      <c r="G259" s="24"/>
      <c r="H259" s="24"/>
      <c r="I259" s="24"/>
      <c r="J259" s="24"/>
      <c r="K259" s="24"/>
      <c r="L259" s="24"/>
      <c r="M259" s="24"/>
      <c r="N259" s="24"/>
      <c r="O259" s="24"/>
      <c r="P259" s="24"/>
      <c r="Q259" s="24"/>
      <c r="R259" s="24"/>
      <c r="S259" s="24"/>
      <c r="T259" s="24"/>
      <c r="U259" s="24"/>
      <c r="V259" s="24"/>
      <c r="W259" s="24"/>
      <c r="X259" s="24"/>
      <c r="Y259" s="24"/>
      <c r="Z259" s="24"/>
      <c r="AA259" s="24"/>
      <c r="AB259" s="24"/>
      <c r="AC259" s="24"/>
      <c r="AD259" s="24"/>
      <c r="AE259" s="24"/>
      <c r="AF259" s="24"/>
      <c r="AG259" s="24"/>
      <c r="AH259" s="24"/>
      <c r="AI259" s="24"/>
      <c r="AJ259" s="24"/>
      <c r="AK259" s="24"/>
      <c r="AM259" s="26"/>
      <c r="AN259" s="24"/>
      <c r="AO259" s="24"/>
      <c r="AP259" s="24"/>
      <c r="AQ259" s="24"/>
      <c r="AR259" s="24"/>
      <c r="AS259" s="24"/>
      <c r="AT259" s="24"/>
    </row>
    <row r="260" ht="15.75" customHeight="1">
      <c r="F260" s="24"/>
      <c r="G260" s="24"/>
      <c r="H260" s="24"/>
      <c r="I260" s="24"/>
      <c r="J260" s="24"/>
      <c r="K260" s="24"/>
      <c r="L260" s="24"/>
      <c r="M260" s="24"/>
      <c r="N260" s="24"/>
      <c r="O260" s="24"/>
      <c r="P260" s="24"/>
      <c r="Q260" s="24"/>
      <c r="R260" s="24"/>
      <c r="S260" s="24"/>
      <c r="T260" s="24"/>
      <c r="U260" s="24"/>
      <c r="V260" s="24"/>
      <c r="W260" s="24"/>
      <c r="X260" s="24"/>
      <c r="Y260" s="24"/>
      <c r="Z260" s="24"/>
      <c r="AA260" s="24"/>
      <c r="AB260" s="24"/>
      <c r="AC260" s="24"/>
      <c r="AD260" s="24"/>
      <c r="AE260" s="24"/>
      <c r="AF260" s="24"/>
      <c r="AG260" s="24"/>
      <c r="AH260" s="24"/>
      <c r="AI260" s="24"/>
      <c r="AJ260" s="24"/>
      <c r="AK260" s="24"/>
      <c r="AM260" s="26"/>
      <c r="AN260" s="24"/>
      <c r="AO260" s="24"/>
      <c r="AP260" s="24"/>
      <c r="AQ260" s="24"/>
      <c r="AR260" s="24"/>
      <c r="AS260" s="24"/>
      <c r="AT260" s="24"/>
    </row>
    <row r="261" ht="15.75" customHeight="1">
      <c r="F261" s="24"/>
      <c r="G261" s="24"/>
      <c r="H261" s="24"/>
      <c r="I261" s="24"/>
      <c r="J261" s="24"/>
      <c r="K261" s="24"/>
      <c r="L261" s="24"/>
      <c r="M261" s="24"/>
      <c r="N261" s="24"/>
      <c r="O261" s="24"/>
      <c r="P261" s="24"/>
      <c r="Q261" s="24"/>
      <c r="R261" s="24"/>
      <c r="S261" s="24"/>
      <c r="T261" s="24"/>
      <c r="U261" s="24"/>
      <c r="V261" s="24"/>
      <c r="W261" s="24"/>
      <c r="X261" s="24"/>
      <c r="Y261" s="24"/>
      <c r="Z261" s="24"/>
      <c r="AA261" s="24"/>
      <c r="AB261" s="24"/>
      <c r="AC261" s="24"/>
      <c r="AD261" s="24"/>
      <c r="AE261" s="24"/>
      <c r="AF261" s="24"/>
      <c r="AG261" s="24"/>
      <c r="AH261" s="24"/>
      <c r="AI261" s="24"/>
      <c r="AJ261" s="24"/>
      <c r="AK261" s="24"/>
      <c r="AM261" s="26"/>
      <c r="AN261" s="24"/>
      <c r="AO261" s="24"/>
      <c r="AP261" s="24"/>
      <c r="AQ261" s="24"/>
      <c r="AR261" s="24"/>
      <c r="AS261" s="24"/>
      <c r="AT261" s="24"/>
    </row>
    <row r="262" ht="15.75" customHeight="1">
      <c r="F262" s="24"/>
      <c r="G262" s="24"/>
      <c r="H262" s="24"/>
      <c r="I262" s="24"/>
      <c r="J262" s="24"/>
      <c r="K262" s="24"/>
      <c r="L262" s="24"/>
      <c r="M262" s="24"/>
      <c r="N262" s="24"/>
      <c r="O262" s="24"/>
      <c r="P262" s="24"/>
      <c r="Q262" s="24"/>
      <c r="R262" s="24"/>
      <c r="S262" s="24"/>
      <c r="T262" s="24"/>
      <c r="U262" s="24"/>
      <c r="V262" s="24"/>
      <c r="W262" s="24"/>
      <c r="X262" s="24"/>
      <c r="Y262" s="24"/>
      <c r="Z262" s="24"/>
      <c r="AA262" s="24"/>
      <c r="AB262" s="24"/>
      <c r="AC262" s="24"/>
      <c r="AD262" s="24"/>
      <c r="AE262" s="24"/>
      <c r="AF262" s="24"/>
      <c r="AG262" s="24"/>
      <c r="AH262" s="24"/>
      <c r="AI262" s="24"/>
      <c r="AJ262" s="24"/>
      <c r="AK262" s="24"/>
      <c r="AM262" s="26"/>
      <c r="AN262" s="24"/>
      <c r="AO262" s="24"/>
      <c r="AP262" s="24"/>
      <c r="AQ262" s="24"/>
      <c r="AR262" s="24"/>
      <c r="AS262" s="24"/>
      <c r="AT262" s="24"/>
    </row>
    <row r="263" ht="15.75" customHeight="1">
      <c r="F263" s="24"/>
      <c r="G263" s="24"/>
      <c r="H263" s="24"/>
      <c r="I263" s="24"/>
      <c r="J263" s="24"/>
      <c r="K263" s="24"/>
      <c r="L263" s="24"/>
      <c r="M263" s="24"/>
      <c r="N263" s="24"/>
      <c r="O263" s="24"/>
      <c r="P263" s="24"/>
      <c r="Q263" s="24"/>
      <c r="R263" s="24"/>
      <c r="S263" s="24"/>
      <c r="T263" s="24"/>
      <c r="U263" s="24"/>
      <c r="V263" s="24"/>
      <c r="W263" s="24"/>
      <c r="X263" s="24"/>
      <c r="Y263" s="24"/>
      <c r="Z263" s="24"/>
      <c r="AA263" s="24"/>
      <c r="AB263" s="24"/>
      <c r="AC263" s="24"/>
      <c r="AD263" s="24"/>
      <c r="AE263" s="24"/>
      <c r="AF263" s="24"/>
      <c r="AG263" s="24"/>
      <c r="AH263" s="24"/>
      <c r="AI263" s="24"/>
      <c r="AJ263" s="24"/>
      <c r="AK263" s="24"/>
      <c r="AM263" s="26"/>
      <c r="AN263" s="24"/>
      <c r="AO263" s="24"/>
      <c r="AP263" s="24"/>
      <c r="AQ263" s="24"/>
      <c r="AR263" s="24"/>
      <c r="AS263" s="24"/>
      <c r="AT263" s="24"/>
    </row>
    <row r="264" ht="15.75" customHeight="1">
      <c r="F264" s="24"/>
      <c r="G264" s="24"/>
      <c r="H264" s="24"/>
      <c r="I264" s="24"/>
      <c r="J264" s="24"/>
      <c r="K264" s="24"/>
      <c r="L264" s="24"/>
      <c r="M264" s="24"/>
      <c r="N264" s="24"/>
      <c r="O264" s="24"/>
      <c r="P264" s="24"/>
      <c r="Q264" s="24"/>
      <c r="R264" s="24"/>
      <c r="S264" s="24"/>
      <c r="T264" s="24"/>
      <c r="U264" s="24"/>
      <c r="V264" s="24"/>
      <c r="W264" s="24"/>
      <c r="X264" s="24"/>
      <c r="Y264" s="24"/>
      <c r="Z264" s="24"/>
      <c r="AA264" s="24"/>
      <c r="AB264" s="24"/>
      <c r="AC264" s="24"/>
      <c r="AD264" s="24"/>
      <c r="AE264" s="24"/>
      <c r="AF264" s="24"/>
      <c r="AG264" s="24"/>
      <c r="AH264" s="24"/>
      <c r="AI264" s="24"/>
      <c r="AJ264" s="24"/>
      <c r="AK264" s="24"/>
      <c r="AM264" s="26"/>
      <c r="AN264" s="24"/>
      <c r="AO264" s="24"/>
      <c r="AP264" s="24"/>
      <c r="AQ264" s="24"/>
      <c r="AR264" s="24"/>
      <c r="AS264" s="24"/>
      <c r="AT264" s="24"/>
    </row>
    <row r="265" ht="15.75" customHeight="1">
      <c r="F265" s="24"/>
      <c r="G265" s="24"/>
      <c r="H265" s="24"/>
      <c r="I265" s="24"/>
      <c r="J265" s="24"/>
      <c r="K265" s="24"/>
      <c r="L265" s="24"/>
      <c r="M265" s="24"/>
      <c r="N265" s="24"/>
      <c r="O265" s="24"/>
      <c r="P265" s="24"/>
      <c r="Q265" s="24"/>
      <c r="R265" s="24"/>
      <c r="S265" s="24"/>
      <c r="T265" s="24"/>
      <c r="U265" s="24"/>
      <c r="V265" s="24"/>
      <c r="W265" s="24"/>
      <c r="X265" s="24"/>
      <c r="Y265" s="24"/>
      <c r="Z265" s="24"/>
      <c r="AA265" s="24"/>
      <c r="AB265" s="24"/>
      <c r="AC265" s="24"/>
      <c r="AD265" s="24"/>
      <c r="AE265" s="24"/>
      <c r="AF265" s="24"/>
      <c r="AG265" s="24"/>
      <c r="AH265" s="24"/>
      <c r="AI265" s="24"/>
      <c r="AJ265" s="24"/>
      <c r="AK265" s="24"/>
      <c r="AM265" s="26"/>
      <c r="AN265" s="24"/>
      <c r="AO265" s="24"/>
      <c r="AP265" s="24"/>
      <c r="AQ265" s="24"/>
      <c r="AR265" s="24"/>
      <c r="AS265" s="24"/>
      <c r="AT265" s="24"/>
    </row>
    <row r="266" ht="15.75" customHeight="1">
      <c r="F266" s="24"/>
      <c r="G266" s="24"/>
      <c r="H266" s="24"/>
      <c r="I266" s="24"/>
      <c r="J266" s="24"/>
      <c r="K266" s="24"/>
      <c r="L266" s="24"/>
      <c r="M266" s="24"/>
      <c r="N266" s="24"/>
      <c r="O266" s="24"/>
      <c r="P266" s="24"/>
      <c r="Q266" s="24"/>
      <c r="R266" s="24"/>
      <c r="S266" s="24"/>
      <c r="T266" s="24"/>
      <c r="U266" s="24"/>
      <c r="V266" s="24"/>
      <c r="W266" s="24"/>
      <c r="X266" s="24"/>
      <c r="Y266" s="24"/>
      <c r="Z266" s="24"/>
      <c r="AA266" s="24"/>
      <c r="AB266" s="24"/>
      <c r="AC266" s="24"/>
      <c r="AD266" s="24"/>
      <c r="AE266" s="24"/>
      <c r="AF266" s="24"/>
      <c r="AG266" s="24"/>
      <c r="AH266" s="24"/>
      <c r="AI266" s="24"/>
      <c r="AJ266" s="24"/>
      <c r="AK266" s="24"/>
      <c r="AM266" s="26"/>
      <c r="AN266" s="24"/>
      <c r="AO266" s="24"/>
      <c r="AP266" s="24"/>
      <c r="AQ266" s="24"/>
      <c r="AR266" s="24"/>
      <c r="AS266" s="24"/>
      <c r="AT266" s="24"/>
    </row>
    <row r="267" ht="15.75" customHeight="1">
      <c r="F267" s="24"/>
      <c r="G267" s="24"/>
      <c r="H267" s="24"/>
      <c r="I267" s="24"/>
      <c r="J267" s="24"/>
      <c r="K267" s="24"/>
      <c r="L267" s="24"/>
      <c r="M267" s="24"/>
      <c r="N267" s="24"/>
      <c r="O267" s="24"/>
      <c r="P267" s="24"/>
      <c r="Q267" s="24"/>
      <c r="R267" s="24"/>
      <c r="S267" s="24"/>
      <c r="T267" s="24"/>
      <c r="U267" s="24"/>
      <c r="V267" s="24"/>
      <c r="W267" s="24"/>
      <c r="X267" s="24"/>
      <c r="Y267" s="24"/>
      <c r="Z267" s="24"/>
      <c r="AA267" s="24"/>
      <c r="AB267" s="24"/>
      <c r="AC267" s="24"/>
      <c r="AD267" s="24"/>
      <c r="AE267" s="24"/>
      <c r="AF267" s="24"/>
      <c r="AG267" s="24"/>
      <c r="AH267" s="24"/>
      <c r="AI267" s="24"/>
      <c r="AJ267" s="24"/>
      <c r="AK267" s="24"/>
      <c r="AM267" s="26"/>
      <c r="AN267" s="24"/>
      <c r="AO267" s="24"/>
      <c r="AP267" s="24"/>
      <c r="AQ267" s="24"/>
      <c r="AR267" s="24"/>
      <c r="AS267" s="24"/>
      <c r="AT267" s="24"/>
    </row>
    <row r="268" ht="15.75" customHeight="1">
      <c r="F268" s="24"/>
      <c r="G268" s="24"/>
      <c r="H268" s="24"/>
      <c r="I268" s="24"/>
      <c r="J268" s="24"/>
      <c r="K268" s="24"/>
      <c r="L268" s="24"/>
      <c r="M268" s="24"/>
      <c r="N268" s="24"/>
      <c r="O268" s="24"/>
      <c r="P268" s="24"/>
      <c r="Q268" s="24"/>
      <c r="R268" s="24"/>
      <c r="S268" s="24"/>
      <c r="T268" s="24"/>
      <c r="U268" s="24"/>
      <c r="V268" s="24"/>
      <c r="W268" s="24"/>
      <c r="X268" s="24"/>
      <c r="Y268" s="24"/>
      <c r="Z268" s="24"/>
      <c r="AA268" s="24"/>
      <c r="AB268" s="24"/>
      <c r="AC268" s="24"/>
      <c r="AD268" s="24"/>
      <c r="AE268" s="24"/>
      <c r="AF268" s="24"/>
      <c r="AG268" s="24"/>
      <c r="AH268" s="24"/>
      <c r="AI268" s="24"/>
      <c r="AJ268" s="24"/>
      <c r="AK268" s="24"/>
      <c r="AM268" s="26"/>
      <c r="AN268" s="24"/>
      <c r="AO268" s="24"/>
      <c r="AP268" s="24"/>
      <c r="AQ268" s="24"/>
      <c r="AR268" s="24"/>
      <c r="AS268" s="24"/>
      <c r="AT268" s="24"/>
    </row>
    <row r="269" ht="15.75" customHeight="1">
      <c r="F269" s="24"/>
      <c r="G269" s="24"/>
      <c r="H269" s="24"/>
      <c r="I269" s="24"/>
      <c r="J269" s="24"/>
      <c r="K269" s="24"/>
      <c r="L269" s="24"/>
      <c r="M269" s="24"/>
      <c r="N269" s="24"/>
      <c r="O269" s="24"/>
      <c r="P269" s="24"/>
      <c r="Q269" s="24"/>
      <c r="R269" s="24"/>
      <c r="S269" s="24"/>
      <c r="T269" s="24"/>
      <c r="U269" s="24"/>
      <c r="V269" s="24"/>
      <c r="W269" s="24"/>
      <c r="X269" s="24"/>
      <c r="Y269" s="24"/>
      <c r="Z269" s="24"/>
      <c r="AA269" s="24"/>
      <c r="AB269" s="24"/>
      <c r="AC269" s="24"/>
      <c r="AD269" s="24"/>
      <c r="AE269" s="24"/>
      <c r="AF269" s="24"/>
      <c r="AG269" s="24"/>
      <c r="AH269" s="24"/>
      <c r="AI269" s="24"/>
      <c r="AJ269" s="24"/>
      <c r="AK269" s="24"/>
      <c r="AM269" s="26"/>
      <c r="AN269" s="24"/>
      <c r="AO269" s="24"/>
      <c r="AP269" s="24"/>
      <c r="AQ269" s="24"/>
      <c r="AR269" s="24"/>
      <c r="AS269" s="24"/>
      <c r="AT269" s="24"/>
    </row>
    <row r="270" ht="15.75" customHeight="1">
      <c r="F270" s="24"/>
      <c r="G270" s="24"/>
      <c r="H270" s="24"/>
      <c r="I270" s="24"/>
      <c r="J270" s="24"/>
      <c r="K270" s="24"/>
      <c r="L270" s="24"/>
      <c r="M270" s="24"/>
      <c r="N270" s="24"/>
      <c r="O270" s="24"/>
      <c r="P270" s="24"/>
      <c r="Q270" s="24"/>
      <c r="R270" s="24"/>
      <c r="S270" s="24"/>
      <c r="T270" s="24"/>
      <c r="U270" s="24"/>
      <c r="V270" s="24"/>
      <c r="W270" s="24"/>
      <c r="X270" s="24"/>
      <c r="Y270" s="24"/>
      <c r="Z270" s="24"/>
      <c r="AA270" s="24"/>
      <c r="AB270" s="24"/>
      <c r="AC270" s="24"/>
      <c r="AD270" s="24"/>
      <c r="AE270" s="24"/>
      <c r="AF270" s="24"/>
      <c r="AG270" s="24"/>
      <c r="AH270" s="24"/>
      <c r="AI270" s="24"/>
      <c r="AJ270" s="24"/>
      <c r="AK270" s="24"/>
      <c r="AM270" s="26"/>
      <c r="AN270" s="24"/>
      <c r="AO270" s="24"/>
      <c r="AP270" s="24"/>
      <c r="AQ270" s="24"/>
      <c r="AR270" s="24"/>
      <c r="AS270" s="24"/>
      <c r="AT270" s="24"/>
    </row>
    <row r="271" ht="15.75" customHeight="1">
      <c r="F271" s="24"/>
      <c r="G271" s="24"/>
      <c r="H271" s="24"/>
      <c r="I271" s="24"/>
      <c r="J271" s="24"/>
      <c r="K271" s="24"/>
      <c r="L271" s="24"/>
      <c r="M271" s="24"/>
      <c r="N271" s="24"/>
      <c r="O271" s="24"/>
      <c r="P271" s="24"/>
      <c r="Q271" s="24"/>
      <c r="R271" s="24"/>
      <c r="S271" s="24"/>
      <c r="T271" s="24"/>
      <c r="U271" s="24"/>
      <c r="V271" s="24"/>
      <c r="W271" s="24"/>
      <c r="X271" s="24"/>
      <c r="Y271" s="24"/>
      <c r="Z271" s="24"/>
      <c r="AA271" s="24"/>
      <c r="AB271" s="24"/>
      <c r="AC271" s="24"/>
      <c r="AD271" s="24"/>
      <c r="AE271" s="24"/>
      <c r="AF271" s="24"/>
      <c r="AG271" s="24"/>
      <c r="AH271" s="24"/>
      <c r="AI271" s="24"/>
      <c r="AJ271" s="24"/>
      <c r="AK271" s="24"/>
      <c r="AM271" s="26"/>
      <c r="AN271" s="24"/>
      <c r="AO271" s="24"/>
      <c r="AP271" s="24"/>
      <c r="AQ271" s="24"/>
      <c r="AR271" s="24"/>
      <c r="AS271" s="24"/>
      <c r="AT271" s="24"/>
    </row>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8">
    <mergeCell ref="B27:AK27"/>
    <mergeCell ref="B28:F28"/>
    <mergeCell ref="B1:AK1"/>
    <mergeCell ref="B2:F2"/>
    <mergeCell ref="A4:A5"/>
    <mergeCell ref="A7:A9"/>
    <mergeCell ref="B10:F10"/>
    <mergeCell ref="A12:A13"/>
    <mergeCell ref="B17:F17"/>
    <mergeCell ref="A39:A40"/>
    <mergeCell ref="A44:A45"/>
    <mergeCell ref="B49:AK49"/>
    <mergeCell ref="B50:F50"/>
    <mergeCell ref="A52:A54"/>
    <mergeCell ref="A55:A56"/>
    <mergeCell ref="B58:F58"/>
    <mergeCell ref="A60:A61"/>
    <mergeCell ref="A62:A63"/>
    <mergeCell ref="B65:F65"/>
    <mergeCell ref="A67:A68"/>
    <mergeCell ref="A69:A70"/>
    <mergeCell ref="A14:A15"/>
    <mergeCell ref="A19:A21"/>
    <mergeCell ref="A22:A24"/>
    <mergeCell ref="A31:A33"/>
    <mergeCell ref="B35:F35"/>
    <mergeCell ref="A37:A38"/>
    <mergeCell ref="B42:F42"/>
  </mergeCells>
  <conditionalFormatting sqref="AN4:AN8 AN12:AN15 AN19:AN24 AN30:AN33 AN37:AN40 AN44:AN46 AN52:AN56 AN60:AN63 AN67:AN70">
    <cfRule type="cellIs" dxfId="4" priority="1" operator="greaterThan">
      <formula>3</formula>
    </cfRule>
  </conditionalFormatting>
  <conditionalFormatting sqref="AO4:AS8 AT4 AO12:AS15 AO19:AS24 AO30:AS33 AO37:AS40 AO44:AS46 AO52:AS56 AO60:AS63 AO67:AS70">
    <cfRule type="cellIs" dxfId="4" priority="2" operator="greaterThan">
      <formula>0</formula>
    </cfRule>
  </conditionalFormatting>
  <conditionalFormatting sqref="AM4:AM8 AM12:AM15 AM19:AM24 AM30:AM33 AM37:AM40 AM44:AM46 AM52:AM56 AM60:AM63 AM67:AM70">
    <cfRule type="endsWith" dxfId="3" priority="3" operator="endsWith" text="NO CORRESPONDE FRANCO">
      <formula>RIGHT((AM4),LEN("NO CORRESPONDE FRANCO"))=("NO CORRESPONDE FRANCO")</formula>
    </cfRule>
  </conditionalFormatting>
  <printOptions/>
  <pageMargins bottom="0.75" footer="0.0" header="0.0" left="0.7" right="0.7" top="0.75"/>
  <pageSetup orientation="landscape"/>
  <drawing r:id="rId2"/>
  <legacy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29"/>
    <col customWidth="1" min="2" max="2" width="20.14"/>
    <col customWidth="1" min="3" max="3" width="9.0"/>
    <col customWidth="1" min="4" max="4" width="15.71"/>
    <col customWidth="1" min="5" max="35" width="4.0"/>
  </cols>
  <sheetData>
    <row r="1">
      <c r="A1" s="932" t="s">
        <v>1596</v>
      </c>
      <c r="B1" s="6"/>
      <c r="C1" s="6"/>
      <c r="D1" s="6"/>
      <c r="E1" s="6"/>
      <c r="F1" s="6"/>
      <c r="G1" s="6"/>
      <c r="H1" s="6"/>
      <c r="I1" s="6"/>
      <c r="J1" s="6"/>
      <c r="K1" s="6"/>
      <c r="L1" s="6"/>
      <c r="M1" s="6"/>
      <c r="N1" s="6"/>
      <c r="O1" s="6"/>
      <c r="P1" s="6"/>
      <c r="Q1" s="6"/>
      <c r="R1" s="6"/>
      <c r="S1" s="6"/>
      <c r="T1" s="6"/>
      <c r="U1" s="6"/>
      <c r="V1" s="6"/>
      <c r="W1" s="6"/>
      <c r="X1" s="6"/>
      <c r="Y1" s="6"/>
      <c r="Z1" s="6"/>
      <c r="AA1" s="6"/>
      <c r="AB1" s="6"/>
      <c r="AC1" s="6"/>
      <c r="AD1" s="6"/>
      <c r="AE1" s="6"/>
      <c r="AF1" s="6"/>
      <c r="AG1" s="6"/>
      <c r="AH1" s="6"/>
      <c r="AI1" s="11"/>
    </row>
    <row r="2">
      <c r="A2" s="935" t="s">
        <v>1600</v>
      </c>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3"/>
      <c r="AG2" s="459"/>
      <c r="AH2" s="459"/>
      <c r="AI2" s="459"/>
    </row>
    <row r="3">
      <c r="A3" s="936" t="s">
        <v>1601</v>
      </c>
      <c r="B3" s="2"/>
      <c r="C3" s="2"/>
      <c r="D3" s="3"/>
      <c r="E3" s="9">
        <v>1.0</v>
      </c>
      <c r="F3" s="9">
        <v>2.0</v>
      </c>
      <c r="G3" s="9">
        <v>3.0</v>
      </c>
      <c r="H3" s="9">
        <v>4.0</v>
      </c>
      <c r="I3" s="9">
        <v>5.0</v>
      </c>
      <c r="J3" s="9">
        <v>6.0</v>
      </c>
      <c r="K3" s="9">
        <v>7.0</v>
      </c>
      <c r="L3" s="9">
        <v>8.0</v>
      </c>
      <c r="M3" s="9">
        <v>9.0</v>
      </c>
      <c r="N3" s="9">
        <v>10.0</v>
      </c>
      <c r="O3" s="9">
        <v>11.0</v>
      </c>
      <c r="P3" s="9">
        <v>12.0</v>
      </c>
      <c r="Q3" s="9">
        <v>13.0</v>
      </c>
      <c r="R3" s="9">
        <v>14.0</v>
      </c>
      <c r="S3" s="9">
        <v>15.0</v>
      </c>
      <c r="T3" s="9">
        <v>16.0</v>
      </c>
      <c r="U3" s="9">
        <v>17.0</v>
      </c>
      <c r="V3" s="9">
        <v>18.0</v>
      </c>
      <c r="W3" s="9">
        <v>19.0</v>
      </c>
      <c r="X3" s="9">
        <v>20.0</v>
      </c>
      <c r="Y3" s="9">
        <v>21.0</v>
      </c>
      <c r="Z3" s="9">
        <v>22.0</v>
      </c>
      <c r="AA3" s="9">
        <v>23.0</v>
      </c>
      <c r="AB3" s="9">
        <v>24.0</v>
      </c>
      <c r="AC3" s="9">
        <v>25.0</v>
      </c>
      <c r="AD3" s="9">
        <v>26.0</v>
      </c>
      <c r="AE3" s="9">
        <v>27.0</v>
      </c>
      <c r="AF3" s="9">
        <v>28.0</v>
      </c>
      <c r="AG3" s="9">
        <v>29.0</v>
      </c>
      <c r="AH3" s="9">
        <v>30.0</v>
      </c>
      <c r="AI3" s="9">
        <v>31.0</v>
      </c>
    </row>
    <row r="4">
      <c r="A4" s="937" t="s">
        <v>4</v>
      </c>
      <c r="B4" s="666" t="s">
        <v>5</v>
      </c>
      <c r="C4" s="938" t="s">
        <v>6</v>
      </c>
      <c r="D4" s="938" t="s">
        <v>8</v>
      </c>
      <c r="E4" s="9" t="s">
        <v>9</v>
      </c>
      <c r="F4" s="9" t="s">
        <v>10</v>
      </c>
      <c r="G4" s="9" t="s">
        <v>11</v>
      </c>
      <c r="H4" s="9" t="s">
        <v>12</v>
      </c>
      <c r="I4" s="9" t="s">
        <v>12</v>
      </c>
      <c r="J4" s="9" t="s">
        <v>13</v>
      </c>
      <c r="K4" s="9" t="s">
        <v>15</v>
      </c>
      <c r="L4" s="9" t="s">
        <v>9</v>
      </c>
      <c r="M4" s="9" t="s">
        <v>10</v>
      </c>
      <c r="N4" s="9" t="s">
        <v>11</v>
      </c>
      <c r="O4" s="9" t="s">
        <v>12</v>
      </c>
      <c r="P4" s="9" t="s">
        <v>12</v>
      </c>
      <c r="Q4" s="9" t="s">
        <v>13</v>
      </c>
      <c r="R4" s="9" t="s">
        <v>15</v>
      </c>
      <c r="S4" s="9" t="s">
        <v>9</v>
      </c>
      <c r="T4" s="9" t="s">
        <v>10</v>
      </c>
      <c r="U4" s="9" t="s">
        <v>11</v>
      </c>
      <c r="V4" s="9" t="s">
        <v>12</v>
      </c>
      <c r="W4" s="9" t="s">
        <v>12</v>
      </c>
      <c r="X4" s="9" t="s">
        <v>13</v>
      </c>
      <c r="Y4" s="9" t="s">
        <v>15</v>
      </c>
      <c r="Z4" s="9" t="s">
        <v>9</v>
      </c>
      <c r="AA4" s="9" t="s">
        <v>10</v>
      </c>
      <c r="AB4" s="9" t="s">
        <v>11</v>
      </c>
      <c r="AC4" s="9" t="s">
        <v>12</v>
      </c>
      <c r="AD4" s="9" t="s">
        <v>12</v>
      </c>
      <c r="AE4" s="9" t="s">
        <v>13</v>
      </c>
      <c r="AF4" s="13" t="s">
        <v>15</v>
      </c>
      <c r="AG4" s="9" t="s">
        <v>9</v>
      </c>
      <c r="AH4" s="9" t="s">
        <v>10</v>
      </c>
      <c r="AI4" s="9" t="s">
        <v>11</v>
      </c>
    </row>
    <row r="5">
      <c r="A5" s="939" t="s">
        <v>269</v>
      </c>
      <c r="B5" s="80" t="s">
        <v>1602</v>
      </c>
      <c r="C5" s="940">
        <v>12483.0</v>
      </c>
      <c r="D5" s="64" t="s">
        <v>1603</v>
      </c>
      <c r="E5" s="941" t="s">
        <v>22</v>
      </c>
      <c r="F5" s="941" t="s">
        <v>22</v>
      </c>
      <c r="G5" s="941" t="s">
        <v>22</v>
      </c>
      <c r="H5" s="941" t="s">
        <v>22</v>
      </c>
      <c r="I5" s="941" t="s">
        <v>22</v>
      </c>
      <c r="J5" s="941" t="s">
        <v>22</v>
      </c>
      <c r="K5" s="941" t="s">
        <v>22</v>
      </c>
      <c r="L5" s="75"/>
      <c r="M5" s="75"/>
      <c r="N5" s="72" t="s">
        <v>27</v>
      </c>
      <c r="O5" s="72" t="s">
        <v>27</v>
      </c>
      <c r="P5" s="72" t="s">
        <v>27</v>
      </c>
      <c r="Q5" s="72" t="s">
        <v>27</v>
      </c>
      <c r="R5" s="72" t="s">
        <v>27</v>
      </c>
      <c r="S5" s="75"/>
      <c r="T5" s="75"/>
      <c r="U5" s="75"/>
      <c r="V5" s="72" t="s">
        <v>27</v>
      </c>
      <c r="W5" s="72" t="s">
        <v>27</v>
      </c>
      <c r="X5" s="72" t="s">
        <v>27</v>
      </c>
      <c r="Y5" s="72" t="s">
        <v>27</v>
      </c>
      <c r="Z5" s="75"/>
      <c r="AA5" s="75"/>
      <c r="AB5" s="142"/>
      <c r="AC5" s="72" t="s">
        <v>27</v>
      </c>
      <c r="AD5" s="142"/>
      <c r="AE5" s="72" t="s">
        <v>27</v>
      </c>
      <c r="AF5" s="72" t="s">
        <v>27</v>
      </c>
      <c r="AG5" s="75"/>
      <c r="AH5" s="75"/>
      <c r="AI5" s="603" t="s">
        <v>20</v>
      </c>
    </row>
    <row r="6">
      <c r="A6" s="942" t="s">
        <v>33</v>
      </c>
      <c r="B6" s="63" t="s">
        <v>1604</v>
      </c>
      <c r="C6" s="40">
        <v>2.2431238E7</v>
      </c>
      <c r="D6" s="40" t="s">
        <v>1605</v>
      </c>
      <c r="E6" s="75"/>
      <c r="F6" s="75"/>
      <c r="G6" s="72" t="s">
        <v>27</v>
      </c>
      <c r="H6" s="72" t="s">
        <v>27</v>
      </c>
      <c r="I6" s="72" t="s">
        <v>27</v>
      </c>
      <c r="J6" s="72" t="s">
        <v>27</v>
      </c>
      <c r="K6" s="72" t="s">
        <v>27</v>
      </c>
      <c r="L6" s="75"/>
      <c r="M6" s="75"/>
      <c r="N6" s="72" t="s">
        <v>27</v>
      </c>
      <c r="O6" s="72" t="s">
        <v>27</v>
      </c>
      <c r="P6" s="72" t="s">
        <v>27</v>
      </c>
      <c r="Q6" s="72" t="s">
        <v>27</v>
      </c>
      <c r="R6" s="72" t="s">
        <v>27</v>
      </c>
      <c r="S6" s="75"/>
      <c r="T6" s="75"/>
      <c r="U6" s="75"/>
      <c r="V6" s="72" t="s">
        <v>27</v>
      </c>
      <c r="W6" s="72" t="s">
        <v>27</v>
      </c>
      <c r="X6" s="72" t="s">
        <v>27</v>
      </c>
      <c r="Y6" s="72" t="s">
        <v>27</v>
      </c>
      <c r="Z6" s="75"/>
      <c r="AA6" s="75"/>
      <c r="AB6" s="142"/>
      <c r="AC6" s="72" t="s">
        <v>27</v>
      </c>
      <c r="AD6" s="142"/>
      <c r="AE6" s="72" t="s">
        <v>27</v>
      </c>
      <c r="AF6" s="603" t="s">
        <v>20</v>
      </c>
      <c r="AG6" s="943"/>
      <c r="AH6" s="75"/>
      <c r="AI6" s="142"/>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AI1"/>
    <mergeCell ref="A2:AF2"/>
    <mergeCell ref="A3:D3"/>
  </mergeCells>
  <printOptions/>
  <pageMargins bottom="0.75" footer="0.0" header="0.0" left="0.7" right="0.7" top="0.75"/>
  <pageSetup orientation="landscape"/>
  <drawing r:id="rId2"/>
  <legacy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1.57"/>
    <col customWidth="1" min="2" max="2" width="25.29"/>
    <col customWidth="1" min="3" max="3" width="10.43"/>
    <col customWidth="1" min="4" max="4" width="37.0"/>
    <col customWidth="1" min="5" max="5" width="13.0"/>
    <col customWidth="1" min="6" max="22" width="4.43"/>
    <col customWidth="1" min="23" max="27" width="4.0"/>
    <col customWidth="1" min="28" max="28" width="7.71"/>
    <col customWidth="1" min="29" max="36" width="4.0"/>
    <col customWidth="1" min="37" max="38" width="10.71"/>
    <col customWidth="1" min="39" max="39" width="16.0"/>
    <col customWidth="1" min="40" max="40" width="3.71"/>
    <col customWidth="1" min="41" max="41" width="3.86"/>
    <col customWidth="1" min="42" max="42" width="5.0"/>
    <col customWidth="1" min="43" max="43" width="4.14"/>
    <col customWidth="1" min="44" max="44" width="3.29"/>
    <col customWidth="1" min="45" max="46" width="10.71"/>
  </cols>
  <sheetData>
    <row r="1">
      <c r="A1" s="944"/>
      <c r="B1" s="6"/>
      <c r="C1" s="6"/>
      <c r="D1" s="6"/>
      <c r="E1" s="6"/>
      <c r="F1" s="6"/>
      <c r="G1" s="6"/>
      <c r="H1" s="6"/>
      <c r="I1" s="6"/>
      <c r="J1" s="6"/>
      <c r="K1" s="6"/>
      <c r="L1" s="6"/>
      <c r="M1" s="6"/>
      <c r="N1" s="6"/>
      <c r="O1" s="6"/>
      <c r="P1" s="6"/>
      <c r="Q1" s="6"/>
      <c r="R1" s="6"/>
      <c r="S1" s="6"/>
      <c r="T1" s="6"/>
      <c r="U1" s="6"/>
      <c r="V1" s="6"/>
      <c r="W1" s="6"/>
      <c r="X1" s="6"/>
      <c r="Y1" s="6"/>
      <c r="Z1" s="6"/>
      <c r="AA1" s="6"/>
      <c r="AB1" s="6"/>
      <c r="AC1" s="6"/>
      <c r="AD1" s="6"/>
      <c r="AE1" s="6"/>
      <c r="AF1" s="6"/>
      <c r="AG1" s="6"/>
      <c r="AH1" s="6"/>
      <c r="AI1" s="6"/>
      <c r="AJ1" s="11"/>
    </row>
    <row r="2">
      <c r="A2" s="945" t="s">
        <v>1606</v>
      </c>
      <c r="B2" s="2"/>
      <c r="C2" s="2"/>
      <c r="D2" s="2"/>
      <c r="E2" s="3"/>
      <c r="F2" s="9">
        <v>1.0</v>
      </c>
      <c r="G2" s="9">
        <v>2.0</v>
      </c>
      <c r="H2" s="9">
        <v>3.0</v>
      </c>
      <c r="I2" s="9">
        <v>4.0</v>
      </c>
      <c r="J2" s="9">
        <v>5.0</v>
      </c>
      <c r="K2" s="9">
        <v>6.0</v>
      </c>
      <c r="L2" s="9">
        <v>7.0</v>
      </c>
      <c r="M2" s="9">
        <v>8.0</v>
      </c>
      <c r="N2" s="9">
        <v>9.0</v>
      </c>
      <c r="O2" s="9">
        <v>10.0</v>
      </c>
      <c r="P2" s="9">
        <v>11.0</v>
      </c>
      <c r="Q2" s="9">
        <v>12.0</v>
      </c>
      <c r="R2" s="9">
        <v>13.0</v>
      </c>
      <c r="S2" s="9">
        <v>14.0</v>
      </c>
      <c r="T2" s="9">
        <v>15.0</v>
      </c>
      <c r="U2" s="9">
        <v>16.0</v>
      </c>
      <c r="V2" s="9">
        <v>17.0</v>
      </c>
      <c r="W2" s="9">
        <v>18.0</v>
      </c>
      <c r="X2" s="9">
        <v>19.0</v>
      </c>
      <c r="Y2" s="9">
        <v>20.0</v>
      </c>
      <c r="Z2" s="9">
        <v>21.0</v>
      </c>
      <c r="AA2" s="9">
        <v>22.0</v>
      </c>
      <c r="AB2" s="9">
        <v>23.0</v>
      </c>
      <c r="AC2" s="9">
        <v>24.0</v>
      </c>
      <c r="AD2" s="9">
        <v>25.0</v>
      </c>
      <c r="AE2" s="9">
        <v>26.0</v>
      </c>
      <c r="AF2" s="9">
        <v>27.0</v>
      </c>
      <c r="AG2" s="9">
        <v>28.0</v>
      </c>
      <c r="AH2" s="9">
        <v>29.0</v>
      </c>
      <c r="AI2" s="9">
        <v>30.0</v>
      </c>
      <c r="AJ2" s="9">
        <v>31.0</v>
      </c>
    </row>
    <row r="3">
      <c r="A3" s="946" t="s">
        <v>4</v>
      </c>
      <c r="B3" s="870" t="s">
        <v>5</v>
      </c>
      <c r="C3" s="870" t="s">
        <v>6</v>
      </c>
      <c r="D3" s="871" t="s">
        <v>7</v>
      </c>
      <c r="E3" s="870" t="s">
        <v>8</v>
      </c>
      <c r="F3" s="9" t="s">
        <v>9</v>
      </c>
      <c r="G3" s="9" t="s">
        <v>10</v>
      </c>
      <c r="H3" s="9" t="s">
        <v>11</v>
      </c>
      <c r="I3" s="9" t="s">
        <v>12</v>
      </c>
      <c r="J3" s="9" t="s">
        <v>12</v>
      </c>
      <c r="K3" s="9" t="s">
        <v>13</v>
      </c>
      <c r="L3" s="9" t="s">
        <v>15</v>
      </c>
      <c r="M3" s="9" t="s">
        <v>9</v>
      </c>
      <c r="N3" s="9" t="s">
        <v>10</v>
      </c>
      <c r="O3" s="9" t="s">
        <v>11</v>
      </c>
      <c r="P3" s="9" t="s">
        <v>12</v>
      </c>
      <c r="Q3" s="9" t="s">
        <v>12</v>
      </c>
      <c r="R3" s="9" t="s">
        <v>13</v>
      </c>
      <c r="S3" s="9" t="s">
        <v>15</v>
      </c>
      <c r="T3" s="9" t="s">
        <v>9</v>
      </c>
      <c r="U3" s="9" t="s">
        <v>10</v>
      </c>
      <c r="V3" s="9" t="s">
        <v>11</v>
      </c>
      <c r="W3" s="9" t="s">
        <v>12</v>
      </c>
      <c r="X3" s="9" t="s">
        <v>12</v>
      </c>
      <c r="Y3" s="9" t="s">
        <v>13</v>
      </c>
      <c r="Z3" s="9" t="s">
        <v>15</v>
      </c>
      <c r="AA3" s="9" t="s">
        <v>9</v>
      </c>
      <c r="AB3" s="9" t="s">
        <v>10</v>
      </c>
      <c r="AC3" s="9" t="s">
        <v>11</v>
      </c>
      <c r="AD3" s="9" t="s">
        <v>12</v>
      </c>
      <c r="AE3" s="9" t="s">
        <v>12</v>
      </c>
      <c r="AF3" s="9" t="s">
        <v>13</v>
      </c>
      <c r="AG3" s="13" t="s">
        <v>15</v>
      </c>
      <c r="AH3" s="9" t="s">
        <v>9</v>
      </c>
      <c r="AI3" s="9" t="s">
        <v>10</v>
      </c>
      <c r="AJ3" s="9" t="s">
        <v>11</v>
      </c>
      <c r="AM3" s="31" t="s">
        <v>16</v>
      </c>
      <c r="AN3" s="31" t="s">
        <v>18</v>
      </c>
      <c r="AO3" s="31" t="s">
        <v>19</v>
      </c>
      <c r="AP3" s="31" t="s">
        <v>20</v>
      </c>
      <c r="AQ3" s="31" t="s">
        <v>21</v>
      </c>
      <c r="AR3" s="33" t="s">
        <v>22</v>
      </c>
      <c r="AS3" s="36"/>
      <c r="AT3" s="36"/>
    </row>
    <row r="4">
      <c r="A4" s="66" t="s">
        <v>33</v>
      </c>
      <c r="B4" s="67" t="s">
        <v>1607</v>
      </c>
      <c r="C4" s="66">
        <v>3.5087618E7</v>
      </c>
      <c r="D4" s="67" t="s">
        <v>1608</v>
      </c>
      <c r="E4" s="66" t="s">
        <v>1609</v>
      </c>
      <c r="F4" s="83"/>
      <c r="G4" s="947" t="s">
        <v>19</v>
      </c>
      <c r="H4" s="83"/>
      <c r="I4" s="144" t="s">
        <v>27</v>
      </c>
      <c r="J4" s="83"/>
      <c r="K4" s="86" t="s">
        <v>32</v>
      </c>
      <c r="L4" s="83"/>
      <c r="M4" s="83"/>
      <c r="N4" s="83"/>
      <c r="O4" s="948" t="s">
        <v>22</v>
      </c>
      <c r="P4" s="948" t="s">
        <v>22</v>
      </c>
      <c r="Q4" s="948" t="s">
        <v>22</v>
      </c>
      <c r="R4" s="948" t="s">
        <v>22</v>
      </c>
      <c r="S4" s="948" t="s">
        <v>22</v>
      </c>
      <c r="T4" s="948" t="s">
        <v>22</v>
      </c>
      <c r="U4" s="948" t="s">
        <v>22</v>
      </c>
      <c r="V4" s="83"/>
      <c r="W4" s="144" t="s">
        <v>27</v>
      </c>
      <c r="X4" s="83"/>
      <c r="Y4" s="144" t="s">
        <v>120</v>
      </c>
      <c r="Z4" s="83"/>
      <c r="AA4" s="83"/>
      <c r="AB4" s="83"/>
      <c r="AC4" s="144" t="s">
        <v>27</v>
      </c>
      <c r="AD4" s="83"/>
      <c r="AE4" s="144" t="s">
        <v>120</v>
      </c>
      <c r="AF4" s="83"/>
      <c r="AG4" s="144" t="s">
        <v>27</v>
      </c>
      <c r="AH4" s="324"/>
      <c r="AI4" s="66"/>
      <c r="AJ4" s="324"/>
      <c r="AL4" s="242"/>
      <c r="AM4" s="60" t="str">
        <f t="shared" ref="AM4:AM22" si="1">IFS(AN4&gt;3,"NO CORRESPONDE FRANCO",AS4&gt;0,"NO CORRESPONDE FRANCO",AS4=0,"")</f>
        <v>NO CORRESPONDE FRANCO</v>
      </c>
      <c r="AN4" s="60">
        <f t="shared" ref="AN4:AN22" si="2">COUNTIF($F4:$AJ4,"LLT")</f>
        <v>0</v>
      </c>
      <c r="AO4" s="60">
        <f t="shared" ref="AO4:AO22" si="3">COUNTIF($F4:$AJ4,"LM")</f>
        <v>1</v>
      </c>
      <c r="AP4" s="60">
        <f t="shared" ref="AP4:AP22" si="4">COUNTIF($F4:$AJ4,"FaC")</f>
        <v>0</v>
      </c>
      <c r="AQ4" s="60">
        <f t="shared" ref="AQ4:AQ22" si="5">COUNTIF($F4:$AJ4,"LxE")</f>
        <v>0</v>
      </c>
      <c r="AR4" s="60">
        <f t="shared" ref="AR4:AR22" si="6">COUNTIF($F4:$AJ4,"LA")</f>
        <v>7</v>
      </c>
      <c r="AS4" s="60">
        <f t="shared" ref="AS4:AS22" si="7">SUM(AO4:AR4)</f>
        <v>8</v>
      </c>
      <c r="AT4" s="36"/>
    </row>
    <row r="5" ht="13.5" customHeight="1">
      <c r="A5" s="320" t="s">
        <v>33</v>
      </c>
      <c r="B5" s="419" t="s">
        <v>647</v>
      </c>
      <c r="C5" s="320">
        <v>3.719797E7</v>
      </c>
      <c r="D5" s="419" t="s">
        <v>649</v>
      </c>
      <c r="E5" s="320" t="s">
        <v>650</v>
      </c>
      <c r="F5" s="83"/>
      <c r="G5" s="76"/>
      <c r="H5" s="83"/>
      <c r="I5" s="76"/>
      <c r="J5" s="947" t="s">
        <v>19</v>
      </c>
      <c r="K5" s="949" t="s">
        <v>1610</v>
      </c>
      <c r="L5" s="6"/>
      <c r="M5" s="6"/>
      <c r="N5" s="6"/>
      <c r="O5" s="6"/>
      <c r="P5" s="6"/>
      <c r="Q5" s="6"/>
      <c r="R5" s="6"/>
      <c r="S5" s="6"/>
      <c r="T5" s="6"/>
      <c r="U5" s="6"/>
      <c r="V5" s="6"/>
      <c r="W5" s="6"/>
      <c r="X5" s="6"/>
      <c r="Y5" s="6"/>
      <c r="Z5" s="6"/>
      <c r="AA5" s="6"/>
      <c r="AB5" s="6"/>
      <c r="AC5" s="6"/>
      <c r="AD5" s="6"/>
      <c r="AE5" s="6"/>
      <c r="AF5" s="6"/>
      <c r="AG5" s="6"/>
      <c r="AH5" s="6"/>
      <c r="AI5" s="6"/>
      <c r="AJ5" s="6"/>
      <c r="AK5" s="11"/>
      <c r="AM5" s="60" t="str">
        <f t="shared" si="1"/>
        <v>NO CORRESPONDE FRANCO</v>
      </c>
      <c r="AN5" s="60">
        <f t="shared" si="2"/>
        <v>0</v>
      </c>
      <c r="AO5" s="60">
        <f t="shared" si="3"/>
        <v>1</v>
      </c>
      <c r="AP5" s="60">
        <f t="shared" si="4"/>
        <v>0</v>
      </c>
      <c r="AQ5" s="60">
        <f t="shared" si="5"/>
        <v>0</v>
      </c>
      <c r="AR5" s="60">
        <f t="shared" si="6"/>
        <v>0</v>
      </c>
      <c r="AS5" s="60">
        <f t="shared" si="7"/>
        <v>1</v>
      </c>
      <c r="AT5" s="36"/>
    </row>
    <row r="6" ht="13.5" customHeight="1">
      <c r="A6" s="66" t="s">
        <v>33</v>
      </c>
      <c r="B6" s="39" t="s">
        <v>1611</v>
      </c>
      <c r="C6" s="40">
        <v>4.7057236E7</v>
      </c>
      <c r="D6" s="950" t="s">
        <v>1612</v>
      </c>
      <c r="E6" s="40" t="s">
        <v>1613</v>
      </c>
      <c r="F6" s="951" t="s">
        <v>19</v>
      </c>
      <c r="G6" s="134" t="s">
        <v>19</v>
      </c>
      <c r="H6" s="134" t="s">
        <v>19</v>
      </c>
      <c r="I6" s="134" t="s">
        <v>19</v>
      </c>
      <c r="J6" s="134" t="s">
        <v>19</v>
      </c>
      <c r="K6" s="134" t="s">
        <v>19</v>
      </c>
      <c r="L6" s="134" t="s">
        <v>19</v>
      </c>
      <c r="M6" s="134" t="s">
        <v>19</v>
      </c>
      <c r="N6" s="134" t="s">
        <v>19</v>
      </c>
      <c r="O6" s="134" t="s">
        <v>19</v>
      </c>
      <c r="P6" s="134" t="s">
        <v>19</v>
      </c>
      <c r="Q6" s="134" t="s">
        <v>19</v>
      </c>
      <c r="R6" s="134" t="s">
        <v>19</v>
      </c>
      <c r="S6" s="134" t="s">
        <v>19</v>
      </c>
      <c r="T6" s="324"/>
      <c r="U6" s="327" t="s">
        <v>27</v>
      </c>
      <c r="V6" s="324"/>
      <c r="W6" s="327" t="s">
        <v>18</v>
      </c>
      <c r="X6" s="324"/>
      <c r="Y6" s="327" t="s">
        <v>27</v>
      </c>
      <c r="Z6" s="324"/>
      <c r="AA6" s="324"/>
      <c r="AB6" s="324"/>
      <c r="AC6" s="327" t="s">
        <v>27</v>
      </c>
      <c r="AD6" s="324"/>
      <c r="AE6" s="327" t="s">
        <v>120</v>
      </c>
      <c r="AF6" s="324"/>
      <c r="AG6" s="327" t="s">
        <v>27</v>
      </c>
      <c r="AH6" s="324"/>
      <c r="AI6" s="952"/>
      <c r="AJ6" s="324"/>
      <c r="AM6" s="60" t="str">
        <f t="shared" si="1"/>
        <v>NO CORRESPONDE FRANCO</v>
      </c>
      <c r="AN6" s="60">
        <f t="shared" si="2"/>
        <v>1</v>
      </c>
      <c r="AO6" s="60">
        <f t="shared" si="3"/>
        <v>14</v>
      </c>
      <c r="AP6" s="60">
        <f t="shared" si="4"/>
        <v>0</v>
      </c>
      <c r="AQ6" s="60">
        <f t="shared" si="5"/>
        <v>0</v>
      </c>
      <c r="AR6" s="60">
        <f t="shared" si="6"/>
        <v>0</v>
      </c>
      <c r="AS6" s="60">
        <f t="shared" si="7"/>
        <v>14</v>
      </c>
      <c r="AT6" s="36"/>
    </row>
    <row r="7" ht="13.5" customHeight="1">
      <c r="A7" s="580" t="s">
        <v>33</v>
      </c>
      <c r="B7" s="953" t="s">
        <v>1614</v>
      </c>
      <c r="C7" s="580">
        <v>3.6387276E7</v>
      </c>
      <c r="D7" s="954" t="s">
        <v>1615</v>
      </c>
      <c r="E7" s="490" t="s">
        <v>1616</v>
      </c>
      <c r="F7" s="947" t="s">
        <v>19</v>
      </c>
      <c r="G7" s="947" t="s">
        <v>19</v>
      </c>
      <c r="H7" s="947" t="s">
        <v>19</v>
      </c>
      <c r="I7" s="947" t="s">
        <v>19</v>
      </c>
      <c r="J7" s="947" t="s">
        <v>19</v>
      </c>
      <c r="K7" s="947" t="s">
        <v>19</v>
      </c>
      <c r="L7" s="947" t="s">
        <v>19</v>
      </c>
      <c r="M7" s="947" t="s">
        <v>19</v>
      </c>
      <c r="N7" s="947" t="s">
        <v>19</v>
      </c>
      <c r="O7" s="947" t="s">
        <v>19</v>
      </c>
      <c r="P7" s="947" t="s">
        <v>19</v>
      </c>
      <c r="Q7" s="947" t="s">
        <v>19</v>
      </c>
      <c r="R7" s="947" t="s">
        <v>19</v>
      </c>
      <c r="S7" s="947" t="s">
        <v>19</v>
      </c>
      <c r="T7" s="947" t="s">
        <v>19</v>
      </c>
      <c r="U7" s="947" t="s">
        <v>19</v>
      </c>
      <c r="V7" s="947" t="s">
        <v>19</v>
      </c>
      <c r="W7" s="947" t="s">
        <v>19</v>
      </c>
      <c r="X7" s="947" t="s">
        <v>19</v>
      </c>
      <c r="Y7" s="947" t="s">
        <v>19</v>
      </c>
      <c r="Z7" s="947" t="s">
        <v>19</v>
      </c>
      <c r="AA7" s="947" t="s">
        <v>19</v>
      </c>
      <c r="AB7" s="947" t="s">
        <v>19</v>
      </c>
      <c r="AC7" s="947" t="s">
        <v>19</v>
      </c>
      <c r="AD7" s="947" t="s">
        <v>19</v>
      </c>
      <c r="AE7" s="947" t="s">
        <v>19</v>
      </c>
      <c r="AF7" s="947" t="s">
        <v>19</v>
      </c>
      <c r="AG7" s="947" t="s">
        <v>19</v>
      </c>
      <c r="AH7" s="86" t="s">
        <v>32</v>
      </c>
      <c r="AI7" s="86" t="s">
        <v>32</v>
      </c>
      <c r="AJ7" s="324"/>
      <c r="AM7" s="60" t="str">
        <f t="shared" si="1"/>
        <v>NO CORRESPONDE FRANCO</v>
      </c>
      <c r="AN7" s="60">
        <f t="shared" si="2"/>
        <v>0</v>
      </c>
      <c r="AO7" s="60">
        <f t="shared" si="3"/>
        <v>28</v>
      </c>
      <c r="AP7" s="60">
        <f t="shared" si="4"/>
        <v>0</v>
      </c>
      <c r="AQ7" s="60">
        <f t="shared" si="5"/>
        <v>0</v>
      </c>
      <c r="AR7" s="60">
        <f t="shared" si="6"/>
        <v>0</v>
      </c>
      <c r="AS7" s="60">
        <f t="shared" si="7"/>
        <v>28</v>
      </c>
      <c r="AT7" s="36"/>
    </row>
    <row r="8">
      <c r="A8" s="955" t="s">
        <v>1617</v>
      </c>
      <c r="B8" s="650"/>
      <c r="C8" s="650"/>
      <c r="D8" s="650"/>
      <c r="E8" s="956"/>
      <c r="F8" s="944"/>
      <c r="G8" s="6"/>
      <c r="H8" s="6"/>
      <c r="I8" s="6"/>
      <c r="J8" s="6"/>
      <c r="K8" s="6"/>
      <c r="L8" s="6"/>
      <c r="M8" s="6"/>
      <c r="N8" s="6"/>
      <c r="O8" s="6"/>
      <c r="P8" s="6"/>
      <c r="Q8" s="6"/>
      <c r="R8" s="6"/>
      <c r="S8" s="6"/>
      <c r="T8" s="6"/>
      <c r="U8" s="6"/>
      <c r="V8" s="6"/>
      <c r="W8" s="6"/>
      <c r="X8" s="6"/>
      <c r="Y8" s="6"/>
      <c r="Z8" s="6"/>
      <c r="AA8" s="6"/>
      <c r="AB8" s="6"/>
      <c r="AC8" s="6"/>
      <c r="AD8" s="6"/>
      <c r="AE8" s="6"/>
      <c r="AF8" s="6"/>
      <c r="AG8" s="6"/>
      <c r="AH8" s="6"/>
      <c r="AI8" s="11"/>
      <c r="AJ8" s="957"/>
      <c r="AK8" s="21"/>
      <c r="AL8" s="21"/>
      <c r="AM8" s="60" t="str">
        <f t="shared" si="1"/>
        <v/>
      </c>
      <c r="AN8" s="60">
        <f t="shared" si="2"/>
        <v>0</v>
      </c>
      <c r="AO8" s="60">
        <f t="shared" si="3"/>
        <v>0</v>
      </c>
      <c r="AP8" s="60">
        <f t="shared" si="4"/>
        <v>0</v>
      </c>
      <c r="AQ8" s="60">
        <f t="shared" si="5"/>
        <v>0</v>
      </c>
      <c r="AR8" s="60">
        <f t="shared" si="6"/>
        <v>0</v>
      </c>
      <c r="AS8" s="60">
        <f t="shared" si="7"/>
        <v>0</v>
      </c>
      <c r="AT8" s="36"/>
    </row>
    <row r="9">
      <c r="A9" s="958" t="s">
        <v>33</v>
      </c>
      <c r="B9" s="383" t="s">
        <v>1618</v>
      </c>
      <c r="C9" s="490">
        <v>4.042486E7</v>
      </c>
      <c r="D9" s="383" t="s">
        <v>1619</v>
      </c>
      <c r="E9" s="70" t="s">
        <v>1620</v>
      </c>
      <c r="F9" s="83"/>
      <c r="G9" s="83"/>
      <c r="H9" s="84" t="s">
        <v>27</v>
      </c>
      <c r="I9" s="83"/>
      <c r="J9" s="84" t="s">
        <v>27</v>
      </c>
      <c r="K9" s="83"/>
      <c r="L9" s="172" t="s">
        <v>27</v>
      </c>
      <c r="M9" s="83"/>
      <c r="N9" s="84" t="s">
        <v>120</v>
      </c>
      <c r="O9" s="83"/>
      <c r="P9" s="84" t="s">
        <v>27</v>
      </c>
      <c r="Q9" s="83"/>
      <c r="R9" s="84" t="s">
        <v>120</v>
      </c>
      <c r="S9" s="83"/>
      <c r="T9" s="83"/>
      <c r="U9" s="83"/>
      <c r="V9" s="86" t="s">
        <v>32</v>
      </c>
      <c r="W9" s="83"/>
      <c r="X9" s="84" t="s">
        <v>120</v>
      </c>
      <c r="Y9" s="83"/>
      <c r="Z9" s="172" t="s">
        <v>27</v>
      </c>
      <c r="AA9" s="83"/>
      <c r="AB9" s="84" t="s">
        <v>27</v>
      </c>
      <c r="AC9" s="83"/>
      <c r="AD9" s="84" t="s">
        <v>27</v>
      </c>
      <c r="AE9" s="83"/>
      <c r="AF9" s="84" t="s">
        <v>27</v>
      </c>
      <c r="AG9" s="83"/>
      <c r="AH9" s="83"/>
      <c r="AI9" s="83"/>
      <c r="AJ9" s="84" t="s">
        <v>27</v>
      </c>
      <c r="AM9" s="60" t="str">
        <f t="shared" si="1"/>
        <v/>
      </c>
      <c r="AN9" s="60">
        <f t="shared" si="2"/>
        <v>0</v>
      </c>
      <c r="AO9" s="60">
        <f t="shared" si="3"/>
        <v>0</v>
      </c>
      <c r="AP9" s="60">
        <f t="shared" si="4"/>
        <v>0</v>
      </c>
      <c r="AQ9" s="60">
        <f t="shared" si="5"/>
        <v>0</v>
      </c>
      <c r="AR9" s="60">
        <f t="shared" si="6"/>
        <v>0</v>
      </c>
      <c r="AS9" s="60">
        <f t="shared" si="7"/>
        <v>0</v>
      </c>
      <c r="AT9" s="36"/>
    </row>
    <row r="10">
      <c r="A10" s="38" t="s">
        <v>33</v>
      </c>
      <c r="B10" s="39" t="s">
        <v>1621</v>
      </c>
      <c r="C10" s="40">
        <v>4.5900681E7</v>
      </c>
      <c r="D10" s="39" t="s">
        <v>1622</v>
      </c>
      <c r="E10" s="40" t="s">
        <v>1623</v>
      </c>
      <c r="F10" s="83"/>
      <c r="G10" s="83"/>
      <c r="H10" s="84" t="s">
        <v>27</v>
      </c>
      <c r="I10" s="83"/>
      <c r="J10" s="84" t="s">
        <v>27</v>
      </c>
      <c r="K10" s="83"/>
      <c r="L10" s="172" t="s">
        <v>27</v>
      </c>
      <c r="M10" s="83"/>
      <c r="N10" s="84" t="s">
        <v>120</v>
      </c>
      <c r="O10" s="83"/>
      <c r="P10" s="84" t="s">
        <v>27</v>
      </c>
      <c r="Q10" s="83"/>
      <c r="R10" s="84" t="s">
        <v>120</v>
      </c>
      <c r="S10" s="83"/>
      <c r="T10" s="83"/>
      <c r="U10" s="83"/>
      <c r="V10" s="84" t="s">
        <v>27</v>
      </c>
      <c r="W10" s="83"/>
      <c r="X10" s="84" t="s">
        <v>120</v>
      </c>
      <c r="Y10" s="83"/>
      <c r="Z10" s="172" t="s">
        <v>27</v>
      </c>
      <c r="AA10" s="83"/>
      <c r="AB10" s="84" t="s">
        <v>27</v>
      </c>
      <c r="AC10" s="83"/>
      <c r="AD10" s="84" t="s">
        <v>27</v>
      </c>
      <c r="AE10" s="83"/>
      <c r="AF10" s="84" t="s">
        <v>27</v>
      </c>
      <c r="AG10" s="83"/>
      <c r="AH10" s="83"/>
      <c r="AI10" s="83"/>
      <c r="AJ10" s="84" t="s">
        <v>27</v>
      </c>
      <c r="AM10" s="60" t="str">
        <f t="shared" si="1"/>
        <v/>
      </c>
      <c r="AN10" s="60">
        <f t="shared" si="2"/>
        <v>0</v>
      </c>
      <c r="AO10" s="60">
        <f t="shared" si="3"/>
        <v>0</v>
      </c>
      <c r="AP10" s="60">
        <f t="shared" si="4"/>
        <v>0</v>
      </c>
      <c r="AQ10" s="60">
        <f t="shared" si="5"/>
        <v>0</v>
      </c>
      <c r="AR10" s="60">
        <f t="shared" si="6"/>
        <v>0</v>
      </c>
      <c r="AS10" s="60">
        <f t="shared" si="7"/>
        <v>0</v>
      </c>
      <c r="AT10" s="36"/>
    </row>
    <row r="11">
      <c r="AM11" s="60" t="str">
        <f t="shared" si="1"/>
        <v/>
      </c>
      <c r="AN11" s="60">
        <f t="shared" si="2"/>
        <v>0</v>
      </c>
      <c r="AO11" s="60">
        <f t="shared" si="3"/>
        <v>0</v>
      </c>
      <c r="AP11" s="60">
        <f t="shared" si="4"/>
        <v>0</v>
      </c>
      <c r="AQ11" s="60">
        <f t="shared" si="5"/>
        <v>0</v>
      </c>
      <c r="AR11" s="60">
        <f t="shared" si="6"/>
        <v>0</v>
      </c>
      <c r="AS11" s="60">
        <f t="shared" si="7"/>
        <v>0</v>
      </c>
      <c r="AT11" s="36"/>
    </row>
    <row r="12">
      <c r="A12" s="535" t="s">
        <v>1624</v>
      </c>
      <c r="B12" s="6"/>
      <c r="C12" s="6"/>
      <c r="D12" s="6"/>
      <c r="E12" s="11"/>
      <c r="F12" s="9">
        <v>1.0</v>
      </c>
      <c r="G12" s="9">
        <v>2.0</v>
      </c>
      <c r="H12" s="9">
        <v>3.0</v>
      </c>
      <c r="I12" s="9">
        <v>4.0</v>
      </c>
      <c r="J12" s="9">
        <v>5.0</v>
      </c>
      <c r="K12" s="9">
        <v>6.0</v>
      </c>
      <c r="L12" s="9">
        <v>7.0</v>
      </c>
      <c r="M12" s="9">
        <v>8.0</v>
      </c>
      <c r="N12" s="9">
        <v>9.0</v>
      </c>
      <c r="O12" s="9">
        <v>10.0</v>
      </c>
      <c r="P12" s="9">
        <v>11.0</v>
      </c>
      <c r="Q12" s="9">
        <v>12.0</v>
      </c>
      <c r="R12" s="9">
        <v>13.0</v>
      </c>
      <c r="S12" s="9">
        <v>14.0</v>
      </c>
      <c r="T12" s="9">
        <v>15.0</v>
      </c>
      <c r="U12" s="9">
        <v>16.0</v>
      </c>
      <c r="V12" s="9">
        <v>17.0</v>
      </c>
      <c r="W12" s="9">
        <v>18.0</v>
      </c>
      <c r="X12" s="9">
        <v>19.0</v>
      </c>
      <c r="Y12" s="9">
        <v>20.0</v>
      </c>
      <c r="Z12" s="9">
        <v>21.0</v>
      </c>
      <c r="AA12" s="9">
        <v>22.0</v>
      </c>
      <c r="AB12" s="9">
        <v>23.0</v>
      </c>
      <c r="AC12" s="9">
        <v>24.0</v>
      </c>
      <c r="AD12" s="9">
        <v>25.0</v>
      </c>
      <c r="AE12" s="9">
        <v>26.0</v>
      </c>
      <c r="AF12" s="9">
        <v>27.0</v>
      </c>
      <c r="AG12" s="9">
        <v>28.0</v>
      </c>
      <c r="AH12" s="9">
        <v>29.0</v>
      </c>
      <c r="AI12" s="9">
        <v>30.0</v>
      </c>
      <c r="AJ12" s="9">
        <v>31.0</v>
      </c>
      <c r="AM12" s="60" t="str">
        <f t="shared" si="1"/>
        <v/>
      </c>
      <c r="AN12" s="60">
        <f t="shared" si="2"/>
        <v>0</v>
      </c>
      <c r="AO12" s="60">
        <f t="shared" si="3"/>
        <v>0</v>
      </c>
      <c r="AP12" s="60">
        <f t="shared" si="4"/>
        <v>0</v>
      </c>
      <c r="AQ12" s="60">
        <f t="shared" si="5"/>
        <v>0</v>
      </c>
      <c r="AR12" s="60">
        <f t="shared" si="6"/>
        <v>0</v>
      </c>
      <c r="AS12" s="60">
        <f t="shared" si="7"/>
        <v>0</v>
      </c>
      <c r="AT12" s="36"/>
    </row>
    <row r="13">
      <c r="A13" s="946" t="s">
        <v>4</v>
      </c>
      <c r="B13" s="870" t="s">
        <v>5</v>
      </c>
      <c r="C13" s="870" t="s">
        <v>6</v>
      </c>
      <c r="D13" s="871" t="s">
        <v>7</v>
      </c>
      <c r="E13" s="870" t="s">
        <v>8</v>
      </c>
      <c r="F13" s="9" t="s">
        <v>9</v>
      </c>
      <c r="G13" s="9" t="s">
        <v>10</v>
      </c>
      <c r="H13" s="9" t="s">
        <v>11</v>
      </c>
      <c r="I13" s="9" t="s">
        <v>12</v>
      </c>
      <c r="J13" s="9" t="s">
        <v>12</v>
      </c>
      <c r="K13" s="9" t="s">
        <v>13</v>
      </c>
      <c r="L13" s="9" t="s">
        <v>15</v>
      </c>
      <c r="M13" s="738" t="s">
        <v>9</v>
      </c>
      <c r="N13" s="9" t="s">
        <v>10</v>
      </c>
      <c r="O13" s="9" t="s">
        <v>11</v>
      </c>
      <c r="P13" s="9" t="s">
        <v>12</v>
      </c>
      <c r="Q13" s="9" t="s">
        <v>12</v>
      </c>
      <c r="R13" s="9" t="s">
        <v>13</v>
      </c>
      <c r="S13" s="9" t="s">
        <v>15</v>
      </c>
      <c r="T13" s="9" t="s">
        <v>9</v>
      </c>
      <c r="U13" s="9" t="s">
        <v>10</v>
      </c>
      <c r="V13" s="9" t="s">
        <v>11</v>
      </c>
      <c r="W13" s="9" t="s">
        <v>12</v>
      </c>
      <c r="X13" s="9" t="s">
        <v>12</v>
      </c>
      <c r="Y13" s="9" t="s">
        <v>13</v>
      </c>
      <c r="Z13" s="9" t="s">
        <v>15</v>
      </c>
      <c r="AA13" s="9" t="s">
        <v>9</v>
      </c>
      <c r="AB13" s="9" t="s">
        <v>10</v>
      </c>
      <c r="AC13" s="9" t="s">
        <v>11</v>
      </c>
      <c r="AD13" s="9" t="s">
        <v>12</v>
      </c>
      <c r="AE13" s="9" t="s">
        <v>12</v>
      </c>
      <c r="AF13" s="9" t="s">
        <v>13</v>
      </c>
      <c r="AG13" s="13" t="s">
        <v>15</v>
      </c>
      <c r="AH13" s="9" t="s">
        <v>9</v>
      </c>
      <c r="AI13" s="9" t="s">
        <v>10</v>
      </c>
      <c r="AJ13" s="9" t="s">
        <v>11</v>
      </c>
      <c r="AM13" s="60" t="str">
        <f t="shared" si="1"/>
        <v/>
      </c>
      <c r="AN13" s="60">
        <f t="shared" si="2"/>
        <v>0</v>
      </c>
      <c r="AO13" s="60">
        <f t="shared" si="3"/>
        <v>0</v>
      </c>
      <c r="AP13" s="60">
        <f t="shared" si="4"/>
        <v>0</v>
      </c>
      <c r="AQ13" s="60">
        <f t="shared" si="5"/>
        <v>0</v>
      </c>
      <c r="AR13" s="60">
        <f t="shared" si="6"/>
        <v>0</v>
      </c>
      <c r="AS13" s="60">
        <f t="shared" si="7"/>
        <v>0</v>
      </c>
      <c r="AT13" s="36"/>
    </row>
    <row r="14">
      <c r="A14" s="38" t="s">
        <v>230</v>
      </c>
      <c r="B14" s="39" t="s">
        <v>1625</v>
      </c>
      <c r="C14" s="66">
        <v>33679.0</v>
      </c>
      <c r="D14" s="39" t="s">
        <v>1626</v>
      </c>
      <c r="E14" s="40" t="s">
        <v>1627</v>
      </c>
      <c r="F14" s="83"/>
      <c r="G14" s="83"/>
      <c r="H14" s="144" t="s">
        <v>27</v>
      </c>
      <c r="I14" s="83"/>
      <c r="J14" s="83"/>
      <c r="K14" s="144" t="s">
        <v>27</v>
      </c>
      <c r="L14" s="83"/>
      <c r="M14" s="144" t="s">
        <v>27</v>
      </c>
      <c r="N14" s="144" t="s">
        <v>27</v>
      </c>
      <c r="O14" s="83"/>
      <c r="P14" s="83"/>
      <c r="Q14" s="144" t="s">
        <v>27</v>
      </c>
      <c r="R14" s="83"/>
      <c r="S14" s="83"/>
      <c r="T14" s="144" t="s">
        <v>27</v>
      </c>
      <c r="U14" s="83"/>
      <c r="V14" s="83"/>
      <c r="W14" s="144" t="s">
        <v>27</v>
      </c>
      <c r="X14" s="83"/>
      <c r="Y14" s="83"/>
      <c r="Z14" s="144" t="s">
        <v>27</v>
      </c>
      <c r="AA14" s="83"/>
      <c r="AB14" s="83"/>
      <c r="AC14" s="144" t="s">
        <v>27</v>
      </c>
      <c r="AD14" s="83"/>
      <c r="AE14" s="83"/>
      <c r="AF14" s="144" t="s">
        <v>27</v>
      </c>
      <c r="AG14" s="83"/>
      <c r="AH14" s="144" t="s">
        <v>27</v>
      </c>
      <c r="AI14" s="144" t="s">
        <v>27</v>
      </c>
      <c r="AJ14" s="83"/>
      <c r="AM14" s="60" t="str">
        <f t="shared" si="1"/>
        <v/>
      </c>
      <c r="AN14" s="60">
        <f t="shared" si="2"/>
        <v>0</v>
      </c>
      <c r="AO14" s="60">
        <f t="shared" si="3"/>
        <v>0</v>
      </c>
      <c r="AP14" s="60">
        <f t="shared" si="4"/>
        <v>0</v>
      </c>
      <c r="AQ14" s="60">
        <f t="shared" si="5"/>
        <v>0</v>
      </c>
      <c r="AR14" s="60">
        <f t="shared" si="6"/>
        <v>0</v>
      </c>
      <c r="AS14" s="60">
        <f t="shared" si="7"/>
        <v>0</v>
      </c>
      <c r="AT14" s="36"/>
    </row>
    <row r="15">
      <c r="A15" s="38" t="s">
        <v>33</v>
      </c>
      <c r="B15" s="39" t="s">
        <v>1628</v>
      </c>
      <c r="C15" s="66">
        <v>9.5552922E7</v>
      </c>
      <c r="D15" s="39" t="s">
        <v>1629</v>
      </c>
      <c r="E15" s="40" t="s">
        <v>1630</v>
      </c>
      <c r="F15" s="83"/>
      <c r="G15" s="83"/>
      <c r="H15" s="144" t="s">
        <v>27</v>
      </c>
      <c r="I15" s="83"/>
      <c r="J15" s="83"/>
      <c r="K15" s="144" t="s">
        <v>27</v>
      </c>
      <c r="L15" s="83"/>
      <c r="M15" s="144" t="s">
        <v>27</v>
      </c>
      <c r="N15" s="86" t="s">
        <v>32</v>
      </c>
      <c r="O15" s="83"/>
      <c r="P15" s="83"/>
      <c r="Q15" s="144" t="s">
        <v>27</v>
      </c>
      <c r="R15" s="83"/>
      <c r="S15" s="83"/>
      <c r="T15" s="144" t="s">
        <v>27</v>
      </c>
      <c r="U15" s="83"/>
      <c r="V15" s="83"/>
      <c r="W15" s="144" t="s">
        <v>27</v>
      </c>
      <c r="X15" s="83"/>
      <c r="Y15" s="83"/>
      <c r="Z15" s="144" t="s">
        <v>27</v>
      </c>
      <c r="AA15" s="83"/>
      <c r="AB15" s="83"/>
      <c r="AC15" s="144" t="s">
        <v>27</v>
      </c>
      <c r="AD15" s="83"/>
      <c r="AE15" s="83"/>
      <c r="AF15" s="144" t="s">
        <v>27</v>
      </c>
      <c r="AG15" s="83"/>
      <c r="AH15" s="144" t="s">
        <v>27</v>
      </c>
      <c r="AI15" s="76"/>
      <c r="AJ15" s="83"/>
      <c r="AM15" s="60" t="str">
        <f t="shared" si="1"/>
        <v/>
      </c>
      <c r="AN15" s="60">
        <f t="shared" si="2"/>
        <v>0</v>
      </c>
      <c r="AO15" s="60">
        <f t="shared" si="3"/>
        <v>0</v>
      </c>
      <c r="AP15" s="60">
        <f t="shared" si="4"/>
        <v>0</v>
      </c>
      <c r="AQ15" s="60">
        <f t="shared" si="5"/>
        <v>0</v>
      </c>
      <c r="AR15" s="60">
        <f t="shared" si="6"/>
        <v>0</v>
      </c>
      <c r="AS15" s="60">
        <f t="shared" si="7"/>
        <v>0</v>
      </c>
      <c r="AT15" s="36"/>
    </row>
    <row r="16">
      <c r="A16" s="535" t="s">
        <v>1631</v>
      </c>
      <c r="B16" s="6"/>
      <c r="C16" s="6"/>
      <c r="D16" s="6"/>
      <c r="E16" s="37"/>
      <c r="F16" s="944"/>
      <c r="G16" s="6"/>
      <c r="H16" s="6"/>
      <c r="I16" s="6"/>
      <c r="J16" s="6"/>
      <c r="K16" s="6"/>
      <c r="L16" s="6"/>
      <c r="M16" s="6"/>
      <c r="N16" s="6"/>
      <c r="O16" s="6"/>
      <c r="P16" s="6"/>
      <c r="Q16" s="6"/>
      <c r="R16" s="6"/>
      <c r="S16" s="6"/>
      <c r="T16" s="6"/>
      <c r="U16" s="6"/>
      <c r="V16" s="6"/>
      <c r="W16" s="6"/>
      <c r="X16" s="6"/>
      <c r="Y16" s="6"/>
      <c r="Z16" s="6"/>
      <c r="AA16" s="6"/>
      <c r="AB16" s="6"/>
      <c r="AC16" s="6"/>
      <c r="AD16" s="6"/>
      <c r="AE16" s="6"/>
      <c r="AF16" s="6"/>
      <c r="AG16" s="6"/>
      <c r="AH16" s="6"/>
      <c r="AI16" s="11"/>
      <c r="AJ16" s="957"/>
      <c r="AM16" s="60" t="str">
        <f t="shared" si="1"/>
        <v/>
      </c>
      <c r="AN16" s="60">
        <f t="shared" si="2"/>
        <v>0</v>
      </c>
      <c r="AO16" s="60">
        <f t="shared" si="3"/>
        <v>0</v>
      </c>
      <c r="AP16" s="60">
        <f t="shared" si="4"/>
        <v>0</v>
      </c>
      <c r="AQ16" s="60">
        <f t="shared" si="5"/>
        <v>0</v>
      </c>
      <c r="AR16" s="60">
        <f t="shared" si="6"/>
        <v>0</v>
      </c>
      <c r="AS16" s="60">
        <f t="shared" si="7"/>
        <v>0</v>
      </c>
      <c r="AT16" s="36"/>
    </row>
    <row r="17">
      <c r="A17" s="959" t="s">
        <v>23</v>
      </c>
      <c r="B17" s="960" t="s">
        <v>1632</v>
      </c>
      <c r="C17" s="474">
        <v>13802.0</v>
      </c>
      <c r="D17" s="357" t="s">
        <v>1633</v>
      </c>
      <c r="E17" s="586" t="s">
        <v>1634</v>
      </c>
      <c r="F17" s="144" t="s">
        <v>120</v>
      </c>
      <c r="G17" s="83"/>
      <c r="H17" s="83"/>
      <c r="I17" s="144" t="s">
        <v>27</v>
      </c>
      <c r="J17" s="83"/>
      <c r="K17" s="83"/>
      <c r="L17" s="144" t="s">
        <v>27</v>
      </c>
      <c r="M17" s="83"/>
      <c r="N17" s="83"/>
      <c r="O17" s="144" t="s">
        <v>27</v>
      </c>
      <c r="P17" s="83"/>
      <c r="Q17" s="83"/>
      <c r="R17" s="144" t="s">
        <v>27</v>
      </c>
      <c r="S17" s="83"/>
      <c r="T17" s="144" t="s">
        <v>27</v>
      </c>
      <c r="U17" s="144" t="s">
        <v>27</v>
      </c>
      <c r="V17" s="83"/>
      <c r="W17" s="83"/>
      <c r="X17" s="144" t="s">
        <v>120</v>
      </c>
      <c r="Y17" s="83"/>
      <c r="Z17" s="83"/>
      <c r="AA17" s="144" t="s">
        <v>27</v>
      </c>
      <c r="AB17" s="83"/>
      <c r="AC17" s="83"/>
      <c r="AD17" s="144" t="s">
        <v>120</v>
      </c>
      <c r="AE17" s="83"/>
      <c r="AF17" s="83"/>
      <c r="AG17" s="144" t="s">
        <v>27</v>
      </c>
      <c r="AH17" s="83"/>
      <c r="AI17" s="83"/>
      <c r="AJ17" s="144" t="s">
        <v>120</v>
      </c>
      <c r="AM17" s="60" t="str">
        <f t="shared" si="1"/>
        <v/>
      </c>
      <c r="AN17" s="60">
        <f t="shared" si="2"/>
        <v>0</v>
      </c>
      <c r="AO17" s="60">
        <f t="shared" si="3"/>
        <v>0</v>
      </c>
      <c r="AP17" s="60">
        <f t="shared" si="4"/>
        <v>0</v>
      </c>
      <c r="AQ17" s="60">
        <f t="shared" si="5"/>
        <v>0</v>
      </c>
      <c r="AR17" s="60">
        <f t="shared" si="6"/>
        <v>0</v>
      </c>
      <c r="AS17" s="60">
        <f t="shared" si="7"/>
        <v>0</v>
      </c>
      <c r="AT17" s="36"/>
    </row>
    <row r="18" ht="15.75" customHeight="1">
      <c r="A18" s="38" t="s">
        <v>1173</v>
      </c>
      <c r="B18" s="63" t="s">
        <v>1635</v>
      </c>
      <c r="C18" s="40">
        <v>12501.0</v>
      </c>
      <c r="D18" s="63" t="s">
        <v>1636</v>
      </c>
      <c r="E18" s="40" t="s">
        <v>1637</v>
      </c>
      <c r="F18" s="144" t="s">
        <v>120</v>
      </c>
      <c r="G18" s="83"/>
      <c r="H18" s="83"/>
      <c r="I18" s="144" t="s">
        <v>27</v>
      </c>
      <c r="J18" s="83"/>
      <c r="K18" s="83"/>
      <c r="L18" s="144" t="s">
        <v>27</v>
      </c>
      <c r="M18" s="83"/>
      <c r="N18" s="83"/>
      <c r="O18" s="144" t="s">
        <v>27</v>
      </c>
      <c r="P18" s="83"/>
      <c r="Q18" s="83"/>
      <c r="R18" s="144" t="s">
        <v>27</v>
      </c>
      <c r="S18" s="83"/>
      <c r="T18" s="144" t="s">
        <v>27</v>
      </c>
      <c r="U18" s="144" t="s">
        <v>27</v>
      </c>
      <c r="V18" s="83"/>
      <c r="W18" s="83"/>
      <c r="X18" s="144" t="s">
        <v>120</v>
      </c>
      <c r="Y18" s="83"/>
      <c r="Z18" s="83"/>
      <c r="AA18" s="144" t="s">
        <v>27</v>
      </c>
      <c r="AB18" s="83"/>
      <c r="AC18" s="83"/>
      <c r="AD18" s="144" t="s">
        <v>120</v>
      </c>
      <c r="AE18" s="83"/>
      <c r="AF18" s="83"/>
      <c r="AG18" s="144" t="s">
        <v>27</v>
      </c>
      <c r="AH18" s="83"/>
      <c r="AI18" s="83"/>
      <c r="AJ18" s="144" t="s">
        <v>120</v>
      </c>
      <c r="AM18" s="60" t="str">
        <f t="shared" si="1"/>
        <v/>
      </c>
      <c r="AN18" s="60">
        <f t="shared" si="2"/>
        <v>0</v>
      </c>
      <c r="AO18" s="60">
        <f t="shared" si="3"/>
        <v>0</v>
      </c>
      <c r="AP18" s="60">
        <f t="shared" si="4"/>
        <v>0</v>
      </c>
      <c r="AQ18" s="60">
        <f t="shared" si="5"/>
        <v>0</v>
      </c>
      <c r="AR18" s="60">
        <f t="shared" si="6"/>
        <v>0</v>
      </c>
      <c r="AS18" s="60">
        <f t="shared" si="7"/>
        <v>0</v>
      </c>
      <c r="AT18" s="36"/>
    </row>
    <row r="19">
      <c r="A19" s="535" t="s">
        <v>1638</v>
      </c>
      <c r="B19" s="6"/>
      <c r="C19" s="6"/>
      <c r="D19" s="6"/>
      <c r="E19" s="37"/>
      <c r="F19" s="944"/>
      <c r="G19" s="6"/>
      <c r="H19" s="6"/>
      <c r="I19" s="6"/>
      <c r="J19" s="6"/>
      <c r="K19" s="6"/>
      <c r="L19" s="6"/>
      <c r="M19" s="6"/>
      <c r="N19" s="6"/>
      <c r="O19" s="6"/>
      <c r="P19" s="6"/>
      <c r="Q19" s="6"/>
      <c r="R19" s="6"/>
      <c r="S19" s="6"/>
      <c r="T19" s="6"/>
      <c r="U19" s="6"/>
      <c r="V19" s="6"/>
      <c r="W19" s="6"/>
      <c r="X19" s="6"/>
      <c r="Y19" s="6"/>
      <c r="Z19" s="6"/>
      <c r="AA19" s="6"/>
      <c r="AB19" s="6"/>
      <c r="AC19" s="6"/>
      <c r="AD19" s="6"/>
      <c r="AE19" s="6"/>
      <c r="AF19" s="6"/>
      <c r="AG19" s="6"/>
      <c r="AH19" s="6"/>
      <c r="AI19" s="11"/>
      <c r="AJ19" s="957"/>
      <c r="AM19" s="60" t="str">
        <f t="shared" si="1"/>
        <v/>
      </c>
      <c r="AN19" s="60">
        <f t="shared" si="2"/>
        <v>0</v>
      </c>
      <c r="AO19" s="60">
        <f t="shared" si="3"/>
        <v>0</v>
      </c>
      <c r="AP19" s="60">
        <f t="shared" si="4"/>
        <v>0</v>
      </c>
      <c r="AQ19" s="60">
        <f t="shared" si="5"/>
        <v>0</v>
      </c>
      <c r="AR19" s="60">
        <f t="shared" si="6"/>
        <v>0</v>
      </c>
      <c r="AS19" s="60">
        <f t="shared" si="7"/>
        <v>0</v>
      </c>
      <c r="AT19" s="36"/>
    </row>
    <row r="20">
      <c r="A20" s="472" t="s">
        <v>33</v>
      </c>
      <c r="B20" s="960" t="s">
        <v>1639</v>
      </c>
      <c r="C20" s="586">
        <v>2.9521714E7</v>
      </c>
      <c r="D20" s="357" t="s">
        <v>1640</v>
      </c>
      <c r="E20" s="586" t="s">
        <v>1641</v>
      </c>
      <c r="F20" s="144" t="s">
        <v>27</v>
      </c>
      <c r="G20" s="144" t="s">
        <v>27</v>
      </c>
      <c r="H20" s="83"/>
      <c r="I20" s="83"/>
      <c r="J20" s="144" t="s">
        <v>27</v>
      </c>
      <c r="K20" s="83"/>
      <c r="L20" s="83"/>
      <c r="M20" s="144" t="s">
        <v>27</v>
      </c>
      <c r="N20" s="83"/>
      <c r="O20" s="83"/>
      <c r="P20" s="144" t="s">
        <v>27</v>
      </c>
      <c r="Q20" s="83"/>
      <c r="R20" s="83"/>
      <c r="S20" s="144" t="s">
        <v>27</v>
      </c>
      <c r="T20" s="83"/>
      <c r="U20" s="83"/>
      <c r="V20" s="144" t="s">
        <v>27</v>
      </c>
      <c r="W20" s="83"/>
      <c r="X20" s="83"/>
      <c r="Y20" s="144" t="s">
        <v>27</v>
      </c>
      <c r="Z20" s="83"/>
      <c r="AA20" s="144" t="s">
        <v>27</v>
      </c>
      <c r="AB20" s="144" t="s">
        <v>18</v>
      </c>
      <c r="AC20" s="83"/>
      <c r="AD20" s="83"/>
      <c r="AE20" s="144" t="s">
        <v>27</v>
      </c>
      <c r="AF20" s="83"/>
      <c r="AG20" s="83"/>
      <c r="AH20" s="144" t="s">
        <v>27</v>
      </c>
      <c r="AI20" s="83"/>
      <c r="AJ20" s="83"/>
      <c r="AM20" s="60" t="str">
        <f t="shared" si="1"/>
        <v/>
      </c>
      <c r="AN20" s="60">
        <f t="shared" si="2"/>
        <v>1</v>
      </c>
      <c r="AO20" s="60">
        <f t="shared" si="3"/>
        <v>0</v>
      </c>
      <c r="AP20" s="60">
        <f t="shared" si="4"/>
        <v>0</v>
      </c>
      <c r="AQ20" s="60">
        <f t="shared" si="5"/>
        <v>0</v>
      </c>
      <c r="AR20" s="60">
        <f t="shared" si="6"/>
        <v>0</v>
      </c>
      <c r="AS20" s="60">
        <f t="shared" si="7"/>
        <v>0</v>
      </c>
      <c r="AT20" s="36"/>
    </row>
    <row r="21">
      <c r="A21" s="961" t="s">
        <v>33</v>
      </c>
      <c r="B21" s="962" t="s">
        <v>1642</v>
      </c>
      <c r="C21" s="963">
        <v>3.2626562E7</v>
      </c>
      <c r="D21" s="964" t="s">
        <v>1643</v>
      </c>
      <c r="E21" s="963" t="s">
        <v>1644</v>
      </c>
      <c r="F21" s="144" t="s">
        <v>27</v>
      </c>
      <c r="G21" s="144" t="s">
        <v>27</v>
      </c>
      <c r="H21" s="83"/>
      <c r="I21" s="83"/>
      <c r="J21" s="144" t="s">
        <v>27</v>
      </c>
      <c r="K21" s="83"/>
      <c r="L21" s="83"/>
      <c r="M21" s="86" t="s">
        <v>32</v>
      </c>
      <c r="N21" s="83"/>
      <c r="O21" s="83"/>
      <c r="P21" s="144" t="s">
        <v>27</v>
      </c>
      <c r="Q21" s="83"/>
      <c r="R21" s="83"/>
      <c r="S21" s="144" t="s">
        <v>27</v>
      </c>
      <c r="T21" s="83"/>
      <c r="U21" s="83"/>
      <c r="V21" s="144" t="s">
        <v>27</v>
      </c>
      <c r="W21" s="83"/>
      <c r="X21" s="83"/>
      <c r="Y21" s="144" t="s">
        <v>27</v>
      </c>
      <c r="Z21" s="83"/>
      <c r="AA21" s="144" t="s">
        <v>27</v>
      </c>
      <c r="AB21" s="144" t="s">
        <v>27</v>
      </c>
      <c r="AC21" s="83"/>
      <c r="AD21" s="83"/>
      <c r="AE21" s="144" t="s">
        <v>27</v>
      </c>
      <c r="AF21" s="83"/>
      <c r="AG21" s="83"/>
      <c r="AH21" s="144" t="s">
        <v>27</v>
      </c>
      <c r="AI21" s="83"/>
      <c r="AJ21" s="83"/>
      <c r="AM21" s="60" t="str">
        <f t="shared" si="1"/>
        <v/>
      </c>
      <c r="AN21" s="60">
        <f t="shared" si="2"/>
        <v>0</v>
      </c>
      <c r="AO21" s="60">
        <f t="shared" si="3"/>
        <v>0</v>
      </c>
      <c r="AP21" s="60">
        <f t="shared" si="4"/>
        <v>0</v>
      </c>
      <c r="AQ21" s="60">
        <f t="shared" si="5"/>
        <v>0</v>
      </c>
      <c r="AR21" s="60">
        <f t="shared" si="6"/>
        <v>0</v>
      </c>
      <c r="AS21" s="60">
        <f t="shared" si="7"/>
        <v>0</v>
      </c>
      <c r="AT21" s="36"/>
    </row>
    <row r="22">
      <c r="A22" s="38" t="s">
        <v>33</v>
      </c>
      <c r="B22" s="965" t="s">
        <v>1645</v>
      </c>
      <c r="C22" s="38">
        <v>2.5474329E7</v>
      </c>
      <c r="D22" s="965" t="s">
        <v>1646</v>
      </c>
      <c r="E22" s="966" t="s">
        <v>1647</v>
      </c>
      <c r="F22" s="948" t="s">
        <v>22</v>
      </c>
      <c r="G22" s="948" t="s">
        <v>22</v>
      </c>
      <c r="H22" s="948" t="s">
        <v>22</v>
      </c>
      <c r="I22" s="948" t="s">
        <v>22</v>
      </c>
      <c r="J22" s="948" t="s">
        <v>22</v>
      </c>
      <c r="K22" s="83"/>
      <c r="L22" s="83"/>
      <c r="M22" s="76"/>
      <c r="N22" s="83"/>
      <c r="O22" s="83"/>
      <c r="P22" s="76"/>
      <c r="Q22" s="83"/>
      <c r="R22" s="83"/>
      <c r="S22" s="121" t="s">
        <v>1648</v>
      </c>
      <c r="T22" s="6"/>
      <c r="U22" s="6"/>
      <c r="V22" s="6"/>
      <c r="W22" s="6"/>
      <c r="X22" s="6"/>
      <c r="Y22" s="6"/>
      <c r="Z22" s="6"/>
      <c r="AA22" s="6"/>
      <c r="AB22" s="6"/>
      <c r="AC22" s="6"/>
      <c r="AD22" s="6"/>
      <c r="AE22" s="6"/>
      <c r="AF22" s="6"/>
      <c r="AG22" s="6"/>
      <c r="AH22" s="6"/>
      <c r="AI22" s="6"/>
      <c r="AJ22" s="11"/>
      <c r="AM22" s="60" t="str">
        <f t="shared" si="1"/>
        <v>NO CORRESPONDE FRANCO</v>
      </c>
      <c r="AN22" s="60">
        <f t="shared" si="2"/>
        <v>0</v>
      </c>
      <c r="AO22" s="60">
        <f t="shared" si="3"/>
        <v>0</v>
      </c>
      <c r="AP22" s="60">
        <f t="shared" si="4"/>
        <v>0</v>
      </c>
      <c r="AQ22" s="60">
        <f t="shared" si="5"/>
        <v>0</v>
      </c>
      <c r="AR22" s="60">
        <f t="shared" si="6"/>
        <v>5</v>
      </c>
      <c r="AS22" s="60">
        <f t="shared" si="7"/>
        <v>5</v>
      </c>
      <c r="AT22" s="36"/>
    </row>
    <row r="23" ht="15.75" customHeight="1">
      <c r="AM23" s="60"/>
      <c r="AN23" s="60"/>
      <c r="AO23" s="60"/>
      <c r="AP23" s="60"/>
      <c r="AQ23" s="60"/>
      <c r="AR23" s="60"/>
      <c r="AS23" s="60"/>
      <c r="AT23" s="24"/>
    </row>
    <row r="24" ht="15.75" customHeight="1">
      <c r="AM24" s="60"/>
      <c r="AN24" s="60"/>
      <c r="AO24" s="60"/>
      <c r="AP24" s="60"/>
      <c r="AQ24" s="60"/>
      <c r="AR24" s="60"/>
      <c r="AS24" s="60"/>
      <c r="AT24" s="24"/>
    </row>
    <row r="25" ht="15.75" customHeight="1">
      <c r="AM25" s="60"/>
      <c r="AN25" s="60"/>
      <c r="AO25" s="60"/>
      <c r="AP25" s="60"/>
      <c r="AQ25" s="60"/>
      <c r="AR25" s="60"/>
      <c r="AS25" s="60"/>
      <c r="AT25" s="24"/>
    </row>
    <row r="26" ht="15.75" customHeight="1">
      <c r="AM26" s="60"/>
      <c r="AN26" s="60"/>
      <c r="AO26" s="60"/>
      <c r="AP26" s="60"/>
      <c r="AQ26" s="60"/>
      <c r="AR26" s="60"/>
      <c r="AS26" s="60"/>
      <c r="AT26" s="672"/>
    </row>
    <row r="27" ht="15.75" customHeight="1">
      <c r="AM27" s="60"/>
      <c r="AN27" s="24"/>
      <c r="AO27" s="24"/>
      <c r="AP27" s="24"/>
      <c r="AQ27" s="24"/>
      <c r="AR27" s="24"/>
      <c r="AS27" s="24"/>
      <c r="AT27" s="24"/>
    </row>
    <row r="28" ht="15.75" customHeight="1">
      <c r="AM28" s="60"/>
      <c r="AN28" s="24"/>
      <c r="AO28" s="24"/>
      <c r="AP28" s="24"/>
      <c r="AQ28" s="24"/>
      <c r="AR28" s="24"/>
      <c r="AS28" s="24"/>
      <c r="AT28" s="24"/>
    </row>
    <row r="29" ht="15.75" customHeight="1">
      <c r="AM29" s="60"/>
      <c r="AN29" s="24"/>
      <c r="AO29" s="24"/>
      <c r="AP29" s="24"/>
      <c r="AQ29" s="24"/>
      <c r="AR29" s="24"/>
      <c r="AS29" s="24"/>
      <c r="AT29" s="24"/>
    </row>
    <row r="30" ht="15.75" customHeight="1">
      <c r="AM30" s="60"/>
      <c r="AN30" s="842"/>
      <c r="AO30" s="842"/>
      <c r="AP30" s="842"/>
      <c r="AQ30" s="842"/>
      <c r="AR30" s="842"/>
      <c r="AS30" s="842"/>
      <c r="AT30" s="842"/>
    </row>
    <row r="31" ht="15.75" customHeight="1">
      <c r="AM31" s="60"/>
      <c r="AN31" s="842"/>
      <c r="AO31" s="967"/>
      <c r="AP31" s="842"/>
      <c r="AQ31" s="842"/>
      <c r="AR31" s="842"/>
      <c r="AS31" s="842"/>
      <c r="AT31" s="842"/>
    </row>
    <row r="32" ht="15.75" customHeight="1">
      <c r="AM32" s="60"/>
      <c r="AN32" s="60"/>
      <c r="AO32" s="60"/>
      <c r="AP32" s="60"/>
      <c r="AQ32" s="60"/>
      <c r="AR32" s="60"/>
      <c r="AS32" s="60"/>
      <c r="AT32" s="878"/>
    </row>
    <row r="33" ht="15.75" customHeight="1">
      <c r="AM33" s="60"/>
      <c r="AN33" s="60"/>
      <c r="AO33" s="60"/>
      <c r="AP33" s="60"/>
      <c r="AQ33" s="60"/>
      <c r="AR33" s="60"/>
      <c r="AS33" s="60"/>
      <c r="AT33" s="842"/>
    </row>
    <row r="34" ht="15.75" customHeight="1">
      <c r="AM34" s="60"/>
      <c r="AN34" s="60"/>
      <c r="AO34" s="60"/>
      <c r="AP34" s="60"/>
      <c r="AQ34" s="60"/>
      <c r="AR34" s="60"/>
      <c r="AS34" s="60"/>
      <c r="AT34" s="842"/>
    </row>
    <row r="35" ht="15.75" customHeight="1">
      <c r="AM35" s="60"/>
      <c r="AN35" s="60"/>
      <c r="AO35" s="60"/>
      <c r="AP35" s="60"/>
      <c r="AQ35" s="60"/>
      <c r="AR35" s="60"/>
      <c r="AS35" s="60"/>
      <c r="AT35" s="24"/>
    </row>
    <row r="36" ht="15.75" customHeight="1">
      <c r="AM36" s="26"/>
      <c r="AN36" s="842"/>
      <c r="AO36" s="842"/>
      <c r="AP36" s="842"/>
      <c r="AQ36" s="842"/>
      <c r="AR36" s="842"/>
      <c r="AS36" s="842"/>
      <c r="AT36" s="842"/>
    </row>
    <row r="37" ht="15.75" customHeight="1">
      <c r="AM37" s="26"/>
      <c r="AN37" s="842"/>
      <c r="AO37" s="842"/>
      <c r="AP37" s="842"/>
      <c r="AQ37" s="842"/>
      <c r="AR37" s="842"/>
      <c r="AS37" s="842"/>
      <c r="AT37" s="842"/>
    </row>
    <row r="38" ht="15.75" customHeight="1">
      <c r="AM38" s="26"/>
      <c r="AN38" s="842"/>
      <c r="AO38" s="842"/>
      <c r="AP38" s="842"/>
      <c r="AQ38" s="842"/>
      <c r="AR38" s="842"/>
      <c r="AS38" s="842"/>
      <c r="AT38" s="842"/>
    </row>
    <row r="39" ht="15.75" customHeight="1">
      <c r="AM39" s="60"/>
      <c r="AN39" s="60"/>
      <c r="AO39" s="60"/>
      <c r="AP39" s="60"/>
      <c r="AQ39" s="60"/>
      <c r="AR39" s="60"/>
      <c r="AS39" s="60"/>
      <c r="AT39" s="842"/>
    </row>
    <row r="40" ht="15.75" customHeight="1">
      <c r="AM40" s="60"/>
      <c r="AN40" s="60"/>
      <c r="AO40" s="60"/>
      <c r="AP40" s="60"/>
      <c r="AQ40" s="60"/>
      <c r="AR40" s="60"/>
      <c r="AS40" s="60"/>
      <c r="AT40" s="842"/>
    </row>
    <row r="41" ht="15.75" customHeight="1">
      <c r="AM41" s="60"/>
      <c r="AN41" s="60"/>
      <c r="AO41" s="60"/>
      <c r="AP41" s="60"/>
      <c r="AQ41" s="60"/>
      <c r="AR41" s="60"/>
      <c r="AS41" s="60"/>
      <c r="AT41" s="842"/>
    </row>
    <row r="42" ht="15.75" customHeight="1">
      <c r="AM42" s="60"/>
      <c r="AN42" s="60"/>
      <c r="AO42" s="60"/>
      <c r="AP42" s="60"/>
      <c r="AQ42" s="60"/>
      <c r="AR42" s="60"/>
      <c r="AS42" s="60"/>
      <c r="AT42" s="842"/>
    </row>
    <row r="43" ht="15.75" customHeight="1">
      <c r="AM43" s="26"/>
      <c r="AN43" s="842"/>
      <c r="AO43" s="842"/>
      <c r="AP43" s="842"/>
      <c r="AQ43" s="842"/>
      <c r="AR43" s="842"/>
      <c r="AS43" s="842"/>
      <c r="AT43" s="842"/>
    </row>
    <row r="44" ht="15.75" customHeight="1">
      <c r="AM44" s="26"/>
      <c r="AN44" s="842"/>
      <c r="AO44" s="842"/>
      <c r="AP44" s="842"/>
      <c r="AQ44" s="842"/>
      <c r="AR44" s="842"/>
      <c r="AS44" s="842"/>
      <c r="AT44" s="842"/>
    </row>
    <row r="45" ht="15.75" customHeight="1">
      <c r="AM45" s="26"/>
      <c r="AN45" s="842"/>
      <c r="AO45" s="842"/>
      <c r="AP45" s="842"/>
      <c r="AQ45" s="842"/>
      <c r="AR45" s="842"/>
      <c r="AS45" s="842"/>
      <c r="AT45" s="842"/>
    </row>
    <row r="46" ht="15.75" customHeight="1">
      <c r="AM46" s="60"/>
      <c r="AN46" s="60"/>
      <c r="AO46" s="60"/>
      <c r="AP46" s="60"/>
      <c r="AQ46" s="60"/>
      <c r="AR46" s="60"/>
      <c r="AS46" s="60"/>
      <c r="AT46" s="672"/>
    </row>
    <row r="47" ht="15.75" customHeight="1">
      <c r="AM47" s="60"/>
      <c r="AN47" s="60"/>
      <c r="AO47" s="60"/>
      <c r="AP47" s="60"/>
      <c r="AQ47" s="60"/>
      <c r="AR47" s="60"/>
      <c r="AS47" s="60"/>
      <c r="AT47" s="842"/>
    </row>
    <row r="48" ht="15.75" customHeight="1">
      <c r="AM48" s="60"/>
      <c r="AN48" s="60"/>
      <c r="AO48" s="60"/>
      <c r="AP48" s="60"/>
      <c r="AQ48" s="60"/>
      <c r="AR48" s="60"/>
      <c r="AS48" s="60"/>
      <c r="AT48" s="842"/>
    </row>
    <row r="49" ht="15.75" customHeight="1">
      <c r="AM49" s="26"/>
      <c r="AN49" s="24"/>
      <c r="AO49" s="24"/>
      <c r="AP49" s="24"/>
      <c r="AQ49" s="24"/>
      <c r="AR49" s="24"/>
      <c r="AS49" s="24"/>
      <c r="AT49" s="24"/>
    </row>
    <row r="50" ht="15.75" customHeight="1">
      <c r="AM50" s="26"/>
      <c r="AN50" s="24"/>
      <c r="AO50" s="24"/>
      <c r="AP50" s="24"/>
      <c r="AQ50" s="24"/>
      <c r="AR50" s="24"/>
      <c r="AS50" s="24"/>
      <c r="AT50" s="24"/>
    </row>
    <row r="51" ht="15.75" customHeight="1">
      <c r="AM51" s="26"/>
      <c r="AN51" s="24"/>
      <c r="AO51" s="24"/>
      <c r="AP51" s="24"/>
      <c r="AQ51" s="24"/>
      <c r="AR51" s="24"/>
      <c r="AS51" s="24"/>
      <c r="AT51" s="24"/>
    </row>
    <row r="52" ht="15.75" customHeight="1">
      <c r="AM52" s="26"/>
      <c r="AN52" s="24"/>
      <c r="AO52" s="24"/>
      <c r="AP52" s="24"/>
      <c r="AQ52" s="24"/>
      <c r="AR52" s="24"/>
      <c r="AS52" s="24"/>
      <c r="AT52" s="24"/>
    </row>
    <row r="53" ht="15.75" customHeight="1">
      <c r="AM53" s="26"/>
      <c r="AN53" s="24"/>
      <c r="AO53" s="24"/>
      <c r="AP53" s="24"/>
      <c r="AQ53" s="24"/>
      <c r="AR53" s="24"/>
      <c r="AS53" s="24"/>
      <c r="AT53" s="24"/>
    </row>
    <row r="54" ht="15.75" customHeight="1">
      <c r="AM54" s="60"/>
      <c r="AN54" s="60"/>
      <c r="AO54" s="60"/>
      <c r="AP54" s="60"/>
      <c r="AQ54" s="60"/>
      <c r="AR54" s="60"/>
      <c r="AS54" s="60"/>
      <c r="AT54" s="24"/>
    </row>
    <row r="55" ht="15.75" customHeight="1">
      <c r="AM55" s="60"/>
      <c r="AN55" s="60"/>
      <c r="AO55" s="60"/>
      <c r="AP55" s="60"/>
      <c r="AQ55" s="60"/>
      <c r="AR55" s="60"/>
      <c r="AS55" s="60"/>
      <c r="AT55" s="672"/>
    </row>
    <row r="56" ht="15.75" customHeight="1">
      <c r="AM56" s="60"/>
      <c r="AN56" s="60"/>
      <c r="AO56" s="60"/>
      <c r="AP56" s="60"/>
      <c r="AQ56" s="60"/>
      <c r="AR56" s="60"/>
      <c r="AS56" s="60"/>
      <c r="AT56" s="24"/>
    </row>
    <row r="57" ht="15.75" customHeight="1">
      <c r="AM57" s="60"/>
      <c r="AN57" s="60"/>
      <c r="AO57" s="60"/>
      <c r="AP57" s="60"/>
      <c r="AQ57" s="60"/>
      <c r="AR57" s="60"/>
      <c r="AS57" s="60"/>
      <c r="AT57" s="24"/>
    </row>
    <row r="58" ht="15.75" customHeight="1">
      <c r="AM58" s="60"/>
      <c r="AN58" s="60"/>
      <c r="AO58" s="60"/>
      <c r="AP58" s="60"/>
      <c r="AQ58" s="60"/>
      <c r="AR58" s="60"/>
      <c r="AS58" s="60"/>
      <c r="AT58" s="672"/>
    </row>
    <row r="59" ht="15.75" customHeight="1">
      <c r="AM59" s="26"/>
      <c r="AN59" s="24"/>
      <c r="AO59" s="24"/>
      <c r="AP59" s="24"/>
      <c r="AQ59" s="24"/>
      <c r="AR59" s="24"/>
      <c r="AS59" s="24"/>
      <c r="AT59" s="24"/>
    </row>
    <row r="60" ht="15.75" customHeight="1">
      <c r="AM60" s="26"/>
      <c r="AN60" s="24"/>
      <c r="AO60" s="24"/>
      <c r="AP60" s="24"/>
      <c r="AQ60" s="24"/>
      <c r="AR60" s="24"/>
      <c r="AS60" s="24"/>
      <c r="AT60" s="24"/>
    </row>
    <row r="61" ht="15.75" customHeight="1">
      <c r="AM61" s="26"/>
      <c r="AN61" s="24"/>
      <c r="AO61" s="24"/>
      <c r="AP61" s="24"/>
      <c r="AQ61" s="24"/>
      <c r="AR61" s="24"/>
      <c r="AS61" s="24"/>
      <c r="AT61" s="24"/>
    </row>
    <row r="62" ht="15.75" customHeight="1">
      <c r="AM62" s="60"/>
      <c r="AN62" s="60"/>
      <c r="AO62" s="60"/>
      <c r="AP62" s="60"/>
      <c r="AQ62" s="60"/>
      <c r="AR62" s="60"/>
      <c r="AS62" s="60"/>
      <c r="AT62" s="842"/>
    </row>
    <row r="63" ht="15.75" customHeight="1">
      <c r="AM63" s="60"/>
      <c r="AN63" s="60"/>
      <c r="AO63" s="60"/>
      <c r="AP63" s="60"/>
      <c r="AQ63" s="60"/>
      <c r="AR63" s="60"/>
      <c r="AS63" s="60"/>
      <c r="AT63" s="918"/>
    </row>
    <row r="64" ht="15.75" customHeight="1">
      <c r="AM64" s="60"/>
      <c r="AN64" s="60"/>
      <c r="AO64" s="60"/>
      <c r="AP64" s="60"/>
      <c r="AQ64" s="60"/>
      <c r="AR64" s="60"/>
      <c r="AS64" s="60"/>
      <c r="AT64" s="921"/>
    </row>
    <row r="65" ht="15.75" customHeight="1">
      <c r="AM65" s="60"/>
      <c r="AN65" s="60"/>
      <c r="AO65" s="60"/>
      <c r="AP65" s="60"/>
      <c r="AQ65" s="60"/>
      <c r="AR65" s="60"/>
      <c r="AS65" s="60"/>
      <c r="AT65" s="842"/>
    </row>
    <row r="66" ht="15.75" customHeight="1">
      <c r="AM66" s="26"/>
      <c r="AN66" s="24"/>
      <c r="AO66" s="24"/>
      <c r="AP66" s="24"/>
      <c r="AQ66" s="24"/>
      <c r="AR66" s="24"/>
      <c r="AS66" s="24"/>
      <c r="AT66" s="24"/>
    </row>
    <row r="67" ht="15.75" customHeight="1">
      <c r="AM67" s="26"/>
      <c r="AN67" s="24"/>
      <c r="AO67" s="24"/>
      <c r="AP67" s="24"/>
      <c r="AQ67" s="24"/>
      <c r="AR67" s="24"/>
      <c r="AS67" s="24"/>
      <c r="AT67" s="24"/>
    </row>
    <row r="68" ht="15.75" customHeight="1">
      <c r="AM68" s="26"/>
      <c r="AN68" s="24"/>
      <c r="AO68" s="24"/>
      <c r="AP68" s="24"/>
      <c r="AQ68" s="24"/>
      <c r="AR68" s="24"/>
      <c r="AS68" s="24"/>
      <c r="AT68" s="24"/>
    </row>
    <row r="69" ht="15.75" customHeight="1">
      <c r="AM69" s="60"/>
      <c r="AN69" s="60"/>
      <c r="AO69" s="60"/>
      <c r="AP69" s="60"/>
      <c r="AQ69" s="60"/>
      <c r="AR69" s="60"/>
      <c r="AS69" s="60"/>
      <c r="AT69" s="24"/>
    </row>
    <row r="70" ht="15.75" customHeight="1">
      <c r="AM70" s="60"/>
      <c r="AN70" s="60"/>
      <c r="AO70" s="60"/>
      <c r="AP70" s="60"/>
      <c r="AQ70" s="60"/>
      <c r="AR70" s="60"/>
      <c r="AS70" s="60"/>
      <c r="AT70" s="672"/>
    </row>
    <row r="71" ht="15.75" customHeight="1">
      <c r="AM71" s="60"/>
      <c r="AN71" s="60"/>
      <c r="AO71" s="60"/>
      <c r="AP71" s="60"/>
      <c r="AQ71" s="60"/>
      <c r="AR71" s="60"/>
      <c r="AS71" s="60"/>
      <c r="AT71" s="24"/>
    </row>
    <row r="72" ht="15.75" customHeight="1">
      <c r="AM72" s="60"/>
      <c r="AN72" s="60"/>
      <c r="AO72" s="60"/>
      <c r="AP72" s="60"/>
      <c r="AQ72" s="60"/>
      <c r="AR72" s="60"/>
      <c r="AS72" s="60"/>
      <c r="AT72" s="672"/>
    </row>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sheetData>
  <mergeCells count="11">
    <mergeCell ref="A16:E16"/>
    <mergeCell ref="A19:E19"/>
    <mergeCell ref="F19:AI19"/>
    <mergeCell ref="S22:AJ22"/>
    <mergeCell ref="A1:AJ1"/>
    <mergeCell ref="A2:E2"/>
    <mergeCell ref="K5:AK5"/>
    <mergeCell ref="A8:E8"/>
    <mergeCell ref="F8:AI8"/>
    <mergeCell ref="A12:E12"/>
    <mergeCell ref="F16:AI16"/>
  </mergeCells>
  <conditionalFormatting sqref="AN4:AN26 AN32:AN35 AN39:AN42 AN46:AN48 AN54:AN58 AN62:AN65 AN69:AN72">
    <cfRule type="cellIs" dxfId="4" priority="1" operator="greaterThan">
      <formula>3</formula>
    </cfRule>
  </conditionalFormatting>
  <conditionalFormatting sqref="AO4:AS26 AT4:AT22 AO32:AS35 AO39:AS42 AO46:AS48 AO54:AS58 AO62:AS65 AO69:AS72">
    <cfRule type="cellIs" dxfId="4" priority="2" operator="greaterThan">
      <formula>0</formula>
    </cfRule>
  </conditionalFormatting>
  <conditionalFormatting sqref="AM4:AM35 AM39:AM42 AM46:AM48 AM54:AM58 AM62:AM65 AM69:AM72">
    <cfRule type="endsWith" dxfId="3" priority="3" operator="endsWith" text="NO CORRESPONDE FRANCO">
      <formula>RIGHT((AM4),LEN("NO CORRESPONDE FRANCO"))=("NO CORRESPONDE FRANCO")</formula>
    </cfRule>
  </conditionalFormatting>
  <printOptions/>
  <pageMargins bottom="0.75" footer="0.0" header="0.0" left="0.7" right="0.7" top="0.75"/>
  <pageSetup orientation="landscape"/>
  <drawing r:id="rId2"/>
  <legacyDrawing r:id="rId3"/>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2026-05-06T23:16:46Z</dcterms:created>
  <dc:creator>Geronimo Lopez</dc:creator>
</cp:coreProperties>
</file>